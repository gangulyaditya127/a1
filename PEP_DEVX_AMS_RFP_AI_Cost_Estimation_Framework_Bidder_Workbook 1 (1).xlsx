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namedSheetViews/namedSheetView2.xml" ContentType="application/vnd.ms-excel.namedsheetview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4.xml" ContentType="application/vnd.openxmlformats-officedocument.spreadsheetml.table+xml"/>
  <Override PartName="/xl/comments3.xml" ContentType="application/vnd.openxmlformats-officedocument.spreadsheetml.comments+xml"/>
  <Override PartName="/xl/comments4.xml" ContentType="application/vnd.openxmlformats-officedocument.spreadsheetml.comments+xml"/>
  <Override PartName="/xl/tables/table5.xml" ContentType="application/vnd.openxmlformats-officedocument.spreadsheetml.table+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2.xml" ContentType="application/vnd.openxmlformats-officedocument.drawing+xml"/>
  <Override PartName="/xl/comments8.xml" ContentType="application/vnd.openxmlformats-officedocument.spreadsheetml.comment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omments9.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https://tcscomprod-my.sharepoint.com/personal/1103703_tcs_com/Documents/"/>
    </mc:Choice>
  </mc:AlternateContent>
  <xr:revisionPtr revIDLastSave="580" documentId="8_{BCF624F8-2740-44A0-BFF7-9DEB27D58FB7}" xr6:coauthVersionLast="47" xr6:coauthVersionMax="47" xr10:uidLastSave="{5D1BA79A-AB40-4B43-9C6B-E2EEE223950D}"/>
  <bookViews>
    <workbookView minimized="1" xWindow="0" yWindow="660" windowWidth="30240" windowHeight="17300" tabRatio="755" xr2:uid="{00000000-000D-0000-FFFF-FFFF00000000}"/>
  </bookViews>
  <sheets>
    <sheet name="Instructions" sheetId="1" r:id="rId1"/>
    <sheet name="AI_Agent_Inventory" sheetId="2" r:id="rId2"/>
    <sheet name="Demand_Scenarios" sheetId="3" r:id="rId3"/>
    <sheet name="AI_Consumption" sheetId="4" r:id="rId4"/>
    <sheet name="Assumptions" sheetId="5" r:id="rId5"/>
    <sheet name="Unit_Costs" sheetId="6" r:id="rId6"/>
    <sheet name="Agent Rollout Plan" sheetId="21" r:id="rId7"/>
    <sheet name="Cost_Register" sheetId="7" r:id="rId8"/>
    <sheet name="Infra_Sizing" sheetId="8" r:id="rId9"/>
    <sheet name="Staffing" sheetId="9" r:id="rId10"/>
    <sheet name="Benefits" sheetId="10" r:id="rId11"/>
    <sheet name="LLM_Calc" sheetId="11" r:id="rId12"/>
    <sheet name="Observability" sheetId="12" r:id="rId13"/>
    <sheet name="Model_Monthly" sheetId="13" r:id="rId14"/>
    <sheet name="Charts" sheetId="14" r:id="rId15"/>
    <sheet name="Summary" sheetId="15" r:id="rId16"/>
    <sheet name="Five_Year_TCO" sheetId="16" r:id="rId17"/>
    <sheet name="SA Catalog" sheetId="22" r:id="rId18"/>
    <sheet name="Validation_Attestation" sheetId="19" state="hidden" r:id="rId19"/>
    <sheet name="_Lists" sheetId="17" state="hidden" r:id="rId20"/>
    <sheet name="Chart Data" sheetId="18" state="hidden" r:id="rId21"/>
  </sheets>
  <externalReferences>
    <externalReference r:id="rId22"/>
  </externalReferences>
  <definedNames>
    <definedName name="_xlnm._FilterDatabase" localSheetId="16" hidden="1">Five_Year_TCO!$A$4:$O$49</definedName>
    <definedName name="_xlnm._FilterDatabase" localSheetId="0" hidden="1">Instructions!$A$15:$H$29</definedName>
    <definedName name="AgentPattern">_Lists!$D$2:$D$8</definedName>
    <definedName name="AgentStatus">_Lists!$A$2:$A$9</definedName>
    <definedName name="Autonomy">_Lists!$B$2:$B$7</definedName>
    <definedName name="ChargingBasis">_Lists!$K$2:$K$10</definedName>
    <definedName name="Complexity">_Lists!$F$2:$F$5</definedName>
    <definedName name="Confidence">_Lists!$N$2:$N$8</definedName>
    <definedName name="CostClass">_Lists!$J$2:$J$10</definedName>
    <definedName name="Currency">_Lists!$P$2:$P$9</definedName>
    <definedName name="Environment">_Lists!$Q$2:$Q$9</definedName>
    <definedName name="EvidenceType">_Lists!$O$2:$O$8</definedName>
    <definedName name="Frequency">_Lists!$L$2:$L$7</definedName>
    <definedName name="Hosting">_Lists!$R$2:$R$6</definedName>
    <definedName name="Inclusion">_Lists!$M$2:$M$7</definedName>
    <definedName name="InputSource">_Lists!$I$2:$I$8</definedName>
    <definedName name="ModelClass">_Lists!$S$2:$S$8</definedName>
    <definedName name="Owner">_Lists!$T$2:$T$7</definedName>
    <definedName name="_xlnm.Print_Titles" localSheetId="0">Instructions!$1:$15</definedName>
    <definedName name="Scenario">_Lists!$H$2:$H$7</definedName>
    <definedName name="SolutionType">_Lists!$C$2:$C$4</definedName>
    <definedName name="Technology">_Lists!$E$2:$E$6</definedName>
    <definedName name="ValidationStatus">_Lists!$U$2:$U$7</definedName>
    <definedName name="YesNo">_Lists!$G$2:$G$4</definedName>
  </definedNames>
  <calcPr calcId="191029" iterateDelta="1E-4" calcCompleted="0"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7" i="21" l="1" a="1"/>
  <c r="I17" i="21" s="1"/>
  <c r="C17" i="21" a="1"/>
  <c r="C17" i="21" s="1"/>
  <c r="E17" i="21" s="1"/>
  <c r="B17" i="21" a="1"/>
  <c r="B17" i="21" s="1"/>
  <c r="D17" i="21" s="1"/>
  <c r="U13" i="21" s="1"/>
  <c r="I16" i="21" a="1"/>
  <c r="I16" i="21" s="1"/>
  <c r="C16" i="21" a="1"/>
  <c r="C16" i="21" s="1"/>
  <c r="E16" i="21" s="1"/>
  <c r="B16" i="21" a="1"/>
  <c r="B16" i="21" s="1"/>
  <c r="D16" i="21" s="1"/>
  <c r="U12" i="21" s="1"/>
  <c r="I15" i="21" a="1"/>
  <c r="I15" i="21" s="1"/>
  <c r="C15" i="21" a="1"/>
  <c r="C15" i="21" s="1"/>
  <c r="E15" i="21" s="1"/>
  <c r="B15" i="21" a="1"/>
  <c r="B15" i="21" s="1"/>
  <c r="D15" i="21" s="1"/>
  <c r="U11" i="21" s="1"/>
  <c r="I14" i="21" a="1"/>
  <c r="I14" i="21" s="1"/>
  <c r="C14" i="21" a="1"/>
  <c r="C14" i="21" s="1"/>
  <c r="E14" i="21" s="1"/>
  <c r="B14" i="21" a="1"/>
  <c r="B14" i="21" s="1"/>
  <c r="D14" i="21" s="1"/>
  <c r="U10" i="21" s="1"/>
  <c r="I13" i="21" a="1"/>
  <c r="I13" i="21" s="1"/>
  <c r="C13" i="21" a="1"/>
  <c r="C13" i="21" s="1"/>
  <c r="E13" i="21" s="1"/>
  <c r="B13" i="21" a="1"/>
  <c r="B13" i="21" s="1"/>
  <c r="D13" i="21" s="1"/>
  <c r="U9" i="21" s="1"/>
  <c r="I12" i="21" a="1"/>
  <c r="I12" i="21" s="1"/>
  <c r="C12" i="21" a="1"/>
  <c r="C12" i="21" s="1"/>
  <c r="E12" i="21" s="1"/>
  <c r="B12" i="21" a="1"/>
  <c r="B12" i="21" s="1"/>
  <c r="D12" i="21" s="1"/>
  <c r="U8" i="21" s="1"/>
  <c r="I11" i="21" a="1"/>
  <c r="I11" i="21" s="1"/>
  <c r="C11" i="21" a="1"/>
  <c r="C11" i="21" s="1"/>
  <c r="E11" i="21" s="1"/>
  <c r="B11" i="21" a="1"/>
  <c r="B11" i="21" s="1"/>
  <c r="D11" i="21" s="1"/>
  <c r="U7" i="21" s="1"/>
  <c r="I10" i="21" a="1"/>
  <c r="I10" i="21" s="1"/>
  <c r="C10" i="21" a="1"/>
  <c r="C10" i="21" s="1"/>
  <c r="E10" i="21" s="1"/>
  <c r="B10" i="21" a="1"/>
  <c r="B10" i="21" s="1"/>
  <c r="D10" i="21" s="1"/>
  <c r="U6" i="21" s="1"/>
  <c r="I9" i="21" a="1"/>
  <c r="I9" i="21" s="1"/>
  <c r="C9" i="21" a="1"/>
  <c r="C9" i="21" s="1"/>
  <c r="E9" i="21" s="1"/>
  <c r="B9" i="21" a="1"/>
  <c r="B9" i="21" s="1"/>
  <c r="D9" i="21" s="1"/>
  <c r="U5" i="21" s="1"/>
  <c r="I8" i="21" a="1"/>
  <c r="I8" i="21" s="1"/>
  <c r="C8" i="21" a="1"/>
  <c r="C8" i="21" s="1"/>
  <c r="E8" i="21" s="1"/>
  <c r="B8" i="21" a="1"/>
  <c r="B8" i="21" s="1"/>
  <c r="D8" i="21" s="1"/>
  <c r="U4" i="21" s="1"/>
  <c r="I7" i="21" a="1"/>
  <c r="I7" i="21" s="1"/>
  <c r="C7" i="21" a="1"/>
  <c r="C7" i="21" s="1"/>
  <c r="E7" i="21" s="1"/>
  <c r="B7" i="21" a="1"/>
  <c r="B7" i="21" s="1"/>
  <c r="D7" i="21" s="1"/>
  <c r="U3" i="21" s="1"/>
  <c r="I6" i="21" a="1"/>
  <c r="I6" i="21" s="1"/>
  <c r="C6" i="21" a="1"/>
  <c r="C6" i="21" s="1"/>
  <c r="E6" i="21" s="1"/>
  <c r="B6" i="21" a="1"/>
  <c r="B6" i="21" s="1"/>
  <c r="D6" i="21" s="1"/>
  <c r="U2" i="21" s="1"/>
  <c r="T2" i="21"/>
  <c r="T3" i="21"/>
  <c r="T4" i="21"/>
  <c r="T5" i="21"/>
  <c r="G6" i="21"/>
  <c r="H6" i="21"/>
  <c r="T6" i="21"/>
  <c r="G7" i="21"/>
  <c r="H7" i="21"/>
  <c r="T7" i="21"/>
  <c r="G8" i="21"/>
  <c r="H8" i="21"/>
  <c r="T8" i="21"/>
  <c r="G9" i="21"/>
  <c r="H9" i="21"/>
  <c r="T9" i="21"/>
  <c r="G10" i="21"/>
  <c r="H10" i="21"/>
  <c r="T10" i="21"/>
  <c r="G11" i="21"/>
  <c r="H11" i="21"/>
  <c r="T11" i="21"/>
  <c r="G12" i="21"/>
  <c r="H12" i="21"/>
  <c r="T12" i="21"/>
  <c r="G13" i="21"/>
  <c r="H13" i="21"/>
  <c r="T13" i="21"/>
  <c r="G14" i="21"/>
  <c r="H14" i="21"/>
  <c r="G15" i="21"/>
  <c r="H15" i="21"/>
  <c r="G16" i="21"/>
  <c r="H16" i="21"/>
  <c r="G17" i="21"/>
  <c r="H17" i="21"/>
  <c r="F7" i="21" l="1"/>
  <c r="V3" i="21"/>
  <c r="W3" i="21"/>
  <c r="X3" i="21"/>
  <c r="Y3" i="21"/>
  <c r="V11" i="21"/>
  <c r="W11" i="21"/>
  <c r="X11" i="21"/>
  <c r="Y11" i="21"/>
  <c r="F15" i="21"/>
  <c r="V6" i="21"/>
  <c r="W6" i="21"/>
  <c r="X6" i="21"/>
  <c r="Y6" i="21"/>
  <c r="F10" i="21"/>
  <c r="V7" i="21"/>
  <c r="W7" i="21"/>
  <c r="X7" i="21"/>
  <c r="Y7" i="21"/>
  <c r="F11" i="21"/>
  <c r="V10" i="21"/>
  <c r="W10" i="21"/>
  <c r="X10" i="21"/>
  <c r="Y10" i="21"/>
  <c r="F14" i="21"/>
  <c r="F8" i="21"/>
  <c r="V4" i="21"/>
  <c r="W4" i="21"/>
  <c r="X4" i="21"/>
  <c r="Y4" i="21"/>
  <c r="V8" i="21"/>
  <c r="W8" i="21"/>
  <c r="X8" i="21"/>
  <c r="Y8" i="21"/>
  <c r="F12" i="21"/>
  <c r="V12" i="21"/>
  <c r="W12" i="21"/>
  <c r="X12" i="21"/>
  <c r="Y12" i="21"/>
  <c r="F16" i="21"/>
  <c r="V2" i="21"/>
  <c r="F6" i="21"/>
  <c r="W2" i="21"/>
  <c r="X2" i="21"/>
  <c r="Y2" i="21"/>
  <c r="V9" i="21"/>
  <c r="W9" i="21"/>
  <c r="X9" i="21"/>
  <c r="Y9" i="21"/>
  <c r="F13" i="21"/>
  <c r="V5" i="21"/>
  <c r="W5" i="21"/>
  <c r="X5" i="21"/>
  <c r="Y5" i="21"/>
  <c r="F9" i="21"/>
  <c r="V13" i="21"/>
  <c r="W13" i="21"/>
  <c r="X13" i="21"/>
  <c r="Y13" i="21"/>
  <c r="F17" i="21"/>
  <c r="L54" i="10" l="1"/>
  <c r="O54" i="10" s="1"/>
  <c r="R54" i="10" s="1"/>
  <c r="L53" i="10"/>
  <c r="O53" i="10" s="1"/>
  <c r="R53" i="10" s="1"/>
  <c r="L52" i="10"/>
  <c r="O52" i="10" s="1"/>
  <c r="R52" i="10" s="1"/>
  <c r="L51" i="10"/>
  <c r="O51" i="10" s="1"/>
  <c r="R51" i="10" s="1"/>
  <c r="L50" i="10"/>
  <c r="O50" i="10" s="1"/>
  <c r="R50" i="10" s="1"/>
  <c r="L49" i="10"/>
  <c r="O49" i="10" s="1"/>
  <c r="R49" i="10" s="1"/>
  <c r="L48" i="10"/>
  <c r="O48" i="10" s="1"/>
  <c r="R48" i="10" s="1"/>
  <c r="L47" i="10"/>
  <c r="O47" i="10" s="1"/>
  <c r="R47" i="10" s="1"/>
  <c r="L46" i="10"/>
  <c r="O46" i="10" s="1"/>
  <c r="R46" i="10" s="1"/>
  <c r="L45" i="10"/>
  <c r="O45" i="10" s="1"/>
  <c r="R45" i="10" s="1"/>
  <c r="L44" i="10"/>
  <c r="O44" i="10" s="1"/>
  <c r="R44" i="10" s="1"/>
  <c r="L43" i="10"/>
  <c r="O43" i="10" s="1"/>
  <c r="R43" i="10" s="1"/>
  <c r="L42" i="10"/>
  <c r="O42" i="10" s="1"/>
  <c r="R42" i="10" s="1"/>
  <c r="L41" i="10"/>
  <c r="O41" i="10" s="1"/>
  <c r="R41" i="10" s="1"/>
  <c r="L40" i="10"/>
  <c r="O40" i="10" s="1"/>
  <c r="R40" i="10" s="1"/>
  <c r="L39" i="10"/>
  <c r="O39" i="10" s="1"/>
  <c r="R39" i="10" s="1"/>
  <c r="L38" i="10"/>
  <c r="O38" i="10" s="1"/>
  <c r="R38" i="10" s="1"/>
  <c r="L37" i="10"/>
  <c r="O37" i="10" s="1"/>
  <c r="R37" i="10" s="1"/>
  <c r="L36" i="10"/>
  <c r="O36" i="10" s="1"/>
  <c r="R36" i="10" s="1"/>
  <c r="L35" i="10"/>
  <c r="O35" i="10" s="1"/>
  <c r="R35" i="10" s="1"/>
  <c r="L34" i="10"/>
  <c r="O34" i="10" s="1"/>
  <c r="R34" i="10" s="1"/>
  <c r="L33" i="10"/>
  <c r="O33" i="10" s="1"/>
  <c r="R33" i="10" s="1"/>
  <c r="L32" i="10"/>
  <c r="O32" i="10" s="1"/>
  <c r="R32" i="10" s="1"/>
  <c r="L31" i="10"/>
  <c r="O31" i="10" s="1"/>
  <c r="R31" i="10" s="1"/>
  <c r="L30" i="10"/>
  <c r="O30" i="10" s="1"/>
  <c r="R30" i="10" s="1"/>
  <c r="L29" i="10"/>
  <c r="O29" i="10" s="1"/>
  <c r="R29" i="10" s="1"/>
  <c r="L28" i="10"/>
  <c r="O28" i="10" s="1"/>
  <c r="R28" i="10" s="1"/>
  <c r="L27" i="10"/>
  <c r="O27" i="10" s="1"/>
  <c r="R27" i="10" s="1"/>
  <c r="L26" i="10"/>
  <c r="O26" i="10" s="1"/>
  <c r="R26" i="10" s="1"/>
  <c r="L25" i="10"/>
  <c r="O25" i="10" s="1"/>
  <c r="R25" i="10" s="1"/>
  <c r="L24" i="10"/>
  <c r="O24" i="10" s="1"/>
  <c r="R24" i="10" s="1"/>
  <c r="L23" i="10"/>
  <c r="O23" i="10" s="1"/>
  <c r="R23" i="10" s="1"/>
  <c r="L22" i="10"/>
  <c r="O22" i="10" s="1"/>
  <c r="R22" i="10" s="1"/>
  <c r="L21" i="10"/>
  <c r="O21" i="10" s="1"/>
  <c r="R21" i="10" s="1"/>
  <c r="L20" i="10"/>
  <c r="O20" i="10" s="1"/>
  <c r="R20" i="10" s="1"/>
  <c r="L19" i="10"/>
  <c r="O19" i="10" s="1"/>
  <c r="R19" i="10" s="1"/>
  <c r="L18" i="10"/>
  <c r="O18" i="10" s="1"/>
  <c r="R18" i="10" s="1"/>
  <c r="L17" i="10"/>
  <c r="O17" i="10" s="1"/>
  <c r="R17" i="10" s="1"/>
  <c r="L16" i="10"/>
  <c r="O16" i="10" s="1"/>
  <c r="R16" i="10" s="1"/>
  <c r="L15" i="10"/>
  <c r="O15" i="10" s="1"/>
  <c r="R15" i="10" s="1"/>
  <c r="L14" i="10"/>
  <c r="O14" i="10" s="1"/>
  <c r="R14" i="10" s="1"/>
  <c r="L13" i="10"/>
  <c r="O13" i="10" s="1"/>
  <c r="R13" i="10" s="1"/>
  <c r="L12" i="10"/>
  <c r="O12" i="10" s="1"/>
  <c r="R12" i="10" s="1"/>
  <c r="L11" i="10"/>
  <c r="O11" i="10" s="1"/>
  <c r="R11" i="10" s="1"/>
  <c r="L10" i="10"/>
  <c r="O10" i="10" s="1"/>
  <c r="R10" i="10" s="1"/>
  <c r="L9" i="10"/>
  <c r="O9" i="10" s="1"/>
  <c r="R9" i="10" s="1"/>
  <c r="L8" i="10"/>
  <c r="O8" i="10" s="1"/>
  <c r="R8" i="10" s="1"/>
  <c r="L7" i="10"/>
  <c r="O7" i="10" s="1"/>
  <c r="R7" i="10" s="1"/>
  <c r="L6" i="10"/>
  <c r="O6" i="10" s="1"/>
  <c r="R6" i="10" s="1"/>
  <c r="L5" i="10"/>
  <c r="L55" i="10"/>
  <c r="L56" i="10"/>
  <c r="L57" i="10"/>
  <c r="L58" i="10"/>
  <c r="L59" i="10"/>
  <c r="L60" i="10"/>
  <c r="L61" i="10"/>
  <c r="L62" i="10"/>
  <c r="L63" i="10"/>
  <c r="L64" i="10"/>
  <c r="L65" i="10"/>
  <c r="L66" i="10"/>
  <c r="L67" i="10"/>
  <c r="L68" i="10"/>
  <c r="L69" i="10"/>
  <c r="L70" i="10"/>
  <c r="L71" i="10"/>
  <c r="L72" i="10"/>
  <c r="L73" i="10"/>
  <c r="L74" i="10"/>
  <c r="L75" i="10"/>
  <c r="L76" i="10"/>
  <c r="L77" i="10"/>
  <c r="L78" i="10"/>
  <c r="L79" i="10"/>
  <c r="L80" i="10"/>
  <c r="L81" i="10"/>
  <c r="L82" i="10"/>
  <c r="L83" i="10"/>
  <c r="L84" i="10"/>
  <c r="L85" i="10"/>
  <c r="L86" i="10"/>
  <c r="L87" i="10"/>
  <c r="L88" i="10"/>
  <c r="L89" i="10"/>
  <c r="L90" i="10"/>
  <c r="L91" i="10"/>
  <c r="L92" i="10"/>
  <c r="L93" i="10"/>
  <c r="L94" i="10"/>
  <c r="L95" i="10"/>
  <c r="L96" i="10"/>
  <c r="L97" i="10"/>
  <c r="L98" i="10"/>
  <c r="L99" i="10"/>
  <c r="L100" i="10"/>
  <c r="L101" i="10"/>
  <c r="L102" i="10"/>
  <c r="L103" i="10"/>
  <c r="L104" i="10"/>
  <c r="L105" i="10"/>
  <c r="L106" i="10"/>
  <c r="L107" i="10"/>
  <c r="L108" i="10"/>
  <c r="L109" i="10"/>
  <c r="L110" i="10"/>
  <c r="L111" i="10"/>
  <c r="L112" i="10"/>
  <c r="L113" i="10"/>
  <c r="L114" i="10"/>
  <c r="L115" i="10"/>
  <c r="L116" i="10"/>
  <c r="L117" i="10"/>
  <c r="L118" i="10"/>
  <c r="L119" i="10"/>
  <c r="L120" i="10"/>
  <c r="L121" i="10"/>
  <c r="L122" i="10"/>
  <c r="L123" i="10"/>
  <c r="L124" i="10"/>
  <c r="L125" i="10"/>
  <c r="L126" i="10"/>
  <c r="L127" i="10"/>
  <c r="L128" i="10"/>
  <c r="L129" i="10"/>
  <c r="L130" i="10"/>
  <c r="L131" i="10"/>
  <c r="L132" i="10"/>
  <c r="L133" i="10"/>
  <c r="L134" i="10"/>
  <c r="L135" i="10"/>
  <c r="L136" i="10"/>
  <c r="L137" i="10"/>
  <c r="L138" i="10"/>
  <c r="L139" i="10"/>
  <c r="L140" i="10"/>
  <c r="L141" i="10"/>
  <c r="L142" i="10"/>
  <c r="L143" i="10"/>
  <c r="L144" i="10"/>
  <c r="L145" i="10"/>
  <c r="L146" i="10"/>
  <c r="L147" i="10"/>
  <c r="L148" i="10"/>
  <c r="L149" i="10"/>
  <c r="L150" i="10"/>
  <c r="L151" i="10"/>
  <c r="L152" i="10"/>
  <c r="L153" i="10"/>
  <c r="L154" i="10"/>
  <c r="L155" i="10"/>
  <c r="L156" i="10"/>
  <c r="L157" i="10"/>
  <c r="L158" i="10"/>
  <c r="L159" i="10"/>
  <c r="L160" i="10"/>
  <c r="L161" i="10"/>
  <c r="L162" i="10"/>
  <c r="L163" i="10"/>
  <c r="L164" i="10"/>
  <c r="L165" i="10"/>
  <c r="L166" i="10"/>
  <c r="L167" i="10"/>
  <c r="L168" i="10"/>
  <c r="L169" i="10"/>
  <c r="L170" i="10"/>
  <c r="L171" i="10"/>
  <c r="L172" i="10"/>
  <c r="L173" i="10"/>
  <c r="L174" i="10"/>
  <c r="L175" i="10"/>
  <c r="L176" i="10"/>
  <c r="L177" i="10"/>
  <c r="L178" i="10"/>
  <c r="L179" i="10"/>
  <c r="L180" i="10"/>
  <c r="L181" i="10"/>
  <c r="L182" i="10"/>
  <c r="L183" i="10"/>
  <c r="L184" i="10"/>
  <c r="L185" i="10"/>
  <c r="L186" i="10"/>
  <c r="L187" i="10"/>
  <c r="L188" i="10"/>
  <c r="L189" i="10"/>
  <c r="L190" i="10"/>
  <c r="L191" i="10"/>
  <c r="L192" i="10"/>
  <c r="L193" i="10"/>
  <c r="L194" i="10"/>
  <c r="L195" i="10"/>
  <c r="L196" i="10"/>
  <c r="L197" i="10"/>
  <c r="L198" i="10"/>
  <c r="L199" i="10"/>
  <c r="L200" i="10"/>
  <c r="L201" i="10"/>
  <c r="L202" i="10"/>
  <c r="L203" i="10"/>
  <c r="L204" i="10"/>
  <c r="L205" i="10"/>
  <c r="L206" i="10"/>
  <c r="L207" i="10"/>
  <c r="L208" i="10"/>
  <c r="L209" i="10"/>
  <c r="L210" i="10"/>
  <c r="L211" i="10"/>
  <c r="L212" i="10"/>
  <c r="L213" i="10"/>
  <c r="L214" i="10"/>
  <c r="L215" i="10"/>
  <c r="L216" i="10"/>
  <c r="L217" i="10"/>
  <c r="L218" i="10"/>
  <c r="L219" i="10"/>
  <c r="L220" i="10"/>
  <c r="L221" i="10"/>
  <c r="L222" i="10"/>
  <c r="L223" i="10"/>
  <c r="L224" i="10"/>
  <c r="L225" i="10"/>
  <c r="L226" i="10"/>
  <c r="L227" i="10"/>
  <c r="L228" i="10"/>
  <c r="L229" i="10"/>
  <c r="L230" i="10"/>
  <c r="L231" i="10"/>
  <c r="L232" i="10"/>
  <c r="L233" i="10"/>
  <c r="L234" i="10"/>
  <c r="L235" i="10"/>
  <c r="L236" i="10"/>
  <c r="L237" i="10"/>
  <c r="L238" i="10"/>
  <c r="L239" i="10"/>
  <c r="L240" i="10"/>
  <c r="L241" i="10"/>
  <c r="L242" i="10"/>
  <c r="L243" i="10"/>
  <c r="L244" i="10"/>
  <c r="L245" i="10"/>
  <c r="L246" i="10"/>
  <c r="L247" i="10"/>
  <c r="L248" i="10"/>
  <c r="L249" i="10"/>
  <c r="L250" i="10"/>
  <c r="L251" i="10"/>
  <c r="L252" i="10"/>
  <c r="L253" i="10"/>
  <c r="L254" i="10"/>
  <c r="L255" i="10"/>
  <c r="L256" i="10"/>
  <c r="L257" i="10"/>
  <c r="L258" i="10"/>
  <c r="L259" i="10"/>
  <c r="L260" i="10"/>
  <c r="L261" i="10"/>
  <c r="L262" i="10"/>
  <c r="L263" i="10"/>
  <c r="L264" i="10"/>
  <c r="L265" i="10"/>
  <c r="L266" i="10"/>
  <c r="L267" i="10"/>
  <c r="L268" i="10"/>
  <c r="L269" i="10"/>
  <c r="L270" i="10"/>
  <c r="L271" i="10"/>
  <c r="L272" i="10"/>
  <c r="L273" i="10"/>
  <c r="L274" i="10"/>
  <c r="L275" i="10"/>
  <c r="L276" i="10"/>
  <c r="L277" i="10"/>
  <c r="L278" i="10"/>
  <c r="L279" i="10"/>
  <c r="L280" i="10"/>
  <c r="L281" i="10"/>
  <c r="L282" i="10"/>
  <c r="L283" i="10"/>
  <c r="L284" i="10"/>
  <c r="L285" i="10"/>
  <c r="L286" i="10"/>
  <c r="L287" i="10"/>
  <c r="L288" i="10"/>
  <c r="L289" i="10"/>
  <c r="L290" i="10"/>
  <c r="L291" i="10"/>
  <c r="L292" i="10"/>
  <c r="L293" i="10"/>
  <c r="L294" i="10"/>
  <c r="L295" i="10"/>
  <c r="L296" i="10"/>
  <c r="L297" i="10"/>
  <c r="L298" i="10"/>
  <c r="L299" i="10"/>
  <c r="L300" i="10"/>
  <c r="L301" i="10"/>
  <c r="L302" i="10"/>
  <c r="L303" i="10"/>
  <c r="L304" i="10"/>
  <c r="A21" i="15"/>
  <c r="D19" i="18" s="1"/>
  <c r="A20" i="15"/>
  <c r="D18" i="18" s="1"/>
  <c r="A19" i="15"/>
  <c r="D17" i="18" s="1"/>
  <c r="A18" i="15"/>
  <c r="D16" i="18" s="1"/>
  <c r="A17" i="15"/>
  <c r="D15" i="18" s="1"/>
  <c r="A16" i="15"/>
  <c r="D14" i="18" s="1"/>
  <c r="A15" i="15"/>
  <c r="D13" i="18" s="1"/>
  <c r="A14" i="15"/>
  <c r="D12" i="18" s="1"/>
  <c r="A13" i="15"/>
  <c r="D11" i="18" s="1"/>
  <c r="A12" i="15"/>
  <c r="D10" i="18" s="1"/>
  <c r="A11" i="15"/>
  <c r="D9" i="18" s="1"/>
  <c r="A10" i="15"/>
  <c r="D8" i="18" s="1"/>
  <c r="A9" i="15"/>
  <c r="D7" i="18" s="1"/>
  <c r="A8" i="15"/>
  <c r="D6" i="18" s="1"/>
  <c r="A7" i="15"/>
  <c r="D5" i="18" s="1"/>
  <c r="A6" i="15"/>
  <c r="D4" i="18" s="1"/>
  <c r="A5" i="15"/>
  <c r="D3" i="18" s="1"/>
  <c r="A4" i="15"/>
  <c r="D2" i="18" s="1"/>
  <c r="U69" i="13"/>
  <c r="T69" i="13"/>
  <c r="F15" i="12" s="1"/>
  <c r="S69" i="13"/>
  <c r="R69" i="13"/>
  <c r="Q69" i="13"/>
  <c r="P69" i="13"/>
  <c r="O69" i="13"/>
  <c r="N69" i="13"/>
  <c r="E15" i="12" s="1"/>
  <c r="M69" i="13"/>
  <c r="L69" i="13"/>
  <c r="K69" i="13"/>
  <c r="J69" i="13"/>
  <c r="I69" i="13"/>
  <c r="H69" i="13"/>
  <c r="D15" i="12" s="1"/>
  <c r="G69" i="13"/>
  <c r="F69" i="13"/>
  <c r="E69" i="13"/>
  <c r="D69" i="13"/>
  <c r="C69" i="13"/>
  <c r="C15" i="12" s="1"/>
  <c r="U68" i="13"/>
  <c r="T68" i="13"/>
  <c r="F14" i="12" s="1"/>
  <c r="S68" i="13"/>
  <c r="R68" i="13"/>
  <c r="Q68" i="13"/>
  <c r="P68" i="13"/>
  <c r="O68" i="13"/>
  <c r="N68" i="13"/>
  <c r="E14" i="12" s="1"/>
  <c r="M68" i="13"/>
  <c r="L68" i="13"/>
  <c r="K68" i="13"/>
  <c r="J68" i="13"/>
  <c r="I68" i="13"/>
  <c r="H68" i="13"/>
  <c r="D14" i="12" s="1"/>
  <c r="G68" i="13"/>
  <c r="F68" i="13"/>
  <c r="E68" i="13"/>
  <c r="D68" i="13"/>
  <c r="C68" i="13"/>
  <c r="C14" i="12" s="1"/>
  <c r="U63" i="13"/>
  <c r="T63" i="13"/>
  <c r="S63" i="13"/>
  <c r="R63" i="13"/>
  <c r="Q63" i="13"/>
  <c r="P63" i="13"/>
  <c r="O63" i="13"/>
  <c r="N63" i="13"/>
  <c r="M63" i="13"/>
  <c r="L63" i="13"/>
  <c r="K63" i="13"/>
  <c r="J63" i="13"/>
  <c r="I63" i="13"/>
  <c r="H63" i="13"/>
  <c r="G63" i="13"/>
  <c r="F63" i="13"/>
  <c r="E63" i="13"/>
  <c r="D63" i="13"/>
  <c r="C63" i="13"/>
  <c r="U59" i="13"/>
  <c r="U60" i="13" s="1"/>
  <c r="T59" i="13"/>
  <c r="T60" i="13" s="1"/>
  <c r="S59" i="13"/>
  <c r="S60" i="13" s="1"/>
  <c r="R59" i="13"/>
  <c r="R60" i="13" s="1"/>
  <c r="Q59" i="13"/>
  <c r="Q60" i="13" s="1"/>
  <c r="P59" i="13"/>
  <c r="P60" i="13" s="1"/>
  <c r="O59" i="13"/>
  <c r="O60" i="13" s="1"/>
  <c r="N59" i="13"/>
  <c r="N60" i="13" s="1"/>
  <c r="M59" i="13"/>
  <c r="M60" i="13" s="1"/>
  <c r="L59" i="13"/>
  <c r="L60" i="13" s="1"/>
  <c r="K59" i="13"/>
  <c r="K60" i="13" s="1"/>
  <c r="J59" i="13"/>
  <c r="J60" i="13" s="1"/>
  <c r="I59" i="13"/>
  <c r="I60" i="13" s="1"/>
  <c r="H59" i="13"/>
  <c r="H60" i="13" s="1"/>
  <c r="G59" i="13"/>
  <c r="G60" i="13" s="1"/>
  <c r="F59" i="13"/>
  <c r="F60" i="13" s="1"/>
  <c r="E59" i="13"/>
  <c r="E60" i="13" s="1"/>
  <c r="D59" i="13"/>
  <c r="D60" i="13" s="1"/>
  <c r="C59" i="13"/>
  <c r="C60" i="13" s="1"/>
  <c r="U44" i="13"/>
  <c r="U45" i="13" s="1"/>
  <c r="U46" i="13" s="1"/>
  <c r="T44" i="13"/>
  <c r="T45" i="13" s="1"/>
  <c r="T46" i="13" s="1"/>
  <c r="S44" i="13"/>
  <c r="S45" i="13" s="1"/>
  <c r="S46" i="13" s="1"/>
  <c r="R44" i="13"/>
  <c r="R45" i="13" s="1"/>
  <c r="R46" i="13" s="1"/>
  <c r="Q44" i="13"/>
  <c r="Q45" i="13" s="1"/>
  <c r="Q46" i="13" s="1"/>
  <c r="P44" i="13"/>
  <c r="P45" i="13" s="1"/>
  <c r="P46" i="13" s="1"/>
  <c r="O44" i="13"/>
  <c r="O45" i="13" s="1"/>
  <c r="O46" i="13" s="1"/>
  <c r="N44" i="13"/>
  <c r="N45" i="13" s="1"/>
  <c r="N46" i="13" s="1"/>
  <c r="M44" i="13"/>
  <c r="M45" i="13" s="1"/>
  <c r="M46" i="13" s="1"/>
  <c r="L44" i="13"/>
  <c r="L45" i="13" s="1"/>
  <c r="L46" i="13" s="1"/>
  <c r="K44" i="13"/>
  <c r="K45" i="13" s="1"/>
  <c r="K46" i="13" s="1"/>
  <c r="J44" i="13"/>
  <c r="J45" i="13" s="1"/>
  <c r="J46" i="13" s="1"/>
  <c r="I44" i="13"/>
  <c r="I45" i="13" s="1"/>
  <c r="I46" i="13" s="1"/>
  <c r="H44" i="13"/>
  <c r="H45" i="13" s="1"/>
  <c r="H46" i="13" s="1"/>
  <c r="G44" i="13"/>
  <c r="G45" i="13" s="1"/>
  <c r="G46" i="13" s="1"/>
  <c r="F44" i="13"/>
  <c r="F45" i="13" s="1"/>
  <c r="F46" i="13" s="1"/>
  <c r="T3" i="13"/>
  <c r="U3" i="13" s="1"/>
  <c r="S3" i="13"/>
  <c r="R3" i="13"/>
  <c r="Q3" i="13"/>
  <c r="P3" i="13"/>
  <c r="O3" i="13"/>
  <c r="N3" i="13"/>
  <c r="M3" i="13"/>
  <c r="L3" i="13"/>
  <c r="K3" i="13"/>
  <c r="J3" i="13"/>
  <c r="I3" i="13"/>
  <c r="H3" i="13"/>
  <c r="G3" i="13"/>
  <c r="F3" i="13"/>
  <c r="E3" i="13"/>
  <c r="D3" i="13"/>
  <c r="C3" i="13"/>
  <c r="C5" i="13" s="1"/>
  <c r="B8" i="12"/>
  <c r="B7" i="12"/>
  <c r="B6" i="12"/>
  <c r="B5" i="12"/>
  <c r="B16" i="11"/>
  <c r="B15" i="11"/>
  <c r="B14" i="11"/>
  <c r="B13" i="11"/>
  <c r="B12" i="11"/>
  <c r="B11" i="11"/>
  <c r="B10" i="11"/>
  <c r="B9" i="11"/>
  <c r="B8" i="11"/>
  <c r="B7" i="11"/>
  <c r="B6" i="11"/>
  <c r="B5" i="11"/>
  <c r="B15" i="9"/>
  <c r="B12" i="9"/>
  <c r="P504" i="7"/>
  <c r="AD504" i="7" s="1"/>
  <c r="P503" i="7"/>
  <c r="AG503" i="7" s="1"/>
  <c r="P502" i="7"/>
  <c r="P501" i="7"/>
  <c r="AG501" i="7" s="1"/>
  <c r="P500" i="7"/>
  <c r="AF500" i="7" s="1"/>
  <c r="P499" i="7"/>
  <c r="AC499" i="7" s="1"/>
  <c r="P498" i="7"/>
  <c r="AE498" i="7" s="1"/>
  <c r="P497" i="7"/>
  <c r="AE497" i="7" s="1"/>
  <c r="P496" i="7"/>
  <c r="AD496" i="7" s="1"/>
  <c r="P495" i="7"/>
  <c r="AG495" i="7" s="1"/>
  <c r="P494" i="7"/>
  <c r="AD494" i="7" s="1"/>
  <c r="P493" i="7"/>
  <c r="AD493" i="7" s="1"/>
  <c r="P492" i="7"/>
  <c r="AF492" i="7" s="1"/>
  <c r="P491" i="7"/>
  <c r="AF491" i="7" s="1"/>
  <c r="P490" i="7"/>
  <c r="P489" i="7"/>
  <c r="AD489" i="7" s="1"/>
  <c r="P488" i="7"/>
  <c r="AC488" i="7" s="1"/>
  <c r="P487" i="7"/>
  <c r="AG487" i="7" s="1"/>
  <c r="P486" i="7"/>
  <c r="AC486" i="7" s="1"/>
  <c r="P485" i="7"/>
  <c r="AF485" i="7" s="1"/>
  <c r="P484" i="7"/>
  <c r="AF484" i="7" s="1"/>
  <c r="P483" i="7"/>
  <c r="P482" i="7"/>
  <c r="P481" i="7"/>
  <c r="AF481" i="7" s="1"/>
  <c r="P480" i="7"/>
  <c r="AG480" i="7" s="1"/>
  <c r="P479" i="7"/>
  <c r="P478" i="7"/>
  <c r="P477" i="7"/>
  <c r="AG477" i="7" s="1"/>
  <c r="P476" i="7"/>
  <c r="P475" i="7"/>
  <c r="AC475" i="7" s="1"/>
  <c r="P474" i="7"/>
  <c r="AG474" i="7" s="1"/>
  <c r="P473" i="7"/>
  <c r="P472" i="7"/>
  <c r="AE472" i="7" s="1"/>
  <c r="P471" i="7"/>
  <c r="P470" i="7"/>
  <c r="AF470" i="7" s="1"/>
  <c r="P469" i="7"/>
  <c r="P468" i="7"/>
  <c r="AF468" i="7" s="1"/>
  <c r="P467" i="7"/>
  <c r="AF467" i="7" s="1"/>
  <c r="P466" i="7"/>
  <c r="P465" i="7"/>
  <c r="AC465" i="7" s="1"/>
  <c r="P464" i="7"/>
  <c r="P463" i="7"/>
  <c r="AC463" i="7" s="1"/>
  <c r="P462" i="7"/>
  <c r="P461" i="7"/>
  <c r="AC461" i="7" s="1"/>
  <c r="P460" i="7"/>
  <c r="AF460" i="7" s="1"/>
  <c r="P459" i="7"/>
  <c r="AE459" i="7" s="1"/>
  <c r="P458" i="7"/>
  <c r="AF458" i="7" s="1"/>
  <c r="P457" i="7"/>
  <c r="P456" i="7"/>
  <c r="P455" i="7"/>
  <c r="AE455" i="7" s="1"/>
  <c r="P454" i="7"/>
  <c r="AC454" i="7" s="1"/>
  <c r="P453" i="7"/>
  <c r="P452" i="7"/>
  <c r="AC452" i="7" s="1"/>
  <c r="P451" i="7"/>
  <c r="AE451" i="7" s="1"/>
  <c r="P450" i="7"/>
  <c r="P449" i="7"/>
  <c r="AF449" i="7" s="1"/>
  <c r="P448" i="7"/>
  <c r="P447" i="7"/>
  <c r="AC447" i="7" s="1"/>
  <c r="P446" i="7"/>
  <c r="AE446" i="7" s="1"/>
  <c r="P445" i="7"/>
  <c r="P444" i="7"/>
  <c r="P443" i="7"/>
  <c r="AG443" i="7" s="1"/>
  <c r="P442" i="7"/>
  <c r="P441" i="7"/>
  <c r="P440" i="7"/>
  <c r="AE440" i="7" s="1"/>
  <c r="P439" i="7"/>
  <c r="P438" i="7"/>
  <c r="AC438" i="7" s="1"/>
  <c r="P437" i="7"/>
  <c r="P436" i="7"/>
  <c r="P435" i="7"/>
  <c r="AF435" i="7" s="1"/>
  <c r="P434" i="7"/>
  <c r="P433" i="7"/>
  <c r="AG433" i="7" s="1"/>
  <c r="P432" i="7"/>
  <c r="AE432" i="7" s="1"/>
  <c r="P431" i="7"/>
  <c r="AC431" i="7" s="1"/>
  <c r="P430" i="7"/>
  <c r="AC430" i="7" s="1"/>
  <c r="P429" i="7"/>
  <c r="AC429" i="7" s="1"/>
  <c r="P428" i="7"/>
  <c r="AE428" i="7" s="1"/>
  <c r="P427" i="7"/>
  <c r="P426" i="7"/>
  <c r="P425" i="7"/>
  <c r="AG425" i="7" s="1"/>
  <c r="P424" i="7"/>
  <c r="AE424" i="7" s="1"/>
  <c r="P423" i="7"/>
  <c r="AD423" i="7" s="1"/>
  <c r="P422" i="7"/>
  <c r="AC422" i="7" s="1"/>
  <c r="P421" i="7"/>
  <c r="AG421" i="7" s="1"/>
  <c r="P420" i="7"/>
  <c r="P419" i="7"/>
  <c r="AF419" i="7" s="1"/>
  <c r="P418" i="7"/>
  <c r="AC418" i="7" s="1"/>
  <c r="P417" i="7"/>
  <c r="AG417" i="7" s="1"/>
  <c r="P416" i="7"/>
  <c r="AE416" i="7" s="1"/>
  <c r="P415" i="7"/>
  <c r="AD415" i="7" s="1"/>
  <c r="P414" i="7"/>
  <c r="AC414" i="7" s="1"/>
  <c r="P413" i="7"/>
  <c r="AG413" i="7" s="1"/>
  <c r="P412" i="7"/>
  <c r="P411" i="7"/>
  <c r="AF411" i="7" s="1"/>
  <c r="P410" i="7"/>
  <c r="AC410" i="7" s="1"/>
  <c r="P409" i="7"/>
  <c r="P408" i="7"/>
  <c r="AE408" i="7" s="1"/>
  <c r="P407" i="7"/>
  <c r="P406" i="7"/>
  <c r="AC406" i="7" s="1"/>
  <c r="P405" i="7"/>
  <c r="P404" i="7"/>
  <c r="P403" i="7"/>
  <c r="AF403" i="7" s="1"/>
  <c r="P402" i="7"/>
  <c r="AC402" i="7" s="1"/>
  <c r="P401" i="7"/>
  <c r="AG401" i="7" s="1"/>
  <c r="P400" i="7"/>
  <c r="AE400" i="7" s="1"/>
  <c r="P399" i="7"/>
  <c r="P398" i="7"/>
  <c r="AC398" i="7" s="1"/>
  <c r="P397" i="7"/>
  <c r="AC397" i="7" s="1"/>
  <c r="P396" i="7"/>
  <c r="AE396" i="7" s="1"/>
  <c r="P395" i="7"/>
  <c r="AF395" i="7" s="1"/>
  <c r="P394" i="7"/>
  <c r="AC394" i="7" s="1"/>
  <c r="P393" i="7"/>
  <c r="P392" i="7"/>
  <c r="P391" i="7"/>
  <c r="AD391" i="7" s="1"/>
  <c r="P390" i="7"/>
  <c r="P389" i="7"/>
  <c r="AG389" i="7" s="1"/>
  <c r="P388" i="7"/>
  <c r="P387" i="7"/>
  <c r="P386" i="7"/>
  <c r="AC386" i="7" s="1"/>
  <c r="P385" i="7"/>
  <c r="P384" i="7"/>
  <c r="AE384" i="7" s="1"/>
  <c r="P383" i="7"/>
  <c r="P382" i="7"/>
  <c r="AC382" i="7" s="1"/>
  <c r="P381" i="7"/>
  <c r="P380" i="7"/>
  <c r="AE380" i="7" s="1"/>
  <c r="P379" i="7"/>
  <c r="AG379" i="7" s="1"/>
  <c r="P378" i="7"/>
  <c r="P377" i="7"/>
  <c r="AG377" i="7" s="1"/>
  <c r="P376" i="7"/>
  <c r="AE376" i="7" s="1"/>
  <c r="P375" i="7"/>
  <c r="AF375" i="7" s="1"/>
  <c r="P374" i="7"/>
  <c r="AG374" i="7" s="1"/>
  <c r="P373" i="7"/>
  <c r="P372" i="7"/>
  <c r="P371" i="7"/>
  <c r="AF371" i="7" s="1"/>
  <c r="P370" i="7"/>
  <c r="AD370" i="7" s="1"/>
  <c r="P369" i="7"/>
  <c r="P368" i="7"/>
  <c r="AD368" i="7" s="1"/>
  <c r="P367" i="7"/>
  <c r="AD367" i="7" s="1"/>
  <c r="P366" i="7"/>
  <c r="AG366" i="7" s="1"/>
  <c r="P365" i="7"/>
  <c r="AC365" i="7" s="1"/>
  <c r="P364" i="7"/>
  <c r="P363" i="7"/>
  <c r="AF363" i="7" s="1"/>
  <c r="P362" i="7"/>
  <c r="AD362" i="7" s="1"/>
  <c r="P361" i="7"/>
  <c r="P360" i="7"/>
  <c r="AD360" i="7" s="1"/>
  <c r="P359" i="7"/>
  <c r="P358" i="7"/>
  <c r="AG358" i="7" s="1"/>
  <c r="P357" i="7"/>
  <c r="P356" i="7"/>
  <c r="AG356" i="7" s="1"/>
  <c r="P355" i="7"/>
  <c r="AF355" i="7" s="1"/>
  <c r="P354" i="7"/>
  <c r="AD354" i="7" s="1"/>
  <c r="P353" i="7"/>
  <c r="AC353" i="7" s="1"/>
  <c r="P352" i="7"/>
  <c r="AD352" i="7" s="1"/>
  <c r="P351" i="7"/>
  <c r="P350" i="7"/>
  <c r="P349" i="7"/>
  <c r="AC349" i="7" s="1"/>
  <c r="P348" i="7"/>
  <c r="AG348" i="7" s="1"/>
  <c r="P347" i="7"/>
  <c r="AF347" i="7" s="1"/>
  <c r="P346" i="7"/>
  <c r="AD346" i="7" s="1"/>
  <c r="P345" i="7"/>
  <c r="AC345" i="7" s="1"/>
  <c r="P344" i="7"/>
  <c r="AD344" i="7" s="1"/>
  <c r="P343" i="7"/>
  <c r="AD343" i="7" s="1"/>
  <c r="P342" i="7"/>
  <c r="AC342" i="7" s="1"/>
  <c r="P341" i="7"/>
  <c r="P340" i="7"/>
  <c r="AG340" i="7" s="1"/>
  <c r="P339" i="7"/>
  <c r="AF339" i="7" s="1"/>
  <c r="P338" i="7"/>
  <c r="P337" i="7"/>
  <c r="AC337" i="7" s="1"/>
  <c r="P336" i="7"/>
  <c r="AD336" i="7" s="1"/>
  <c r="P335" i="7"/>
  <c r="P334" i="7"/>
  <c r="AG334" i="7" s="1"/>
  <c r="P333" i="7"/>
  <c r="P332" i="7"/>
  <c r="AG332" i="7" s="1"/>
  <c r="P331" i="7"/>
  <c r="AF331" i="7" s="1"/>
  <c r="P330" i="7"/>
  <c r="AD330" i="7" s="1"/>
  <c r="P329" i="7"/>
  <c r="AC329" i="7" s="1"/>
  <c r="P328" i="7"/>
  <c r="P327" i="7"/>
  <c r="P326" i="7"/>
  <c r="AG326" i="7" s="1"/>
  <c r="P325" i="7"/>
  <c r="AC325" i="7" s="1"/>
  <c r="P324" i="7"/>
  <c r="AG324" i="7" s="1"/>
  <c r="P323" i="7"/>
  <c r="AF323" i="7" s="1"/>
  <c r="P322" i="7"/>
  <c r="AD322" i="7" s="1"/>
  <c r="P321" i="7"/>
  <c r="AC321" i="7" s="1"/>
  <c r="P320" i="7"/>
  <c r="AD320" i="7" s="1"/>
  <c r="P319" i="7"/>
  <c r="AD319" i="7" s="1"/>
  <c r="P318" i="7"/>
  <c r="AG318" i="7" s="1"/>
  <c r="P317" i="7"/>
  <c r="P316" i="7"/>
  <c r="P315" i="7"/>
  <c r="AF315" i="7" s="1"/>
  <c r="P314" i="7"/>
  <c r="AD314" i="7" s="1"/>
  <c r="P313" i="7"/>
  <c r="P312" i="7"/>
  <c r="AD312" i="7" s="1"/>
  <c r="P311" i="7"/>
  <c r="P310" i="7"/>
  <c r="AG310" i="7" s="1"/>
  <c r="P309" i="7"/>
  <c r="P308" i="7"/>
  <c r="AG308" i="7" s="1"/>
  <c r="P307" i="7"/>
  <c r="AF307" i="7" s="1"/>
  <c r="P306" i="7"/>
  <c r="AD306" i="7" s="1"/>
  <c r="P305" i="7"/>
  <c r="P304" i="7"/>
  <c r="AF304" i="7" s="1"/>
  <c r="P303" i="7"/>
  <c r="AG303" i="7" s="1"/>
  <c r="P302" i="7"/>
  <c r="AG302" i="7" s="1"/>
  <c r="P301" i="7"/>
  <c r="AD301" i="7" s="1"/>
  <c r="P300" i="7"/>
  <c r="AE300" i="7" s="1"/>
  <c r="P299" i="7"/>
  <c r="AG299" i="7" s="1"/>
  <c r="P298" i="7"/>
  <c r="P297" i="7"/>
  <c r="P296" i="7"/>
  <c r="P295" i="7"/>
  <c r="P294" i="7"/>
  <c r="AC294" i="7" s="1"/>
  <c r="P293" i="7"/>
  <c r="AD293" i="7" s="1"/>
  <c r="P292" i="7"/>
  <c r="AC292" i="7" s="1"/>
  <c r="P291" i="7"/>
  <c r="AG291" i="7" s="1"/>
  <c r="P290" i="7"/>
  <c r="P289" i="7"/>
  <c r="AE289" i="7" s="1"/>
  <c r="P288" i="7"/>
  <c r="P287" i="7"/>
  <c r="P286" i="7"/>
  <c r="AD286" i="7" s="1"/>
  <c r="P285" i="7"/>
  <c r="AD285" i="7" s="1"/>
  <c r="P284" i="7"/>
  <c r="AE284" i="7" s="1"/>
  <c r="P283" i="7"/>
  <c r="P282" i="7"/>
  <c r="AD282" i="7" s="1"/>
  <c r="P281" i="7"/>
  <c r="AE281" i="7" s="1"/>
  <c r="P280" i="7"/>
  <c r="AC280" i="7" s="1"/>
  <c r="P279" i="7"/>
  <c r="P278" i="7"/>
  <c r="AG278" i="7" s="1"/>
  <c r="P277" i="7"/>
  <c r="AD277" i="7" s="1"/>
  <c r="P276" i="7"/>
  <c r="AE276" i="7" s="1"/>
  <c r="P275" i="7"/>
  <c r="AG275" i="7" s="1"/>
  <c r="P274" i="7"/>
  <c r="AD274" i="7" s="1"/>
  <c r="P273" i="7"/>
  <c r="P272" i="7"/>
  <c r="P271" i="7"/>
  <c r="P270" i="7"/>
  <c r="AD270" i="7" s="1"/>
  <c r="P269" i="7"/>
  <c r="AD269" i="7" s="1"/>
  <c r="P268" i="7"/>
  <c r="AE268" i="7" s="1"/>
  <c r="P267" i="7"/>
  <c r="AG267" i="7" s="1"/>
  <c r="P266" i="7"/>
  <c r="AE266" i="7" s="1"/>
  <c r="P265" i="7"/>
  <c r="AG265" i="7" s="1"/>
  <c r="P264" i="7"/>
  <c r="AC264" i="7" s="1"/>
  <c r="P263" i="7"/>
  <c r="P262" i="7"/>
  <c r="AC262" i="7" s="1"/>
  <c r="P261" i="7"/>
  <c r="AD261" i="7" s="1"/>
  <c r="P260" i="7"/>
  <c r="P259" i="7"/>
  <c r="AG259" i="7" s="1"/>
  <c r="P258" i="7"/>
  <c r="AE258" i="7" s="1"/>
  <c r="P257" i="7"/>
  <c r="AG257" i="7" s="1"/>
  <c r="P256" i="7"/>
  <c r="AC256" i="7" s="1"/>
  <c r="P255" i="7"/>
  <c r="AG255" i="7" s="1"/>
  <c r="P254" i="7"/>
  <c r="AD254" i="7" s="1"/>
  <c r="P253" i="7"/>
  <c r="AD253" i="7" s="1"/>
  <c r="P252" i="7"/>
  <c r="AE252" i="7" s="1"/>
  <c r="P251" i="7"/>
  <c r="AG251" i="7" s="1"/>
  <c r="P250" i="7"/>
  <c r="P249" i="7"/>
  <c r="AG249" i="7" s="1"/>
  <c r="P248" i="7"/>
  <c r="P247" i="7"/>
  <c r="AG247" i="7" s="1"/>
  <c r="P246" i="7"/>
  <c r="AE246" i="7" s="1"/>
  <c r="P245" i="7"/>
  <c r="AD245" i="7" s="1"/>
  <c r="P244" i="7"/>
  <c r="P243" i="7"/>
  <c r="AG243" i="7" s="1"/>
  <c r="P242" i="7"/>
  <c r="AE242" i="7" s="1"/>
  <c r="P241" i="7"/>
  <c r="AG241" i="7" s="1"/>
  <c r="P240" i="7"/>
  <c r="AC240" i="7" s="1"/>
  <c r="P239" i="7"/>
  <c r="AG239" i="7" s="1"/>
  <c r="P238" i="7"/>
  <c r="P237" i="7"/>
  <c r="AD237" i="7" s="1"/>
  <c r="P236" i="7"/>
  <c r="AC236" i="7" s="1"/>
  <c r="P235" i="7"/>
  <c r="AG235" i="7" s="1"/>
  <c r="P234" i="7"/>
  <c r="P233" i="7"/>
  <c r="AG233" i="7" s="1"/>
  <c r="P232" i="7"/>
  <c r="AC232" i="7" s="1"/>
  <c r="P231" i="7"/>
  <c r="P230" i="7"/>
  <c r="AE230" i="7" s="1"/>
  <c r="P229" i="7"/>
  <c r="AD229" i="7" s="1"/>
  <c r="P228" i="7"/>
  <c r="AC228" i="7" s="1"/>
  <c r="P227" i="7"/>
  <c r="AG227" i="7" s="1"/>
  <c r="P226" i="7"/>
  <c r="P225" i="7"/>
  <c r="AG225" i="7" s="1"/>
  <c r="P224" i="7"/>
  <c r="P223" i="7"/>
  <c r="P222" i="7"/>
  <c r="AE222" i="7" s="1"/>
  <c r="P221" i="7"/>
  <c r="AD221" i="7" s="1"/>
  <c r="P220" i="7"/>
  <c r="AC220" i="7" s="1"/>
  <c r="P219" i="7"/>
  <c r="AG219" i="7" s="1"/>
  <c r="P218" i="7"/>
  <c r="AD218" i="7" s="1"/>
  <c r="P217" i="7"/>
  <c r="P216" i="7"/>
  <c r="P215" i="7"/>
  <c r="AG215" i="7" s="1"/>
  <c r="P214" i="7"/>
  <c r="AE214" i="7" s="1"/>
  <c r="P213" i="7"/>
  <c r="P212" i="7"/>
  <c r="AC212" i="7" s="1"/>
  <c r="P211" i="7"/>
  <c r="P210" i="7"/>
  <c r="AD210" i="7" s="1"/>
  <c r="P209" i="7"/>
  <c r="P208" i="7"/>
  <c r="AC208" i="7" s="1"/>
  <c r="P207" i="7"/>
  <c r="AG207" i="7" s="1"/>
  <c r="P206" i="7"/>
  <c r="AE206" i="7" s="1"/>
  <c r="P205" i="7"/>
  <c r="AD205" i="7" s="1"/>
  <c r="P204" i="7"/>
  <c r="AC204" i="7" s="1"/>
  <c r="P203" i="7"/>
  <c r="AG203" i="7" s="1"/>
  <c r="P202" i="7"/>
  <c r="P201" i="7"/>
  <c r="AG201" i="7" s="1"/>
  <c r="P200" i="7"/>
  <c r="AC200" i="7" s="1"/>
  <c r="P199" i="7"/>
  <c r="P198" i="7"/>
  <c r="AE198" i="7" s="1"/>
  <c r="P197" i="7"/>
  <c r="AD197" i="7" s="1"/>
  <c r="P196" i="7"/>
  <c r="AC196" i="7" s="1"/>
  <c r="P195" i="7"/>
  <c r="AG195" i="7" s="1"/>
  <c r="P194" i="7"/>
  <c r="P193" i="7"/>
  <c r="AG193" i="7" s="1"/>
  <c r="P192" i="7"/>
  <c r="P191" i="7"/>
  <c r="P190" i="7"/>
  <c r="AE190" i="7" s="1"/>
  <c r="P189" i="7"/>
  <c r="AD189" i="7" s="1"/>
  <c r="P188" i="7"/>
  <c r="AC188" i="7" s="1"/>
  <c r="P187" i="7"/>
  <c r="AG187" i="7" s="1"/>
  <c r="P186" i="7"/>
  <c r="AD186" i="7" s="1"/>
  <c r="P185" i="7"/>
  <c r="AG185" i="7" s="1"/>
  <c r="P184" i="7"/>
  <c r="P183" i="7"/>
  <c r="AG183" i="7" s="1"/>
  <c r="P182" i="7"/>
  <c r="AE182" i="7" s="1"/>
  <c r="P181" i="7"/>
  <c r="AD181" i="7" s="1"/>
  <c r="P180" i="7"/>
  <c r="AC180" i="7" s="1"/>
  <c r="P179" i="7"/>
  <c r="AG179" i="7" s="1"/>
  <c r="P178" i="7"/>
  <c r="AE178" i="7" s="1"/>
  <c r="P177" i="7"/>
  <c r="AG177" i="7" s="1"/>
  <c r="P176" i="7"/>
  <c r="AC176" i="7" s="1"/>
  <c r="P175" i="7"/>
  <c r="AG175" i="7" s="1"/>
  <c r="P174" i="7"/>
  <c r="AE174" i="7" s="1"/>
  <c r="P173" i="7"/>
  <c r="AD173" i="7" s="1"/>
  <c r="P172" i="7"/>
  <c r="AC172" i="7" s="1"/>
  <c r="P171" i="7"/>
  <c r="AG171" i="7" s="1"/>
  <c r="P170" i="7"/>
  <c r="AE170" i="7" s="1"/>
  <c r="P169" i="7"/>
  <c r="AG169" i="7" s="1"/>
  <c r="P168" i="7"/>
  <c r="AC168" i="7" s="1"/>
  <c r="P167" i="7"/>
  <c r="P166" i="7"/>
  <c r="AE166" i="7" s="1"/>
  <c r="P165" i="7"/>
  <c r="AD165" i="7" s="1"/>
  <c r="P164" i="7"/>
  <c r="AC164" i="7" s="1"/>
  <c r="P163" i="7"/>
  <c r="AG163" i="7" s="1"/>
  <c r="P162" i="7"/>
  <c r="P161" i="7"/>
  <c r="AG161" i="7" s="1"/>
  <c r="P160" i="7"/>
  <c r="P159" i="7"/>
  <c r="P158" i="7"/>
  <c r="AE158" i="7" s="1"/>
  <c r="P157" i="7"/>
  <c r="AD157" i="7" s="1"/>
  <c r="P156" i="7"/>
  <c r="AC156" i="7" s="1"/>
  <c r="P155" i="7"/>
  <c r="AG155" i="7" s="1"/>
  <c r="P154" i="7"/>
  <c r="AE154" i="7" s="1"/>
  <c r="P153" i="7"/>
  <c r="AG153" i="7" s="1"/>
  <c r="P152" i="7"/>
  <c r="P151" i="7"/>
  <c r="AG151" i="7" s="1"/>
  <c r="P150" i="7"/>
  <c r="AE150" i="7" s="1"/>
  <c r="P149" i="7"/>
  <c r="AD149" i="7" s="1"/>
  <c r="P148" i="7"/>
  <c r="AC148" i="7" s="1"/>
  <c r="P147" i="7"/>
  <c r="AG147" i="7" s="1"/>
  <c r="P146" i="7"/>
  <c r="AE146" i="7" s="1"/>
  <c r="P145" i="7"/>
  <c r="AG145" i="7" s="1"/>
  <c r="P144" i="7"/>
  <c r="P143" i="7"/>
  <c r="AG143" i="7" s="1"/>
  <c r="P142" i="7"/>
  <c r="AE142" i="7" s="1"/>
  <c r="P141" i="7"/>
  <c r="AD141" i="7" s="1"/>
  <c r="P140" i="7"/>
  <c r="AC140" i="7" s="1"/>
  <c r="P139" i="7"/>
  <c r="AG139" i="7" s="1"/>
  <c r="P138" i="7"/>
  <c r="AD138" i="7" s="1"/>
  <c r="P137" i="7"/>
  <c r="AG137" i="7" s="1"/>
  <c r="P136" i="7"/>
  <c r="AC136" i="7" s="1"/>
  <c r="P135" i="7"/>
  <c r="AG135" i="7" s="1"/>
  <c r="P134" i="7"/>
  <c r="AE134" i="7" s="1"/>
  <c r="P133" i="7"/>
  <c r="AD133" i="7" s="1"/>
  <c r="P132" i="7"/>
  <c r="AC132" i="7" s="1"/>
  <c r="P131" i="7"/>
  <c r="AG131" i="7" s="1"/>
  <c r="P130" i="7"/>
  <c r="P129" i="7"/>
  <c r="AG129" i="7" s="1"/>
  <c r="P128" i="7"/>
  <c r="P127" i="7"/>
  <c r="AG127" i="7" s="1"/>
  <c r="P126" i="7"/>
  <c r="AE126" i="7" s="1"/>
  <c r="P125" i="7"/>
  <c r="AD125" i="7" s="1"/>
  <c r="P124" i="7"/>
  <c r="AC124" i="7" s="1"/>
  <c r="P123" i="7"/>
  <c r="AD123" i="7" s="1"/>
  <c r="P122" i="7"/>
  <c r="AE122" i="7" s="1"/>
  <c r="P121" i="7"/>
  <c r="AG121" i="7" s="1"/>
  <c r="P120" i="7"/>
  <c r="P119" i="7"/>
  <c r="AG119" i="7" s="1"/>
  <c r="P118" i="7"/>
  <c r="AE118" i="7" s="1"/>
  <c r="P117" i="7"/>
  <c r="AD117" i="7" s="1"/>
  <c r="P116" i="7"/>
  <c r="AC116" i="7" s="1"/>
  <c r="P115" i="7"/>
  <c r="AD115" i="7" s="1"/>
  <c r="P114" i="7"/>
  <c r="P113" i="7"/>
  <c r="AG113" i="7" s="1"/>
  <c r="P112" i="7"/>
  <c r="P111" i="7"/>
  <c r="AF111" i="7" s="1"/>
  <c r="P110" i="7"/>
  <c r="AG110" i="7" s="1"/>
  <c r="P109" i="7"/>
  <c r="AG109" i="7" s="1"/>
  <c r="P108" i="7"/>
  <c r="AG108" i="7" s="1"/>
  <c r="P107" i="7"/>
  <c r="P106" i="7"/>
  <c r="AF106" i="7" s="1"/>
  <c r="P105" i="7"/>
  <c r="AD105" i="7" s="1"/>
  <c r="P104" i="7"/>
  <c r="AC104" i="7" s="1"/>
  <c r="P103" i="7"/>
  <c r="AC103" i="7" s="1"/>
  <c r="P102" i="7"/>
  <c r="AG102" i="7" s="1"/>
  <c r="P101" i="7"/>
  <c r="AG101" i="7" s="1"/>
  <c r="P100" i="7"/>
  <c r="AG100" i="7" s="1"/>
  <c r="P99" i="7"/>
  <c r="P98" i="7"/>
  <c r="AF98" i="7" s="1"/>
  <c r="P97" i="7"/>
  <c r="AD97" i="7" s="1"/>
  <c r="P96" i="7"/>
  <c r="AC96" i="7" s="1"/>
  <c r="P95" i="7"/>
  <c r="AG95" i="7" s="1"/>
  <c r="P94" i="7"/>
  <c r="AG94" i="7" s="1"/>
  <c r="P93" i="7"/>
  <c r="AG93" i="7" s="1"/>
  <c r="P92" i="7"/>
  <c r="AG92" i="7" s="1"/>
  <c r="P91" i="7"/>
  <c r="P90" i="7"/>
  <c r="AF90" i="7" s="1"/>
  <c r="P89" i="7"/>
  <c r="AD89" i="7" s="1"/>
  <c r="P88" i="7"/>
  <c r="AC88" i="7" s="1"/>
  <c r="P87" i="7"/>
  <c r="AD87" i="7" s="1"/>
  <c r="P86" i="7"/>
  <c r="AG86" i="7" s="1"/>
  <c r="P85" i="7"/>
  <c r="AG85" i="7" s="1"/>
  <c r="P84" i="7"/>
  <c r="AG84" i="7" s="1"/>
  <c r="P83" i="7"/>
  <c r="P82" i="7"/>
  <c r="AF82" i="7" s="1"/>
  <c r="P81" i="7"/>
  <c r="AD81" i="7" s="1"/>
  <c r="P80" i="7"/>
  <c r="AC80" i="7" s="1"/>
  <c r="P79" i="7"/>
  <c r="AG79" i="7" s="1"/>
  <c r="P78" i="7"/>
  <c r="AG78" i="7" s="1"/>
  <c r="P77" i="7"/>
  <c r="AG77" i="7" s="1"/>
  <c r="P76" i="7"/>
  <c r="AG76" i="7" s="1"/>
  <c r="P75" i="7"/>
  <c r="P74" i="7"/>
  <c r="AF74" i="7" s="1"/>
  <c r="P73" i="7"/>
  <c r="AD73" i="7" s="1"/>
  <c r="P72" i="7"/>
  <c r="AC72" i="7" s="1"/>
  <c r="P71" i="7"/>
  <c r="AG71" i="7" s="1"/>
  <c r="P70" i="7"/>
  <c r="AG70" i="7" s="1"/>
  <c r="P69" i="7"/>
  <c r="AG69" i="7" s="1"/>
  <c r="P68" i="7"/>
  <c r="AG68" i="7" s="1"/>
  <c r="P67" i="7"/>
  <c r="P66" i="7"/>
  <c r="AF66" i="7" s="1"/>
  <c r="P65" i="7"/>
  <c r="AD65" i="7" s="1"/>
  <c r="P64" i="7"/>
  <c r="AC64" i="7" s="1"/>
  <c r="P63" i="7"/>
  <c r="AE63" i="7" s="1"/>
  <c r="P62" i="7"/>
  <c r="AG62" i="7" s="1"/>
  <c r="P61" i="7"/>
  <c r="AG61" i="7" s="1"/>
  <c r="P60" i="7"/>
  <c r="AG60" i="7" s="1"/>
  <c r="P59" i="7"/>
  <c r="P58" i="7"/>
  <c r="AF58" i="7" s="1"/>
  <c r="P57" i="7"/>
  <c r="AD57" i="7" s="1"/>
  <c r="P56" i="7"/>
  <c r="AC56" i="7" s="1"/>
  <c r="P55" i="7"/>
  <c r="AG55" i="7" s="1"/>
  <c r="P54" i="7"/>
  <c r="AG54" i="7" s="1"/>
  <c r="P53" i="7"/>
  <c r="AG53" i="7" s="1"/>
  <c r="P52" i="7"/>
  <c r="AG52" i="7" s="1"/>
  <c r="P51" i="7"/>
  <c r="P50" i="7"/>
  <c r="AF50" i="7" s="1"/>
  <c r="P49" i="7"/>
  <c r="AD49" i="7" s="1"/>
  <c r="P48" i="7"/>
  <c r="AC48" i="7" s="1"/>
  <c r="P47" i="7"/>
  <c r="AE47" i="7" s="1"/>
  <c r="P46" i="7"/>
  <c r="AG46" i="7" s="1"/>
  <c r="P45" i="7"/>
  <c r="AG45" i="7" s="1"/>
  <c r="P44" i="7"/>
  <c r="AG44" i="7" s="1"/>
  <c r="P43" i="7"/>
  <c r="P42" i="7"/>
  <c r="AF42" i="7" s="1"/>
  <c r="P41" i="7"/>
  <c r="AD41" i="7" s="1"/>
  <c r="P40" i="7"/>
  <c r="AC40" i="7" s="1"/>
  <c r="P39" i="7"/>
  <c r="AE39" i="7" s="1"/>
  <c r="P38" i="7"/>
  <c r="AG38" i="7" s="1"/>
  <c r="P37" i="7"/>
  <c r="AG37" i="7" s="1"/>
  <c r="P36" i="7"/>
  <c r="AG36" i="7" s="1"/>
  <c r="P35" i="7"/>
  <c r="P34" i="7"/>
  <c r="AF34" i="7" s="1"/>
  <c r="F48" i="16" s="1"/>
  <c r="P33" i="7"/>
  <c r="AD33" i="7" s="1"/>
  <c r="P32" i="7"/>
  <c r="AC32" i="7" s="1"/>
  <c r="C43" i="16" s="1"/>
  <c r="P31" i="7"/>
  <c r="AE31" i="7" s="1"/>
  <c r="P30" i="7"/>
  <c r="AG30" i="7" s="1"/>
  <c r="P29" i="7"/>
  <c r="AG29" i="7" s="1"/>
  <c r="G41" i="16" s="1"/>
  <c r="P28" i="7"/>
  <c r="AG28" i="7" s="1"/>
  <c r="G39" i="16" s="1"/>
  <c r="P27" i="7"/>
  <c r="P26" i="7"/>
  <c r="AF26" i="7" s="1"/>
  <c r="F34" i="16" s="1"/>
  <c r="P25" i="7"/>
  <c r="AD25" i="7" s="1"/>
  <c r="P24" i="7"/>
  <c r="AC24" i="7" s="1"/>
  <c r="P23" i="7"/>
  <c r="AE23" i="7" s="1"/>
  <c r="E32" i="16" s="1"/>
  <c r="P22" i="7"/>
  <c r="AG22" i="7" s="1"/>
  <c r="G30" i="16" s="1"/>
  <c r="P21" i="7"/>
  <c r="AG21" i="7" s="1"/>
  <c r="P20" i="7"/>
  <c r="AG20" i="7" s="1"/>
  <c r="G25" i="16" s="1"/>
  <c r="P19" i="7"/>
  <c r="P18" i="7"/>
  <c r="AF18" i="7" s="1"/>
  <c r="P17" i="7"/>
  <c r="AD17" i="7" s="1"/>
  <c r="D23" i="16" s="1"/>
  <c r="P16" i="7"/>
  <c r="AC16" i="7" s="1"/>
  <c r="C21" i="16" s="1"/>
  <c r="P15" i="7"/>
  <c r="AE15" i="7" s="1"/>
  <c r="P14" i="7"/>
  <c r="AG14" i="7" s="1"/>
  <c r="G16" i="16" s="1"/>
  <c r="P13" i="7"/>
  <c r="AG13" i="7" s="1"/>
  <c r="P12" i="7"/>
  <c r="AG12" i="7" s="1"/>
  <c r="P11" i="7"/>
  <c r="P10" i="7"/>
  <c r="AF10" i="7" s="1"/>
  <c r="F12" i="16" s="1"/>
  <c r="P9" i="7"/>
  <c r="AD9" i="7" s="1"/>
  <c r="P8" i="7"/>
  <c r="AC8" i="7" s="1"/>
  <c r="C7" i="16" s="1"/>
  <c r="P7" i="7"/>
  <c r="AE7" i="7" s="1"/>
  <c r="P6" i="7"/>
  <c r="AG6" i="7" s="1"/>
  <c r="P5" i="7"/>
  <c r="AG5" i="7" s="1"/>
  <c r="G5" i="16" s="1"/>
  <c r="D30" i="5"/>
  <c r="D29" i="5"/>
  <c r="D28" i="5"/>
  <c r="G13" i="5"/>
  <c r="G47" i="16"/>
  <c r="F47" i="16"/>
  <c r="E47" i="16"/>
  <c r="D47" i="16"/>
  <c r="C47" i="16"/>
  <c r="G46" i="16"/>
  <c r="F46" i="16"/>
  <c r="E46" i="16"/>
  <c r="D46" i="16"/>
  <c r="C46" i="16"/>
  <c r="G45" i="16"/>
  <c r="F45" i="16"/>
  <c r="E45" i="16"/>
  <c r="D45" i="16"/>
  <c r="C45" i="16"/>
  <c r="G44" i="16"/>
  <c r="F44" i="16"/>
  <c r="E44" i="16"/>
  <c r="D44" i="16"/>
  <c r="C44" i="16"/>
  <c r="G38" i="16"/>
  <c r="F38" i="16"/>
  <c r="E38" i="16"/>
  <c r="D38" i="16"/>
  <c r="C38" i="16"/>
  <c r="G37" i="16"/>
  <c r="F37" i="16"/>
  <c r="E37" i="16"/>
  <c r="D37" i="16"/>
  <c r="C37" i="16"/>
  <c r="G36" i="16"/>
  <c r="F36" i="16"/>
  <c r="E36" i="16"/>
  <c r="D36" i="16"/>
  <c r="C36" i="16"/>
  <c r="G35" i="16"/>
  <c r="F35" i="16"/>
  <c r="E35" i="16"/>
  <c r="D35" i="16"/>
  <c r="C35" i="16"/>
  <c r="G29" i="16"/>
  <c r="F29" i="16"/>
  <c r="E29" i="16"/>
  <c r="D29" i="16"/>
  <c r="C29" i="16"/>
  <c r="G28" i="16"/>
  <c r="F28" i="16"/>
  <c r="E28" i="16"/>
  <c r="D28" i="16"/>
  <c r="C28" i="16"/>
  <c r="G27" i="16"/>
  <c r="F27" i="16"/>
  <c r="E27" i="16"/>
  <c r="D27" i="16"/>
  <c r="C27" i="16"/>
  <c r="G26" i="16"/>
  <c r="F26" i="16"/>
  <c r="E26" i="16"/>
  <c r="D26" i="16"/>
  <c r="C26" i="16"/>
  <c r="G20" i="16"/>
  <c r="F20" i="16"/>
  <c r="E20" i="16"/>
  <c r="D20" i="16"/>
  <c r="C20" i="16"/>
  <c r="G19" i="16"/>
  <c r="F19" i="16"/>
  <c r="E19" i="16"/>
  <c r="D19" i="16"/>
  <c r="C19" i="16"/>
  <c r="G18" i="16"/>
  <c r="F18" i="16"/>
  <c r="E18" i="16"/>
  <c r="D18" i="16"/>
  <c r="C18" i="16"/>
  <c r="G17" i="16"/>
  <c r="F17" i="16"/>
  <c r="E17" i="16"/>
  <c r="D17" i="16"/>
  <c r="C17" i="16"/>
  <c r="G11" i="16"/>
  <c r="F11" i="16"/>
  <c r="E11" i="16"/>
  <c r="D11" i="16"/>
  <c r="C11" i="16"/>
  <c r="G10" i="16"/>
  <c r="F10" i="16"/>
  <c r="E10" i="16"/>
  <c r="D10" i="16"/>
  <c r="C10" i="16"/>
  <c r="G9" i="16"/>
  <c r="F9" i="16"/>
  <c r="E9" i="16"/>
  <c r="D9" i="16"/>
  <c r="C9" i="16"/>
  <c r="G8" i="16"/>
  <c r="F8" i="16"/>
  <c r="E8" i="16"/>
  <c r="D8" i="16"/>
  <c r="C8" i="16"/>
  <c r="I49" i="16" l="1"/>
  <c r="J49" i="16"/>
  <c r="I48" i="16"/>
  <c r="J48" i="16"/>
  <c r="J47" i="16"/>
  <c r="J46" i="16"/>
  <c r="I46" i="16"/>
  <c r="I47" i="16"/>
  <c r="I45" i="16"/>
  <c r="J45" i="16"/>
  <c r="J44" i="16"/>
  <c r="J43" i="16"/>
  <c r="I44" i="16"/>
  <c r="I43" i="16"/>
  <c r="J42" i="16"/>
  <c r="I42" i="16"/>
  <c r="J41" i="16"/>
  <c r="I41" i="16"/>
  <c r="I40" i="16"/>
  <c r="J40" i="16"/>
  <c r="J39" i="16"/>
  <c r="I39" i="16"/>
  <c r="I38" i="16"/>
  <c r="J38" i="16"/>
  <c r="J37" i="16"/>
  <c r="I37" i="16"/>
  <c r="J36" i="16"/>
  <c r="I36" i="16"/>
  <c r="J35" i="16"/>
  <c r="I35" i="16"/>
  <c r="J34" i="16"/>
  <c r="I34" i="16"/>
  <c r="I33" i="16"/>
  <c r="J33" i="16"/>
  <c r="J32" i="16"/>
  <c r="J31" i="16"/>
  <c r="I32" i="16"/>
  <c r="I31" i="16"/>
  <c r="I28" i="16"/>
  <c r="I30" i="16"/>
  <c r="J30" i="16"/>
  <c r="J29" i="16"/>
  <c r="J28" i="16"/>
  <c r="I29" i="16"/>
  <c r="J27" i="16"/>
  <c r="J26" i="16"/>
  <c r="I27" i="16"/>
  <c r="I26" i="16"/>
  <c r="I25" i="16"/>
  <c r="J25" i="16"/>
  <c r="J24" i="16"/>
  <c r="I24" i="16"/>
  <c r="J22" i="16"/>
  <c r="I23" i="16"/>
  <c r="J23" i="16"/>
  <c r="I21" i="16"/>
  <c r="I22" i="16"/>
  <c r="J21" i="16"/>
  <c r="I20" i="16"/>
  <c r="J20" i="16"/>
  <c r="I19" i="16"/>
  <c r="J19" i="16"/>
  <c r="I18" i="16"/>
  <c r="J18" i="16"/>
  <c r="J17" i="16"/>
  <c r="J16" i="16"/>
  <c r="I17" i="16"/>
  <c r="J15" i="16"/>
  <c r="I16" i="16"/>
  <c r="I15" i="16"/>
  <c r="I14" i="16"/>
  <c r="J14" i="16"/>
  <c r="M243" i="10"/>
  <c r="O243" i="10"/>
  <c r="R243" i="10" s="1"/>
  <c r="M244" i="10"/>
  <c r="O244" i="10"/>
  <c r="R244" i="10" s="1"/>
  <c r="M245" i="10"/>
  <c r="O245" i="10"/>
  <c r="R245" i="10" s="1"/>
  <c r="M246" i="10"/>
  <c r="O246" i="10"/>
  <c r="R246" i="10" s="1"/>
  <c r="M247" i="10"/>
  <c r="O247" i="10"/>
  <c r="R247" i="10" s="1"/>
  <c r="M248" i="10"/>
  <c r="O248" i="10"/>
  <c r="R248" i="10" s="1"/>
  <c r="M249" i="10"/>
  <c r="O249" i="10"/>
  <c r="R249" i="10" s="1"/>
  <c r="M250" i="10"/>
  <c r="O250" i="10"/>
  <c r="R250" i="10" s="1"/>
  <c r="M251" i="10"/>
  <c r="O251" i="10"/>
  <c r="R251" i="10" s="1"/>
  <c r="M252" i="10"/>
  <c r="O252" i="10"/>
  <c r="R252" i="10" s="1"/>
  <c r="M253" i="10"/>
  <c r="O253" i="10"/>
  <c r="R253" i="10" s="1"/>
  <c r="M254" i="10"/>
  <c r="O254" i="10"/>
  <c r="R254" i="10" s="1"/>
  <c r="M255" i="10"/>
  <c r="O255" i="10"/>
  <c r="R255" i="10" s="1"/>
  <c r="M256" i="10"/>
  <c r="O256" i="10"/>
  <c r="R256" i="10" s="1"/>
  <c r="M257" i="10"/>
  <c r="O257" i="10"/>
  <c r="R257" i="10" s="1"/>
  <c r="M258" i="10"/>
  <c r="O258" i="10"/>
  <c r="R258" i="10" s="1"/>
  <c r="M259" i="10"/>
  <c r="O259" i="10"/>
  <c r="R259" i="10" s="1"/>
  <c r="M260" i="10"/>
  <c r="O260" i="10"/>
  <c r="R260" i="10" s="1"/>
  <c r="M261" i="10"/>
  <c r="O261" i="10"/>
  <c r="R261" i="10" s="1"/>
  <c r="M262" i="10"/>
  <c r="O262" i="10"/>
  <c r="R262" i="10" s="1"/>
  <c r="M263" i="10"/>
  <c r="O263" i="10"/>
  <c r="R263" i="10" s="1"/>
  <c r="M264" i="10"/>
  <c r="O264" i="10"/>
  <c r="R264" i="10" s="1"/>
  <c r="M265" i="10"/>
  <c r="O265" i="10"/>
  <c r="R265" i="10" s="1"/>
  <c r="M266" i="10"/>
  <c r="O266" i="10"/>
  <c r="R266" i="10" s="1"/>
  <c r="M267" i="10"/>
  <c r="O267" i="10"/>
  <c r="R267" i="10" s="1"/>
  <c r="M268" i="10"/>
  <c r="O268" i="10"/>
  <c r="R268" i="10" s="1"/>
  <c r="M269" i="10"/>
  <c r="O269" i="10"/>
  <c r="R269" i="10" s="1"/>
  <c r="M270" i="10"/>
  <c r="O270" i="10"/>
  <c r="R270" i="10" s="1"/>
  <c r="M271" i="10"/>
  <c r="O271" i="10"/>
  <c r="R271" i="10" s="1"/>
  <c r="M272" i="10"/>
  <c r="O272" i="10"/>
  <c r="R272" i="10" s="1"/>
  <c r="M273" i="10"/>
  <c r="O273" i="10"/>
  <c r="R273" i="10" s="1"/>
  <c r="M274" i="10"/>
  <c r="O274" i="10"/>
  <c r="R274" i="10" s="1"/>
  <c r="M275" i="10"/>
  <c r="O275" i="10"/>
  <c r="R275" i="10" s="1"/>
  <c r="M276" i="10"/>
  <c r="O276" i="10"/>
  <c r="R276" i="10" s="1"/>
  <c r="M277" i="10"/>
  <c r="O277" i="10"/>
  <c r="R277" i="10" s="1"/>
  <c r="M278" i="10"/>
  <c r="O278" i="10"/>
  <c r="R278" i="10" s="1"/>
  <c r="M279" i="10"/>
  <c r="O279" i="10"/>
  <c r="R279" i="10" s="1"/>
  <c r="M280" i="10"/>
  <c r="O280" i="10"/>
  <c r="R280" i="10" s="1"/>
  <c r="M281" i="10"/>
  <c r="O281" i="10"/>
  <c r="R281" i="10" s="1"/>
  <c r="M282" i="10"/>
  <c r="O282" i="10"/>
  <c r="R282" i="10" s="1"/>
  <c r="M283" i="10"/>
  <c r="O283" i="10"/>
  <c r="R283" i="10" s="1"/>
  <c r="M284" i="10"/>
  <c r="O284" i="10"/>
  <c r="R284" i="10" s="1"/>
  <c r="M285" i="10"/>
  <c r="O285" i="10"/>
  <c r="R285" i="10" s="1"/>
  <c r="M286" i="10"/>
  <c r="O286" i="10"/>
  <c r="R286" i="10" s="1"/>
  <c r="M287" i="10"/>
  <c r="O287" i="10"/>
  <c r="R287" i="10" s="1"/>
  <c r="M288" i="10"/>
  <c r="O288" i="10"/>
  <c r="R288" i="10" s="1"/>
  <c r="M289" i="10"/>
  <c r="O289" i="10"/>
  <c r="R289" i="10" s="1"/>
  <c r="M290" i="10"/>
  <c r="O290" i="10"/>
  <c r="R290" i="10" s="1"/>
  <c r="M291" i="10"/>
  <c r="O291" i="10"/>
  <c r="R291" i="10" s="1"/>
  <c r="M292" i="10"/>
  <c r="O292" i="10"/>
  <c r="R292" i="10" s="1"/>
  <c r="M293" i="10"/>
  <c r="O293" i="10"/>
  <c r="R293" i="10" s="1"/>
  <c r="M294" i="10"/>
  <c r="O294" i="10"/>
  <c r="R294" i="10" s="1"/>
  <c r="M295" i="10"/>
  <c r="O295" i="10"/>
  <c r="R295" i="10" s="1"/>
  <c r="M296" i="10"/>
  <c r="O296" i="10"/>
  <c r="R296" i="10" s="1"/>
  <c r="M297" i="10"/>
  <c r="O297" i="10"/>
  <c r="R297" i="10" s="1"/>
  <c r="M298" i="10"/>
  <c r="O298" i="10"/>
  <c r="R298" i="10" s="1"/>
  <c r="M299" i="10"/>
  <c r="O299" i="10"/>
  <c r="R299" i="10" s="1"/>
  <c r="M300" i="10"/>
  <c r="O300" i="10"/>
  <c r="R300" i="10" s="1"/>
  <c r="M301" i="10"/>
  <c r="O301" i="10"/>
  <c r="R301" i="10" s="1"/>
  <c r="M302" i="10"/>
  <c r="O302" i="10"/>
  <c r="R302" i="10" s="1"/>
  <c r="M303" i="10"/>
  <c r="O303" i="10"/>
  <c r="R303" i="10" s="1"/>
  <c r="M304" i="10"/>
  <c r="O304" i="10"/>
  <c r="R304" i="10" s="1"/>
  <c r="M54" i="10"/>
  <c r="M53" i="10"/>
  <c r="M52" i="10"/>
  <c r="M51" i="10"/>
  <c r="M50" i="10"/>
  <c r="M49" i="10"/>
  <c r="M48" i="10"/>
  <c r="M47" i="10"/>
  <c r="M46" i="10"/>
  <c r="M45" i="10"/>
  <c r="M44" i="10"/>
  <c r="M43" i="10"/>
  <c r="M42" i="10"/>
  <c r="M41" i="10"/>
  <c r="M40" i="10"/>
  <c r="M39" i="10"/>
  <c r="M38" i="10"/>
  <c r="M37" i="10"/>
  <c r="M36" i="10"/>
  <c r="M35" i="10"/>
  <c r="M34" i="10"/>
  <c r="M33" i="10"/>
  <c r="M32" i="10"/>
  <c r="M31" i="10"/>
  <c r="M30" i="10"/>
  <c r="M29" i="10"/>
  <c r="M28" i="10"/>
  <c r="M27" i="10"/>
  <c r="M26" i="10"/>
  <c r="M25" i="10"/>
  <c r="M24" i="10"/>
  <c r="M23" i="10"/>
  <c r="M22" i="10"/>
  <c r="M21" i="10"/>
  <c r="M20" i="10"/>
  <c r="M19" i="10"/>
  <c r="M18" i="10"/>
  <c r="M17" i="10"/>
  <c r="M16" i="10"/>
  <c r="M15" i="10"/>
  <c r="M14" i="10"/>
  <c r="M13" i="10"/>
  <c r="M12" i="10"/>
  <c r="M11" i="10"/>
  <c r="M10" i="10"/>
  <c r="M9" i="10"/>
  <c r="M8" i="10"/>
  <c r="M7" i="10"/>
  <c r="M6" i="10"/>
  <c r="M5" i="10"/>
  <c r="O5" i="10"/>
  <c r="R5" i="10" s="1"/>
  <c r="M55" i="10"/>
  <c r="O55" i="10"/>
  <c r="R55" i="10" s="1"/>
  <c r="M56" i="10"/>
  <c r="O56" i="10"/>
  <c r="R56" i="10" s="1"/>
  <c r="M57" i="10"/>
  <c r="O57" i="10"/>
  <c r="R57" i="10" s="1"/>
  <c r="M58" i="10"/>
  <c r="O58" i="10"/>
  <c r="R58" i="10" s="1"/>
  <c r="M59" i="10"/>
  <c r="O59" i="10"/>
  <c r="R59" i="10" s="1"/>
  <c r="M60" i="10"/>
  <c r="O60" i="10"/>
  <c r="R60" i="10" s="1"/>
  <c r="M61" i="10"/>
  <c r="O61" i="10"/>
  <c r="R61" i="10" s="1"/>
  <c r="M62" i="10"/>
  <c r="O62" i="10"/>
  <c r="R62" i="10" s="1"/>
  <c r="M63" i="10"/>
  <c r="O63" i="10"/>
  <c r="R63" i="10" s="1"/>
  <c r="M64" i="10"/>
  <c r="O64" i="10"/>
  <c r="R64" i="10" s="1"/>
  <c r="M65" i="10"/>
  <c r="O65" i="10"/>
  <c r="R65" i="10" s="1"/>
  <c r="M66" i="10"/>
  <c r="O66" i="10"/>
  <c r="R66" i="10" s="1"/>
  <c r="M67" i="10"/>
  <c r="O67" i="10"/>
  <c r="R67" i="10" s="1"/>
  <c r="M68" i="10"/>
  <c r="O68" i="10"/>
  <c r="R68" i="10" s="1"/>
  <c r="M69" i="10"/>
  <c r="O69" i="10"/>
  <c r="R69" i="10" s="1"/>
  <c r="M70" i="10"/>
  <c r="O70" i="10"/>
  <c r="R70" i="10" s="1"/>
  <c r="M71" i="10"/>
  <c r="O71" i="10"/>
  <c r="R71" i="10" s="1"/>
  <c r="M72" i="10"/>
  <c r="O72" i="10"/>
  <c r="R72" i="10" s="1"/>
  <c r="M73" i="10"/>
  <c r="O73" i="10"/>
  <c r="R73" i="10" s="1"/>
  <c r="M74" i="10"/>
  <c r="O74" i="10"/>
  <c r="R74" i="10" s="1"/>
  <c r="M75" i="10"/>
  <c r="O75" i="10"/>
  <c r="R75" i="10" s="1"/>
  <c r="M76" i="10"/>
  <c r="O76" i="10"/>
  <c r="R76" i="10" s="1"/>
  <c r="M77" i="10"/>
  <c r="O77" i="10"/>
  <c r="R77" i="10" s="1"/>
  <c r="M78" i="10"/>
  <c r="O78" i="10"/>
  <c r="R78" i="10" s="1"/>
  <c r="M79" i="10"/>
  <c r="O79" i="10"/>
  <c r="R79" i="10" s="1"/>
  <c r="M80" i="10"/>
  <c r="O80" i="10"/>
  <c r="R80" i="10" s="1"/>
  <c r="M81" i="10"/>
  <c r="O81" i="10"/>
  <c r="R81" i="10" s="1"/>
  <c r="M82" i="10"/>
  <c r="O82" i="10"/>
  <c r="R82" i="10" s="1"/>
  <c r="M83" i="10"/>
  <c r="O83" i="10"/>
  <c r="R83" i="10" s="1"/>
  <c r="M84" i="10"/>
  <c r="O84" i="10"/>
  <c r="R84" i="10" s="1"/>
  <c r="M85" i="10"/>
  <c r="O85" i="10"/>
  <c r="R85" i="10" s="1"/>
  <c r="M86" i="10"/>
  <c r="O86" i="10"/>
  <c r="R86" i="10" s="1"/>
  <c r="M87" i="10"/>
  <c r="O87" i="10"/>
  <c r="R87" i="10" s="1"/>
  <c r="M88" i="10"/>
  <c r="O88" i="10"/>
  <c r="R88" i="10" s="1"/>
  <c r="M89" i="10"/>
  <c r="O89" i="10"/>
  <c r="R89" i="10" s="1"/>
  <c r="M90" i="10"/>
  <c r="O90" i="10"/>
  <c r="R90" i="10" s="1"/>
  <c r="M91" i="10"/>
  <c r="O91" i="10"/>
  <c r="R91" i="10" s="1"/>
  <c r="M92" i="10"/>
  <c r="O92" i="10"/>
  <c r="R92" i="10" s="1"/>
  <c r="M93" i="10"/>
  <c r="O93" i="10"/>
  <c r="R93" i="10" s="1"/>
  <c r="M94" i="10"/>
  <c r="O94" i="10"/>
  <c r="R94" i="10" s="1"/>
  <c r="M95" i="10"/>
  <c r="O95" i="10"/>
  <c r="R95" i="10" s="1"/>
  <c r="M96" i="10"/>
  <c r="O96" i="10"/>
  <c r="R96" i="10" s="1"/>
  <c r="M97" i="10"/>
  <c r="O97" i="10"/>
  <c r="R97" i="10" s="1"/>
  <c r="M98" i="10"/>
  <c r="O98" i="10"/>
  <c r="R98" i="10" s="1"/>
  <c r="M99" i="10"/>
  <c r="O99" i="10"/>
  <c r="R99" i="10" s="1"/>
  <c r="M100" i="10"/>
  <c r="O100" i="10"/>
  <c r="R100" i="10" s="1"/>
  <c r="M101" i="10"/>
  <c r="O101" i="10"/>
  <c r="R101" i="10" s="1"/>
  <c r="M102" i="10"/>
  <c r="O102" i="10"/>
  <c r="R102" i="10" s="1"/>
  <c r="M103" i="10"/>
  <c r="O103" i="10"/>
  <c r="R103" i="10" s="1"/>
  <c r="M104" i="10"/>
  <c r="O104" i="10"/>
  <c r="R104" i="10" s="1"/>
  <c r="M105" i="10"/>
  <c r="O105" i="10"/>
  <c r="R105" i="10" s="1"/>
  <c r="M106" i="10"/>
  <c r="O106" i="10"/>
  <c r="R106" i="10" s="1"/>
  <c r="M107" i="10"/>
  <c r="O107" i="10"/>
  <c r="R107" i="10" s="1"/>
  <c r="M108" i="10"/>
  <c r="O108" i="10"/>
  <c r="R108" i="10" s="1"/>
  <c r="M109" i="10"/>
  <c r="O109" i="10"/>
  <c r="R109" i="10" s="1"/>
  <c r="M110" i="10"/>
  <c r="O110" i="10"/>
  <c r="R110" i="10" s="1"/>
  <c r="M111" i="10"/>
  <c r="O111" i="10"/>
  <c r="R111" i="10" s="1"/>
  <c r="M112" i="10"/>
  <c r="O112" i="10"/>
  <c r="R112" i="10" s="1"/>
  <c r="M113" i="10"/>
  <c r="O113" i="10"/>
  <c r="R113" i="10" s="1"/>
  <c r="M114" i="10"/>
  <c r="O114" i="10"/>
  <c r="R114" i="10" s="1"/>
  <c r="M115" i="10"/>
  <c r="O115" i="10"/>
  <c r="R115" i="10" s="1"/>
  <c r="M116" i="10"/>
  <c r="O116" i="10"/>
  <c r="R116" i="10" s="1"/>
  <c r="M117" i="10"/>
  <c r="O117" i="10"/>
  <c r="R117" i="10" s="1"/>
  <c r="M118" i="10"/>
  <c r="O118" i="10"/>
  <c r="R118" i="10" s="1"/>
  <c r="M119" i="10"/>
  <c r="O119" i="10"/>
  <c r="R119" i="10" s="1"/>
  <c r="M120" i="10"/>
  <c r="O120" i="10"/>
  <c r="R120" i="10" s="1"/>
  <c r="M121" i="10"/>
  <c r="O121" i="10"/>
  <c r="R121" i="10" s="1"/>
  <c r="M122" i="10"/>
  <c r="O122" i="10"/>
  <c r="R122" i="10" s="1"/>
  <c r="M123" i="10"/>
  <c r="O123" i="10"/>
  <c r="R123" i="10" s="1"/>
  <c r="M124" i="10"/>
  <c r="O124" i="10"/>
  <c r="R124" i="10" s="1"/>
  <c r="M125" i="10"/>
  <c r="O125" i="10"/>
  <c r="R125" i="10" s="1"/>
  <c r="M126" i="10"/>
  <c r="O126" i="10"/>
  <c r="R126" i="10" s="1"/>
  <c r="M127" i="10"/>
  <c r="O127" i="10"/>
  <c r="R127" i="10" s="1"/>
  <c r="M128" i="10"/>
  <c r="O128" i="10"/>
  <c r="R128" i="10" s="1"/>
  <c r="M129" i="10"/>
  <c r="O129" i="10"/>
  <c r="R129" i="10" s="1"/>
  <c r="M130" i="10"/>
  <c r="O130" i="10"/>
  <c r="R130" i="10" s="1"/>
  <c r="M131" i="10"/>
  <c r="O131" i="10"/>
  <c r="R131" i="10" s="1"/>
  <c r="M132" i="10"/>
  <c r="O132" i="10"/>
  <c r="R132" i="10" s="1"/>
  <c r="M133" i="10"/>
  <c r="O133" i="10"/>
  <c r="R133" i="10" s="1"/>
  <c r="M134" i="10"/>
  <c r="O134" i="10"/>
  <c r="R134" i="10" s="1"/>
  <c r="M135" i="10"/>
  <c r="O135" i="10"/>
  <c r="R135" i="10" s="1"/>
  <c r="M136" i="10"/>
  <c r="O136" i="10"/>
  <c r="R136" i="10" s="1"/>
  <c r="M137" i="10"/>
  <c r="O137" i="10"/>
  <c r="R137" i="10" s="1"/>
  <c r="M138" i="10"/>
  <c r="O138" i="10"/>
  <c r="R138" i="10" s="1"/>
  <c r="M139" i="10"/>
  <c r="O139" i="10"/>
  <c r="R139" i="10" s="1"/>
  <c r="M140" i="10"/>
  <c r="O140" i="10"/>
  <c r="R140" i="10" s="1"/>
  <c r="M141" i="10"/>
  <c r="O141" i="10"/>
  <c r="R141" i="10" s="1"/>
  <c r="M142" i="10"/>
  <c r="O142" i="10"/>
  <c r="R142" i="10" s="1"/>
  <c r="M143" i="10"/>
  <c r="O143" i="10"/>
  <c r="R143" i="10" s="1"/>
  <c r="M144" i="10"/>
  <c r="O144" i="10"/>
  <c r="R144" i="10" s="1"/>
  <c r="M145" i="10"/>
  <c r="O145" i="10"/>
  <c r="R145" i="10" s="1"/>
  <c r="M146" i="10"/>
  <c r="O146" i="10"/>
  <c r="R146" i="10" s="1"/>
  <c r="M147" i="10"/>
  <c r="O147" i="10"/>
  <c r="R147" i="10" s="1"/>
  <c r="M148" i="10"/>
  <c r="O148" i="10"/>
  <c r="R148" i="10" s="1"/>
  <c r="M149" i="10"/>
  <c r="O149" i="10"/>
  <c r="R149" i="10" s="1"/>
  <c r="M150" i="10"/>
  <c r="O150" i="10"/>
  <c r="R150" i="10" s="1"/>
  <c r="M151" i="10"/>
  <c r="O151" i="10"/>
  <c r="R151" i="10" s="1"/>
  <c r="M152" i="10"/>
  <c r="O152" i="10"/>
  <c r="R152" i="10" s="1"/>
  <c r="M153" i="10"/>
  <c r="O153" i="10"/>
  <c r="R153" i="10" s="1"/>
  <c r="M154" i="10"/>
  <c r="O154" i="10"/>
  <c r="R154" i="10" s="1"/>
  <c r="M155" i="10"/>
  <c r="O155" i="10"/>
  <c r="R155" i="10" s="1"/>
  <c r="M156" i="10"/>
  <c r="O156" i="10"/>
  <c r="R156" i="10" s="1"/>
  <c r="M157" i="10"/>
  <c r="O157" i="10"/>
  <c r="R157" i="10" s="1"/>
  <c r="M158" i="10"/>
  <c r="O158" i="10"/>
  <c r="R158" i="10" s="1"/>
  <c r="M159" i="10"/>
  <c r="O159" i="10"/>
  <c r="R159" i="10" s="1"/>
  <c r="M160" i="10"/>
  <c r="O160" i="10"/>
  <c r="R160" i="10" s="1"/>
  <c r="M161" i="10"/>
  <c r="O161" i="10"/>
  <c r="R161" i="10" s="1"/>
  <c r="M162" i="10"/>
  <c r="O162" i="10"/>
  <c r="R162" i="10" s="1"/>
  <c r="M163" i="10"/>
  <c r="O163" i="10"/>
  <c r="R163" i="10" s="1"/>
  <c r="M164" i="10"/>
  <c r="O164" i="10"/>
  <c r="R164" i="10" s="1"/>
  <c r="M165" i="10"/>
  <c r="O165" i="10"/>
  <c r="R165" i="10" s="1"/>
  <c r="M166" i="10"/>
  <c r="O166" i="10"/>
  <c r="R166" i="10" s="1"/>
  <c r="M167" i="10"/>
  <c r="O167" i="10"/>
  <c r="R167" i="10" s="1"/>
  <c r="M168" i="10"/>
  <c r="O168" i="10"/>
  <c r="R168" i="10" s="1"/>
  <c r="M169" i="10"/>
  <c r="O169" i="10"/>
  <c r="R169" i="10" s="1"/>
  <c r="M170" i="10"/>
  <c r="O170" i="10"/>
  <c r="R170" i="10" s="1"/>
  <c r="M171" i="10"/>
  <c r="O171" i="10"/>
  <c r="R171" i="10" s="1"/>
  <c r="M172" i="10"/>
  <c r="O172" i="10"/>
  <c r="R172" i="10" s="1"/>
  <c r="M173" i="10"/>
  <c r="O173" i="10"/>
  <c r="R173" i="10" s="1"/>
  <c r="M174" i="10"/>
  <c r="O174" i="10"/>
  <c r="R174" i="10" s="1"/>
  <c r="M175" i="10"/>
  <c r="O175" i="10"/>
  <c r="R175" i="10" s="1"/>
  <c r="M176" i="10"/>
  <c r="O176" i="10"/>
  <c r="R176" i="10" s="1"/>
  <c r="M177" i="10"/>
  <c r="O177" i="10"/>
  <c r="R177" i="10" s="1"/>
  <c r="M178" i="10"/>
  <c r="O178" i="10"/>
  <c r="R178" i="10" s="1"/>
  <c r="M179" i="10"/>
  <c r="O179" i="10"/>
  <c r="R179" i="10" s="1"/>
  <c r="M180" i="10"/>
  <c r="O180" i="10"/>
  <c r="R180" i="10" s="1"/>
  <c r="M181" i="10"/>
  <c r="O181" i="10"/>
  <c r="R181" i="10" s="1"/>
  <c r="M182" i="10"/>
  <c r="O182" i="10"/>
  <c r="R182" i="10" s="1"/>
  <c r="M183" i="10"/>
  <c r="O183" i="10"/>
  <c r="R183" i="10" s="1"/>
  <c r="M184" i="10"/>
  <c r="O184" i="10"/>
  <c r="R184" i="10" s="1"/>
  <c r="M185" i="10"/>
  <c r="O185" i="10"/>
  <c r="R185" i="10" s="1"/>
  <c r="M186" i="10"/>
  <c r="O186" i="10"/>
  <c r="R186" i="10" s="1"/>
  <c r="M187" i="10"/>
  <c r="O187" i="10"/>
  <c r="R187" i="10" s="1"/>
  <c r="M188" i="10"/>
  <c r="O188" i="10"/>
  <c r="R188" i="10" s="1"/>
  <c r="M189" i="10"/>
  <c r="O189" i="10"/>
  <c r="R189" i="10" s="1"/>
  <c r="M190" i="10"/>
  <c r="O190" i="10"/>
  <c r="R190" i="10" s="1"/>
  <c r="M191" i="10"/>
  <c r="O191" i="10"/>
  <c r="R191" i="10" s="1"/>
  <c r="M192" i="10"/>
  <c r="O192" i="10"/>
  <c r="R192" i="10" s="1"/>
  <c r="M193" i="10"/>
  <c r="O193" i="10"/>
  <c r="R193" i="10" s="1"/>
  <c r="M194" i="10"/>
  <c r="O194" i="10"/>
  <c r="R194" i="10" s="1"/>
  <c r="M195" i="10"/>
  <c r="O195" i="10"/>
  <c r="R195" i="10" s="1"/>
  <c r="M196" i="10"/>
  <c r="O196" i="10"/>
  <c r="R196" i="10" s="1"/>
  <c r="M197" i="10"/>
  <c r="O197" i="10"/>
  <c r="R197" i="10" s="1"/>
  <c r="M198" i="10"/>
  <c r="O198" i="10"/>
  <c r="R198" i="10" s="1"/>
  <c r="M199" i="10"/>
  <c r="O199" i="10"/>
  <c r="R199" i="10" s="1"/>
  <c r="M200" i="10"/>
  <c r="O200" i="10"/>
  <c r="R200" i="10" s="1"/>
  <c r="M201" i="10"/>
  <c r="O201" i="10"/>
  <c r="R201" i="10" s="1"/>
  <c r="M202" i="10"/>
  <c r="O202" i="10"/>
  <c r="R202" i="10" s="1"/>
  <c r="M203" i="10"/>
  <c r="O203" i="10"/>
  <c r="R203" i="10" s="1"/>
  <c r="M204" i="10"/>
  <c r="O204" i="10"/>
  <c r="R204" i="10" s="1"/>
  <c r="M205" i="10"/>
  <c r="O205" i="10"/>
  <c r="R205" i="10" s="1"/>
  <c r="M206" i="10"/>
  <c r="O206" i="10"/>
  <c r="R206" i="10" s="1"/>
  <c r="M207" i="10"/>
  <c r="O207" i="10"/>
  <c r="R207" i="10" s="1"/>
  <c r="M208" i="10"/>
  <c r="O208" i="10"/>
  <c r="R208" i="10" s="1"/>
  <c r="M209" i="10"/>
  <c r="O209" i="10"/>
  <c r="R209" i="10" s="1"/>
  <c r="M210" i="10"/>
  <c r="O210" i="10"/>
  <c r="R210" i="10" s="1"/>
  <c r="M211" i="10"/>
  <c r="O211" i="10"/>
  <c r="R211" i="10" s="1"/>
  <c r="M212" i="10"/>
  <c r="O212" i="10"/>
  <c r="R212" i="10" s="1"/>
  <c r="M213" i="10"/>
  <c r="O213" i="10"/>
  <c r="R213" i="10" s="1"/>
  <c r="M214" i="10"/>
  <c r="O214" i="10"/>
  <c r="R214" i="10" s="1"/>
  <c r="M215" i="10"/>
  <c r="O215" i="10"/>
  <c r="R215" i="10" s="1"/>
  <c r="M216" i="10"/>
  <c r="O216" i="10"/>
  <c r="R216" i="10" s="1"/>
  <c r="M217" i="10"/>
  <c r="O217" i="10"/>
  <c r="R217" i="10" s="1"/>
  <c r="M218" i="10"/>
  <c r="O218" i="10"/>
  <c r="R218" i="10" s="1"/>
  <c r="M219" i="10"/>
  <c r="O219" i="10"/>
  <c r="R219" i="10" s="1"/>
  <c r="M220" i="10"/>
  <c r="O220" i="10"/>
  <c r="R220" i="10" s="1"/>
  <c r="M221" i="10"/>
  <c r="O221" i="10"/>
  <c r="R221" i="10" s="1"/>
  <c r="M222" i="10"/>
  <c r="O222" i="10"/>
  <c r="R222" i="10" s="1"/>
  <c r="M223" i="10"/>
  <c r="O223" i="10"/>
  <c r="R223" i="10" s="1"/>
  <c r="M224" i="10"/>
  <c r="O224" i="10"/>
  <c r="R224" i="10" s="1"/>
  <c r="M225" i="10"/>
  <c r="O225" i="10"/>
  <c r="R225" i="10" s="1"/>
  <c r="M226" i="10"/>
  <c r="O226" i="10"/>
  <c r="R226" i="10" s="1"/>
  <c r="M227" i="10"/>
  <c r="O227" i="10"/>
  <c r="R227" i="10" s="1"/>
  <c r="M228" i="10"/>
  <c r="O228" i="10"/>
  <c r="R228" i="10" s="1"/>
  <c r="M229" i="10"/>
  <c r="O229" i="10"/>
  <c r="R229" i="10" s="1"/>
  <c r="M230" i="10"/>
  <c r="O230" i="10"/>
  <c r="R230" i="10" s="1"/>
  <c r="M231" i="10"/>
  <c r="O231" i="10"/>
  <c r="R231" i="10" s="1"/>
  <c r="M232" i="10"/>
  <c r="O232" i="10"/>
  <c r="R232" i="10" s="1"/>
  <c r="M233" i="10"/>
  <c r="O233" i="10"/>
  <c r="R233" i="10" s="1"/>
  <c r="M234" i="10"/>
  <c r="O234" i="10"/>
  <c r="R234" i="10" s="1"/>
  <c r="M235" i="10"/>
  <c r="O235" i="10"/>
  <c r="R235" i="10" s="1"/>
  <c r="M236" i="10"/>
  <c r="O236" i="10"/>
  <c r="R236" i="10" s="1"/>
  <c r="M237" i="10"/>
  <c r="O237" i="10"/>
  <c r="R237" i="10" s="1"/>
  <c r="M238" i="10"/>
  <c r="O238" i="10"/>
  <c r="R238" i="10" s="1"/>
  <c r="M239" i="10"/>
  <c r="O239" i="10"/>
  <c r="R239" i="10" s="1"/>
  <c r="M240" i="10"/>
  <c r="O240" i="10"/>
  <c r="R240" i="10" s="1"/>
  <c r="M241" i="10"/>
  <c r="O241" i="10"/>
  <c r="R241" i="10" s="1"/>
  <c r="M242" i="10"/>
  <c r="O242" i="10"/>
  <c r="R242" i="10" s="1"/>
  <c r="AG284" i="7"/>
  <c r="AD492" i="7"/>
  <c r="AF284" i="7"/>
  <c r="AC241" i="7"/>
  <c r="AE504" i="7"/>
  <c r="H29" i="16"/>
  <c r="AE69" i="7"/>
  <c r="AF275" i="7"/>
  <c r="AE415" i="7"/>
  <c r="AF71" i="7"/>
  <c r="AG269" i="7"/>
  <c r="AG415" i="7"/>
  <c r="D5" i="13"/>
  <c r="E5" i="13" s="1"/>
  <c r="AG204" i="7"/>
  <c r="AF235" i="7"/>
  <c r="AD241" i="7"/>
  <c r="AC312" i="7"/>
  <c r="AD488" i="7"/>
  <c r="AG492" i="7"/>
  <c r="AF499" i="7"/>
  <c r="AG504" i="7"/>
  <c r="AE488" i="7"/>
  <c r="AG116" i="7"/>
  <c r="AG352" i="7"/>
  <c r="AD395" i="7"/>
  <c r="AE465" i="7"/>
  <c r="AF488" i="7"/>
  <c r="AD40" i="7"/>
  <c r="AF132" i="7"/>
  <c r="AG395" i="7"/>
  <c r="AC423" i="7"/>
  <c r="AG465" i="7"/>
  <c r="AG484" i="7"/>
  <c r="AF252" i="7"/>
  <c r="AF368" i="7"/>
  <c r="AG382" i="7"/>
  <c r="AG423" i="7"/>
  <c r="AG460" i="7"/>
  <c r="AC480" i="7"/>
  <c r="AG149" i="7"/>
  <c r="AD180" i="7"/>
  <c r="AE186" i="7"/>
  <c r="AC332" i="7"/>
  <c r="AG376" i="7"/>
  <c r="AD480" i="7"/>
  <c r="AF180" i="7"/>
  <c r="AG261" i="7"/>
  <c r="AE275" i="7"/>
  <c r="AE397" i="7"/>
  <c r="AF475" i="7"/>
  <c r="AE480" i="7"/>
  <c r="AC504" i="7"/>
  <c r="AC15" i="7"/>
  <c r="AE111" i="7"/>
  <c r="AC169" i="7"/>
  <c r="AD225" i="7"/>
  <c r="AE299" i="7"/>
  <c r="AD374" i="7"/>
  <c r="AE496" i="7"/>
  <c r="AG15" i="7"/>
  <c r="G15" i="16" s="1"/>
  <c r="AD72" i="7"/>
  <c r="AF78" i="7"/>
  <c r="AE88" i="7"/>
  <c r="AE94" i="7"/>
  <c r="AE101" i="7"/>
  <c r="AC123" i="7"/>
  <c r="AF155" i="7"/>
  <c r="AE197" i="7"/>
  <c r="AD201" i="7"/>
  <c r="AE253" i="7"/>
  <c r="AD257" i="7"/>
  <c r="AC267" i="7"/>
  <c r="AF289" i="7"/>
  <c r="AF299" i="7"/>
  <c r="AG304" i="7"/>
  <c r="AD310" i="7"/>
  <c r="AF321" i="7"/>
  <c r="AF344" i="7"/>
  <c r="AD353" i="7"/>
  <c r="AE358" i="7"/>
  <c r="AE374" i="7"/>
  <c r="AG391" i="7"/>
  <c r="AC413" i="7"/>
  <c r="AE421" i="7"/>
  <c r="AD424" i="7"/>
  <c r="AF455" i="7"/>
  <c r="AF472" i="7"/>
  <c r="AE486" i="7"/>
  <c r="AF496" i="7"/>
  <c r="AE210" i="7"/>
  <c r="AC421" i="7"/>
  <c r="H47" i="16"/>
  <c r="AC23" i="7"/>
  <c r="C32" i="16" s="1"/>
  <c r="AD56" i="7"/>
  <c r="AG88" i="7"/>
  <c r="AG123" i="7"/>
  <c r="AC129" i="7"/>
  <c r="AF134" i="7"/>
  <c r="AF140" i="7"/>
  <c r="AF188" i="7"/>
  <c r="AG197" i="7"/>
  <c r="AE218" i="7"/>
  <c r="AE221" i="7"/>
  <c r="AG237" i="7"/>
  <c r="AF249" i="7"/>
  <c r="AF257" i="7"/>
  <c r="AE267" i="7"/>
  <c r="AF281" i="7"/>
  <c r="AE310" i="7"/>
  <c r="AF329" i="7"/>
  <c r="AC340" i="7"/>
  <c r="AF370" i="7"/>
  <c r="AD396" i="7"/>
  <c r="AE413" i="7"/>
  <c r="AF421" i="7"/>
  <c r="AE468" i="7"/>
  <c r="AG472" i="7"/>
  <c r="AF486" i="7"/>
  <c r="AC494" i="7"/>
  <c r="AG496" i="7"/>
  <c r="AD501" i="7"/>
  <c r="AD48" i="7"/>
  <c r="AC201" i="7"/>
  <c r="AD321" i="7"/>
  <c r="AE344" i="7"/>
  <c r="AD358" i="7"/>
  <c r="AG23" i="7"/>
  <c r="G32" i="16" s="1"/>
  <c r="AC63" i="7"/>
  <c r="AE73" i="7"/>
  <c r="AC79" i="7"/>
  <c r="AD113" i="7"/>
  <c r="AE129" i="7"/>
  <c r="AE147" i="7"/>
  <c r="AF171" i="7"/>
  <c r="AD177" i="7"/>
  <c r="AG188" i="7"/>
  <c r="AG212" i="7"/>
  <c r="AG221" i="7"/>
  <c r="AF243" i="7"/>
  <c r="AE254" i="7"/>
  <c r="AF267" i="7"/>
  <c r="AE277" i="7"/>
  <c r="AE286" i="7"/>
  <c r="AG329" i="7"/>
  <c r="AD345" i="7"/>
  <c r="AG354" i="7"/>
  <c r="AE366" i="7"/>
  <c r="AG370" i="7"/>
  <c r="AF413" i="7"/>
  <c r="AG468" i="7"/>
  <c r="AC491" i="7"/>
  <c r="AE494" i="7"/>
  <c r="AE501" i="7"/>
  <c r="AC257" i="7"/>
  <c r="AD289" i="7"/>
  <c r="AD12" i="7"/>
  <c r="AC31" i="7"/>
  <c r="AE57" i="7"/>
  <c r="AD85" i="7"/>
  <c r="AD124" i="7"/>
  <c r="AF147" i="7"/>
  <c r="AC195" i="7"/>
  <c r="AF198" i="7"/>
  <c r="AC219" i="7"/>
  <c r="AF228" i="7"/>
  <c r="AF254" i="7"/>
  <c r="AG277" i="7"/>
  <c r="AF286" i="7"/>
  <c r="AC291" i="7"/>
  <c r="AE301" i="7"/>
  <c r="AG306" i="7"/>
  <c r="AC336" i="7"/>
  <c r="AF376" i="7"/>
  <c r="AD397" i="7"/>
  <c r="AD432" i="7"/>
  <c r="AG438" i="7"/>
  <c r="AE484" i="7"/>
  <c r="AF494" i="7"/>
  <c r="H27" i="16"/>
  <c r="N27" i="16" s="1" a="1"/>
  <c r="AC7" i="7"/>
  <c r="AC39" i="7"/>
  <c r="AD64" i="7"/>
  <c r="AD80" i="7"/>
  <c r="AD104" i="7"/>
  <c r="AE109" i="7"/>
  <c r="AC153" i="7"/>
  <c r="AE195" i="7"/>
  <c r="AD204" i="7"/>
  <c r="AE219" i="7"/>
  <c r="AG228" i="7"/>
  <c r="AC265" i="7"/>
  <c r="AE291" i="7"/>
  <c r="AG301" i="7"/>
  <c r="AE336" i="7"/>
  <c r="AE346" i="7"/>
  <c r="AC352" i="7"/>
  <c r="AG494" i="7"/>
  <c r="AG105" i="7"/>
  <c r="AG220" i="7"/>
  <c r="AD486" i="7"/>
  <c r="H46" i="16"/>
  <c r="N46" i="16" s="1" a="1"/>
  <c r="AG7" i="7"/>
  <c r="AE53" i="7"/>
  <c r="AF64" i="7"/>
  <c r="AF80" i="7"/>
  <c r="AE86" i="7"/>
  <c r="AE104" i="7"/>
  <c r="AD121" i="7"/>
  <c r="AD153" i="7"/>
  <c r="AF190" i="7"/>
  <c r="AF195" i="7"/>
  <c r="AF204" i="7"/>
  <c r="AF219" i="7"/>
  <c r="AE235" i="7"/>
  <c r="AD252" i="7"/>
  <c r="AD265" i="7"/>
  <c r="AE269" i="7"/>
  <c r="AC275" i="7"/>
  <c r="AG346" i="7"/>
  <c r="AF352" i="7"/>
  <c r="AC368" i="7"/>
  <c r="AF389" i="7"/>
  <c r="AC395" i="7"/>
  <c r="AF397" i="7"/>
  <c r="AC403" i="7"/>
  <c r="AC415" i="7"/>
  <c r="AE423" i="7"/>
  <c r="AG470" i="7"/>
  <c r="AD475" i="7"/>
  <c r="H11" i="16"/>
  <c r="N11" i="16" s="1" a="1"/>
  <c r="H26" i="16"/>
  <c r="N26" i="16" s="1" a="1"/>
  <c r="H44" i="16"/>
  <c r="AF6" i="7"/>
  <c r="AE8" i="7"/>
  <c r="E7" i="16" s="1"/>
  <c r="AC12" i="7"/>
  <c r="AF14" i="7"/>
  <c r="F16" i="16" s="1"/>
  <c r="AE16" i="7"/>
  <c r="E21" i="16" s="1"/>
  <c r="AC20" i="7"/>
  <c r="C25" i="16" s="1"/>
  <c r="AF22" i="7"/>
  <c r="F30" i="16" s="1"/>
  <c r="AE24" i="7"/>
  <c r="AC28" i="7"/>
  <c r="C39" i="16" s="1"/>
  <c r="AF30" i="7"/>
  <c r="AE32" i="7"/>
  <c r="E43" i="16" s="1"/>
  <c r="AC36" i="7"/>
  <c r="AF38" i="7"/>
  <c r="AE40" i="7"/>
  <c r="AC44" i="7"/>
  <c r="AF46" i="7"/>
  <c r="AE48" i="7"/>
  <c r="AC52" i="7"/>
  <c r="AF54" i="7"/>
  <c r="AF63" i="7"/>
  <c r="AE65" i="7"/>
  <c r="AC71" i="7"/>
  <c r="AF72" i="7"/>
  <c r="AE78" i="7"/>
  <c r="AG81" i="7"/>
  <c r="AE85" i="7"/>
  <c r="AE87" i="7"/>
  <c r="AC92" i="7"/>
  <c r="AF94" i="7"/>
  <c r="AD96" i="7"/>
  <c r="AG97" i="7"/>
  <c r="AD101" i="7"/>
  <c r="AD103" i="7"/>
  <c r="AG104" i="7"/>
  <c r="AE110" i="7"/>
  <c r="AF115" i="7"/>
  <c r="AG117" i="7"/>
  <c r="AG273" i="7"/>
  <c r="AF273" i="7"/>
  <c r="AD273" i="7"/>
  <c r="AG342" i="7"/>
  <c r="AE342" i="7"/>
  <c r="AD342" i="7"/>
  <c r="AD399" i="7"/>
  <c r="AG399" i="7"/>
  <c r="AE399" i="7"/>
  <c r="AF427" i="7"/>
  <c r="AG427" i="7"/>
  <c r="AD427" i="7"/>
  <c r="AC427" i="7"/>
  <c r="AG445" i="7"/>
  <c r="AF445" i="7"/>
  <c r="AD445" i="7"/>
  <c r="H18" i="16"/>
  <c r="N18" i="16" s="1" a="1"/>
  <c r="H28" i="16"/>
  <c r="N28" i="16" s="1" a="1"/>
  <c r="AG8" i="7"/>
  <c r="G7" i="16" s="1"/>
  <c r="AG16" i="7"/>
  <c r="G21" i="16" s="1"/>
  <c r="AD20" i="7"/>
  <c r="D25" i="16" s="1"/>
  <c r="AG24" i="7"/>
  <c r="AD28" i="7"/>
  <c r="D39" i="16" s="1"/>
  <c r="AG32" i="7"/>
  <c r="G43" i="16" s="1"/>
  <c r="AD36" i="7"/>
  <c r="AG40" i="7"/>
  <c r="AD44" i="7"/>
  <c r="AG48" i="7"/>
  <c r="AD52" i="7"/>
  <c r="AE56" i="7"/>
  <c r="AC62" i="7"/>
  <c r="AG63" i="7"/>
  <c r="AF65" i="7"/>
  <c r="AD69" i="7"/>
  <c r="AD71" i="7"/>
  <c r="AG72" i="7"/>
  <c r="AC76" i="7"/>
  <c r="AF87" i="7"/>
  <c r="AC89" i="7"/>
  <c r="AD92" i="7"/>
  <c r="AE96" i="7"/>
  <c r="AE103" i="7"/>
  <c r="AC108" i="7"/>
  <c r="AF110" i="7"/>
  <c r="AC113" i="7"/>
  <c r="AG115" i="7"/>
  <c r="AF126" i="7"/>
  <c r="AG132" i="7"/>
  <c r="AC139" i="7"/>
  <c r="AE141" i="7"/>
  <c r="AC145" i="7"/>
  <c r="AF158" i="7"/>
  <c r="AC163" i="7"/>
  <c r="AE165" i="7"/>
  <c r="AF174" i="7"/>
  <c r="AC193" i="7"/>
  <c r="AD196" i="7"/>
  <c r="AC203" i="7"/>
  <c r="AE205" i="7"/>
  <c r="AG209" i="7"/>
  <c r="AD209" i="7"/>
  <c r="AC209" i="7"/>
  <c r="AE260" i="7"/>
  <c r="AG260" i="7"/>
  <c r="AF260" i="7"/>
  <c r="AD260" i="7"/>
  <c r="AC273" i="7"/>
  <c r="AC361" i="7"/>
  <c r="AG361" i="7"/>
  <c r="AF361" i="7"/>
  <c r="AC399" i="7"/>
  <c r="AG405" i="7"/>
  <c r="AF405" i="7"/>
  <c r="AE405" i="7"/>
  <c r="AG464" i="7"/>
  <c r="AF464" i="7"/>
  <c r="AE464" i="7"/>
  <c r="AD464" i="7"/>
  <c r="AG478" i="7"/>
  <c r="AF478" i="7"/>
  <c r="AE478" i="7"/>
  <c r="AD478" i="7"/>
  <c r="H10" i="16"/>
  <c r="N10" i="16" s="1" a="1"/>
  <c r="H37" i="16"/>
  <c r="N37" i="16" s="1" a="1"/>
  <c r="AC47" i="7"/>
  <c r="AC55" i="7"/>
  <c r="AF56" i="7"/>
  <c r="AE62" i="7"/>
  <c r="AG65" i="7"/>
  <c r="AE71" i="7"/>
  <c r="AD76" i="7"/>
  <c r="AE80" i="7"/>
  <c r="AC86" i="7"/>
  <c r="AG87" i="7"/>
  <c r="AE89" i="7"/>
  <c r="AC95" i="7"/>
  <c r="AF96" i="7"/>
  <c r="AF103" i="7"/>
  <c r="AC105" i="7"/>
  <c r="AD108" i="7"/>
  <c r="AF118" i="7"/>
  <c r="AD122" i="7"/>
  <c r="AE139" i="7"/>
  <c r="AG141" i="7"/>
  <c r="AD145" i="7"/>
  <c r="AF150" i="7"/>
  <c r="AD156" i="7"/>
  <c r="AE163" i="7"/>
  <c r="AG165" i="7"/>
  <c r="AD169" i="7"/>
  <c r="AD172" i="7"/>
  <c r="AD178" i="7"/>
  <c r="AG180" i="7"/>
  <c r="AC187" i="7"/>
  <c r="AE189" i="7"/>
  <c r="AD193" i="7"/>
  <c r="AF196" i="7"/>
  <c r="AE203" i="7"/>
  <c r="AG205" i="7"/>
  <c r="AF246" i="7"/>
  <c r="AC260" i="7"/>
  <c r="AC305" i="7"/>
  <c r="AG305" i="7"/>
  <c r="AE305" i="7"/>
  <c r="AD305" i="7"/>
  <c r="AD338" i="7"/>
  <c r="AG338" i="7"/>
  <c r="AD361" i="7"/>
  <c r="AE392" i="7"/>
  <c r="AF392" i="7"/>
  <c r="AD392" i="7"/>
  <c r="AC405" i="7"/>
  <c r="AG429" i="7"/>
  <c r="AF429" i="7"/>
  <c r="AE429" i="7"/>
  <c r="AD439" i="7"/>
  <c r="AG439" i="7"/>
  <c r="AE439" i="7"/>
  <c r="AC439" i="7"/>
  <c r="AE458" i="7"/>
  <c r="AC464" i="7"/>
  <c r="AC478" i="7"/>
  <c r="AF483" i="7"/>
  <c r="AD483" i="7"/>
  <c r="AC483" i="7"/>
  <c r="H9" i="16"/>
  <c r="H20" i="16"/>
  <c r="N20" i="16" s="1" a="1"/>
  <c r="H35" i="16"/>
  <c r="N35" i="16" s="1" a="1"/>
  <c r="H38" i="16"/>
  <c r="N38" i="16" s="1" a="1"/>
  <c r="H45" i="16"/>
  <c r="N45" i="16" s="1" a="1"/>
  <c r="AD5" i="7"/>
  <c r="D5" i="16" s="1"/>
  <c r="AD7" i="7"/>
  <c r="AE9" i="7"/>
  <c r="AD13" i="7"/>
  <c r="AD15" i="7"/>
  <c r="AE17" i="7"/>
  <c r="E23" i="16" s="1"/>
  <c r="AD21" i="7"/>
  <c r="AD23" i="7"/>
  <c r="D32" i="16" s="1"/>
  <c r="AE25" i="7"/>
  <c r="AD29" i="7"/>
  <c r="D41" i="16" s="1"/>
  <c r="AD31" i="7"/>
  <c r="AE33" i="7"/>
  <c r="AD37" i="7"/>
  <c r="AD39" i="7"/>
  <c r="AE41" i="7"/>
  <c r="AD45" i="7"/>
  <c r="AD47" i="7"/>
  <c r="AE49" i="7"/>
  <c r="AD53" i="7"/>
  <c r="AD55" i="7"/>
  <c r="AG56" i="7"/>
  <c r="AC60" i="7"/>
  <c r="AF62" i="7"/>
  <c r="AF89" i="7"/>
  <c r="AD93" i="7"/>
  <c r="AD95" i="7"/>
  <c r="AG96" i="7"/>
  <c r="AC102" i="7"/>
  <c r="AG103" i="7"/>
  <c r="AE105" i="7"/>
  <c r="AC111" i="7"/>
  <c r="AE113" i="7"/>
  <c r="AD116" i="7"/>
  <c r="AF124" i="7"/>
  <c r="AC131" i="7"/>
  <c r="AE133" i="7"/>
  <c r="AF139" i="7"/>
  <c r="AD148" i="7"/>
  <c r="AG150" i="7"/>
  <c r="AD154" i="7"/>
  <c r="AF156" i="7"/>
  <c r="AF163" i="7"/>
  <c r="AF172" i="7"/>
  <c r="AE187" i="7"/>
  <c r="AG189" i="7"/>
  <c r="AG196" i="7"/>
  <c r="AF203" i="7"/>
  <c r="AG217" i="7"/>
  <c r="AD217" i="7"/>
  <c r="AC217" i="7"/>
  <c r="AG283" i="7"/>
  <c r="AF283" i="7"/>
  <c r="AE283" i="7"/>
  <c r="AC283" i="7"/>
  <c r="AE297" i="7"/>
  <c r="AG297" i="7"/>
  <c r="AF297" i="7"/>
  <c r="AD297" i="7"/>
  <c r="AG316" i="7"/>
  <c r="AC316" i="7"/>
  <c r="AD328" i="7"/>
  <c r="AG328" i="7"/>
  <c r="AF328" i="7"/>
  <c r="AE328" i="7"/>
  <c r="AC328" i="7"/>
  <c r="AE338" i="7"/>
  <c r="AG381" i="7"/>
  <c r="AF381" i="7"/>
  <c r="AE381" i="7"/>
  <c r="AC381" i="7"/>
  <c r="AG387" i="7"/>
  <c r="AD387" i="7"/>
  <c r="AC387" i="7"/>
  <c r="AE5" i="7"/>
  <c r="E5" i="16" s="1"/>
  <c r="AF7" i="7"/>
  <c r="AF9" i="7"/>
  <c r="AE13" i="7"/>
  <c r="AF15" i="7"/>
  <c r="AF17" i="7"/>
  <c r="F23" i="16" s="1"/>
  <c r="AE21" i="7"/>
  <c r="AF23" i="7"/>
  <c r="F32" i="16" s="1"/>
  <c r="AF25" i="7"/>
  <c r="AE29" i="7"/>
  <c r="E41" i="16" s="1"/>
  <c r="AF31" i="7"/>
  <c r="AF33" i="7"/>
  <c r="AE37" i="7"/>
  <c r="AF39" i="7"/>
  <c r="AF41" i="7"/>
  <c r="AE45" i="7"/>
  <c r="AF47" i="7"/>
  <c r="AF49" i="7"/>
  <c r="AE55" i="7"/>
  <c r="AD60" i="7"/>
  <c r="AE64" i="7"/>
  <c r="AC70" i="7"/>
  <c r="AF73" i="7"/>
  <c r="AD77" i="7"/>
  <c r="AD79" i="7"/>
  <c r="AG80" i="7"/>
  <c r="AC84" i="7"/>
  <c r="AF86" i="7"/>
  <c r="AD88" i="7"/>
  <c r="AG89" i="7"/>
  <c r="AE93" i="7"/>
  <c r="AE95" i="7"/>
  <c r="AE102" i="7"/>
  <c r="AF105" i="7"/>
  <c r="AD109" i="7"/>
  <c r="AD111" i="7"/>
  <c r="AF116" i="7"/>
  <c r="AG124" i="7"/>
  <c r="AE131" i="7"/>
  <c r="AG133" i="7"/>
  <c r="AC137" i="7"/>
  <c r="AF142" i="7"/>
  <c r="AD146" i="7"/>
  <c r="AF148" i="7"/>
  <c r="AG156" i="7"/>
  <c r="AF166" i="7"/>
  <c r="AG172" i="7"/>
  <c r="AC179" i="7"/>
  <c r="AE181" i="7"/>
  <c r="AC185" i="7"/>
  <c r="AF187" i="7"/>
  <c r="AF206" i="7"/>
  <c r="AG211" i="7"/>
  <c r="AF211" i="7"/>
  <c r="AE211" i="7"/>
  <c r="AC211" i="7"/>
  <c r="AE292" i="7"/>
  <c r="AG292" i="7"/>
  <c r="AF292" i="7"/>
  <c r="AD292" i="7"/>
  <c r="AC297" i="7"/>
  <c r="AD407" i="7"/>
  <c r="AG407" i="7"/>
  <c r="AE407" i="7"/>
  <c r="AG448" i="7"/>
  <c r="AF448" i="7"/>
  <c r="AE448" i="7"/>
  <c r="AD448" i="7"/>
  <c r="AC448" i="7"/>
  <c r="AG502" i="7"/>
  <c r="AF502" i="7"/>
  <c r="AE502" i="7"/>
  <c r="AC502" i="7"/>
  <c r="H8" i="16"/>
  <c r="N8" i="16" s="1" a="1"/>
  <c r="AG31" i="7"/>
  <c r="AG39" i="7"/>
  <c r="AG47" i="7"/>
  <c r="AF55" i="7"/>
  <c r="AE70" i="7"/>
  <c r="AG73" i="7"/>
  <c r="AE77" i="7"/>
  <c r="AE79" i="7"/>
  <c r="AD84" i="7"/>
  <c r="AF95" i="7"/>
  <c r="AC97" i="7"/>
  <c r="AC100" i="7"/>
  <c r="AF102" i="7"/>
  <c r="AF131" i="7"/>
  <c r="AD137" i="7"/>
  <c r="AD140" i="7"/>
  <c r="AG148" i="7"/>
  <c r="AC161" i="7"/>
  <c r="AD164" i="7"/>
  <c r="AE179" i="7"/>
  <c r="AG181" i="7"/>
  <c r="AD185" i="7"/>
  <c r="AD262" i="7"/>
  <c r="AF262" i="7"/>
  <c r="AE262" i="7"/>
  <c r="AC407" i="7"/>
  <c r="AD431" i="7"/>
  <c r="AG431" i="7"/>
  <c r="AE431" i="7"/>
  <c r="AC6" i="7"/>
  <c r="AC14" i="7"/>
  <c r="C16" i="16" s="1"/>
  <c r="AC22" i="7"/>
  <c r="C30" i="16" s="1"/>
  <c r="AC30" i="7"/>
  <c r="AC38" i="7"/>
  <c r="AC46" i="7"/>
  <c r="AC54" i="7"/>
  <c r="AF57" i="7"/>
  <c r="AD61" i="7"/>
  <c r="AD63" i="7"/>
  <c r="AG64" i="7"/>
  <c r="AC68" i="7"/>
  <c r="AF70" i="7"/>
  <c r="AF79" i="7"/>
  <c r="AE81" i="7"/>
  <c r="AC87" i="7"/>
  <c r="AF88" i="7"/>
  <c r="AC94" i="7"/>
  <c r="AE97" i="7"/>
  <c r="AD100" i="7"/>
  <c r="AG111" i="7"/>
  <c r="AC115" i="7"/>
  <c r="AE123" i="7"/>
  <c r="AE125" i="7"/>
  <c r="AC155" i="7"/>
  <c r="AE157" i="7"/>
  <c r="AD161" i="7"/>
  <c r="AF164" i="7"/>
  <c r="AC171" i="7"/>
  <c r="AE173" i="7"/>
  <c r="AF179" i="7"/>
  <c r="AD188" i="7"/>
  <c r="AE238" i="7"/>
  <c r="AF238" i="7"/>
  <c r="AC313" i="7"/>
  <c r="AG313" i="7"/>
  <c r="AF313" i="7"/>
  <c r="AG350" i="7"/>
  <c r="AE350" i="7"/>
  <c r="AD350" i="7"/>
  <c r="AG364" i="7"/>
  <c r="AC364" i="7"/>
  <c r="AG369" i="7"/>
  <c r="AF369" i="7"/>
  <c r="AE369" i="7"/>
  <c r="AD369" i="7"/>
  <c r="AC378" i="7"/>
  <c r="AG378" i="7"/>
  <c r="AF378" i="7"/>
  <c r="AE378" i="7"/>
  <c r="AD383" i="7"/>
  <c r="AG383" i="7"/>
  <c r="AE383" i="7"/>
  <c r="AD437" i="7"/>
  <c r="AG437" i="7"/>
  <c r="AF437" i="7"/>
  <c r="AE437" i="7"/>
  <c r="AC471" i="7"/>
  <c r="AG471" i="7"/>
  <c r="AE471" i="7"/>
  <c r="H19" i="16"/>
  <c r="N19" i="16" s="1" a="1"/>
  <c r="H36" i="16"/>
  <c r="N36" i="16" s="1" a="1"/>
  <c r="AE6" i="7"/>
  <c r="AD8" i="7"/>
  <c r="D7" i="16" s="1"/>
  <c r="AE14" i="7"/>
  <c r="E16" i="16" s="1"/>
  <c r="AD16" i="7"/>
  <c r="D21" i="16" s="1"/>
  <c r="AE22" i="7"/>
  <c r="E30" i="16" s="1"/>
  <c r="AD24" i="7"/>
  <c r="AE30" i="7"/>
  <c r="AD32" i="7"/>
  <c r="D43" i="16" s="1"/>
  <c r="AE38" i="7"/>
  <c r="AE46" i="7"/>
  <c r="AE54" i="7"/>
  <c r="AG57" i="7"/>
  <c r="AE61" i="7"/>
  <c r="AD68" i="7"/>
  <c r="AE72" i="7"/>
  <c r="AC78" i="7"/>
  <c r="AF81" i="7"/>
  <c r="AF97" i="7"/>
  <c r="AF104" i="7"/>
  <c r="AC110" i="7"/>
  <c r="AE115" i="7"/>
  <c r="AE117" i="7"/>
  <c r="AC121" i="7"/>
  <c r="AF123" i="7"/>
  <c r="AG125" i="7"/>
  <c r="AD129" i="7"/>
  <c r="AD132" i="7"/>
  <c r="AG140" i="7"/>
  <c r="AC147" i="7"/>
  <c r="AE149" i="7"/>
  <c r="AE155" i="7"/>
  <c r="AG157" i="7"/>
  <c r="AG164" i="7"/>
  <c r="AE171" i="7"/>
  <c r="AG173" i="7"/>
  <c r="AC177" i="7"/>
  <c r="AF182" i="7"/>
  <c r="AD213" i="7"/>
  <c r="AG213" i="7"/>
  <c r="AE213" i="7"/>
  <c r="AC244" i="7"/>
  <c r="AG244" i="7"/>
  <c r="AF244" i="7"/>
  <c r="AD244" i="7"/>
  <c r="AG294" i="7"/>
  <c r="AF294" i="7"/>
  <c r="AE294" i="7"/>
  <c r="AD294" i="7"/>
  <c r="AD313" i="7"/>
  <c r="AC324" i="7"/>
  <c r="AC350" i="7"/>
  <c r="AC369" i="7"/>
  <c r="AD378" i="7"/>
  <c r="AC390" i="7"/>
  <c r="AG390" i="7"/>
  <c r="AF390" i="7"/>
  <c r="AD390" i="7"/>
  <c r="AC437" i="7"/>
  <c r="AD450" i="7"/>
  <c r="AG450" i="7"/>
  <c r="AE450" i="7"/>
  <c r="AG456" i="7"/>
  <c r="AF456" i="7"/>
  <c r="AE456" i="7"/>
  <c r="AD456" i="7"/>
  <c r="AC456" i="7"/>
  <c r="AG493" i="7"/>
  <c r="AF493" i="7"/>
  <c r="AE493" i="7"/>
  <c r="AG252" i="7"/>
  <c r="AF265" i="7"/>
  <c r="AG286" i="7"/>
  <c r="AG289" i="7"/>
  <c r="AG321" i="7"/>
  <c r="AF336" i="7"/>
  <c r="AG344" i="7"/>
  <c r="AF222" i="7"/>
  <c r="AC227" i="7"/>
  <c r="AE229" i="7"/>
  <c r="AC233" i="7"/>
  <c r="AD236" i="7"/>
  <c r="AD242" i="7"/>
  <c r="AC251" i="7"/>
  <c r="AC268" i="7"/>
  <c r="AC270" i="7"/>
  <c r="AC276" i="7"/>
  <c r="AC278" i="7"/>
  <c r="AC281" i="7"/>
  <c r="AE285" i="7"/>
  <c r="AC300" i="7"/>
  <c r="AC302" i="7"/>
  <c r="AC320" i="7"/>
  <c r="AE330" i="7"/>
  <c r="AC334" i="7"/>
  <c r="AG336" i="7"/>
  <c r="AC377" i="7"/>
  <c r="AG397" i="7"/>
  <c r="AC411" i="7"/>
  <c r="AC419" i="7"/>
  <c r="AC435" i="7"/>
  <c r="AC443" i="7"/>
  <c r="AD454" i="7"/>
  <c r="AF480" i="7"/>
  <c r="AD485" i="7"/>
  <c r="AG486" i="7"/>
  <c r="AG488" i="7"/>
  <c r="AF495" i="7"/>
  <c r="AC500" i="7"/>
  <c r="AD220" i="7"/>
  <c r="AE227" i="7"/>
  <c r="AG229" i="7"/>
  <c r="AD233" i="7"/>
  <c r="AF236" i="7"/>
  <c r="AE251" i="7"/>
  <c r="AD266" i="7"/>
  <c r="AD268" i="7"/>
  <c r="AE270" i="7"/>
  <c r="AD276" i="7"/>
  <c r="AD278" i="7"/>
  <c r="AD281" i="7"/>
  <c r="AG285" i="7"/>
  <c r="AD300" i="7"/>
  <c r="AD302" i="7"/>
  <c r="AC304" i="7"/>
  <c r="AC308" i="7"/>
  <c r="AE320" i="7"/>
  <c r="AE322" i="7"/>
  <c r="AG330" i="7"/>
  <c r="AD334" i="7"/>
  <c r="AF353" i="7"/>
  <c r="AC356" i="7"/>
  <c r="AC360" i="7"/>
  <c r="AD377" i="7"/>
  <c r="AD411" i="7"/>
  <c r="AD414" i="7"/>
  <c r="AD416" i="7"/>
  <c r="AD419" i="7"/>
  <c r="AD422" i="7"/>
  <c r="AD435" i="7"/>
  <c r="AD443" i="7"/>
  <c r="AF454" i="7"/>
  <c r="AD459" i="7"/>
  <c r="AD467" i="7"/>
  <c r="AC470" i="7"/>
  <c r="AE474" i="7"/>
  <c r="AC477" i="7"/>
  <c r="AE485" i="7"/>
  <c r="AC492" i="7"/>
  <c r="AD497" i="7"/>
  <c r="AD500" i="7"/>
  <c r="AF214" i="7"/>
  <c r="AF220" i="7"/>
  <c r="AF227" i="7"/>
  <c r="AG236" i="7"/>
  <c r="AF251" i="7"/>
  <c r="AG253" i="7"/>
  <c r="AC259" i="7"/>
  <c r="AF268" i="7"/>
  <c r="AF270" i="7"/>
  <c r="AF276" i="7"/>
  <c r="AE278" i="7"/>
  <c r="AF300" i="7"/>
  <c r="AE302" i="7"/>
  <c r="AD304" i="7"/>
  <c r="AE312" i="7"/>
  <c r="AE314" i="7"/>
  <c r="AC318" i="7"/>
  <c r="AF320" i="7"/>
  <c r="AG322" i="7"/>
  <c r="AC326" i="7"/>
  <c r="AE334" i="7"/>
  <c r="AD337" i="7"/>
  <c r="AF345" i="7"/>
  <c r="AC348" i="7"/>
  <c r="AG353" i="7"/>
  <c r="AE360" i="7"/>
  <c r="AE362" i="7"/>
  <c r="AE368" i="7"/>
  <c r="AC376" i="7"/>
  <c r="AE377" i="7"/>
  <c r="AF384" i="7"/>
  <c r="AD398" i="7"/>
  <c r="AD400" i="7"/>
  <c r="AD403" i="7"/>
  <c r="AD406" i="7"/>
  <c r="AD408" i="7"/>
  <c r="AG411" i="7"/>
  <c r="AF414" i="7"/>
  <c r="AF416" i="7"/>
  <c r="AG419" i="7"/>
  <c r="AF422" i="7"/>
  <c r="AF424" i="7"/>
  <c r="AD430" i="7"/>
  <c r="AE435" i="7"/>
  <c r="AE443" i="7"/>
  <c r="AD446" i="7"/>
  <c r="AD451" i="7"/>
  <c r="AG454" i="7"/>
  <c r="AG459" i="7"/>
  <c r="AD463" i="7"/>
  <c r="AD470" i="7"/>
  <c r="AC472" i="7"/>
  <c r="AD477" i="7"/>
  <c r="AG500" i="7"/>
  <c r="AD212" i="7"/>
  <c r="AF230" i="7"/>
  <c r="AC243" i="7"/>
  <c r="AE245" i="7"/>
  <c r="AC249" i="7"/>
  <c r="AE259" i="7"/>
  <c r="AE261" i="7"/>
  <c r="AG268" i="7"/>
  <c r="AG276" i="7"/>
  <c r="AF278" i="7"/>
  <c r="AG281" i="7"/>
  <c r="AC284" i="7"/>
  <c r="AC286" i="7"/>
  <c r="AE293" i="7"/>
  <c r="AG300" i="7"/>
  <c r="AF302" i="7"/>
  <c r="AE304" i="7"/>
  <c r="AC306" i="7"/>
  <c r="AF312" i="7"/>
  <c r="AG314" i="7"/>
  <c r="AD318" i="7"/>
  <c r="AG320" i="7"/>
  <c r="AD326" i="7"/>
  <c r="AF337" i="7"/>
  <c r="AG345" i="7"/>
  <c r="AF360" i="7"/>
  <c r="AG362" i="7"/>
  <c r="AC366" i="7"/>
  <c r="AD376" i="7"/>
  <c r="AF377" i="7"/>
  <c r="AD382" i="7"/>
  <c r="AC389" i="7"/>
  <c r="AC391" i="7"/>
  <c r="AF398" i="7"/>
  <c r="AF400" i="7"/>
  <c r="AG403" i="7"/>
  <c r="AF406" i="7"/>
  <c r="AF408" i="7"/>
  <c r="AG414" i="7"/>
  <c r="AG422" i="7"/>
  <c r="AD428" i="7"/>
  <c r="AF430" i="7"/>
  <c r="AF432" i="7"/>
  <c r="AG435" i="7"/>
  <c r="AD438" i="7"/>
  <c r="AD440" i="7"/>
  <c r="AF443" i="7"/>
  <c r="AF446" i="7"/>
  <c r="AG451" i="7"/>
  <c r="AF463" i="7"/>
  <c r="AE470" i="7"/>
  <c r="AD472" i="7"/>
  <c r="AE477" i="7"/>
  <c r="AD481" i="7"/>
  <c r="AC484" i="7"/>
  <c r="AE492" i="7"/>
  <c r="AC496" i="7"/>
  <c r="AF212" i="7"/>
  <c r="AC225" i="7"/>
  <c r="AD228" i="7"/>
  <c r="AC235" i="7"/>
  <c r="AE237" i="7"/>
  <c r="AE243" i="7"/>
  <c r="AG245" i="7"/>
  <c r="AD249" i="7"/>
  <c r="AC252" i="7"/>
  <c r="AC254" i="7"/>
  <c r="AF259" i="7"/>
  <c r="AD284" i="7"/>
  <c r="AC289" i="7"/>
  <c r="AF291" i="7"/>
  <c r="AG293" i="7"/>
  <c r="AC299" i="7"/>
  <c r="AE306" i="7"/>
  <c r="AC310" i="7"/>
  <c r="AG312" i="7"/>
  <c r="AE318" i="7"/>
  <c r="AE326" i="7"/>
  <c r="AD329" i="7"/>
  <c r="AG337" i="7"/>
  <c r="AC344" i="7"/>
  <c r="AE352" i="7"/>
  <c r="AE354" i="7"/>
  <c r="AC358" i="7"/>
  <c r="AG360" i="7"/>
  <c r="AD366" i="7"/>
  <c r="AG368" i="7"/>
  <c r="AE370" i="7"/>
  <c r="AC374" i="7"/>
  <c r="AF382" i="7"/>
  <c r="AE389" i="7"/>
  <c r="AE391" i="7"/>
  <c r="AG398" i="7"/>
  <c r="AG406" i="7"/>
  <c r="AG430" i="7"/>
  <c r="AF438" i="7"/>
  <c r="AF440" i="7"/>
  <c r="AD455" i="7"/>
  <c r="AD460" i="7"/>
  <c r="AG463" i="7"/>
  <c r="AC468" i="7"/>
  <c r="AF477" i="7"/>
  <c r="AD484" i="7"/>
  <c r="C4" i="13"/>
  <c r="D4" i="13" s="1"/>
  <c r="E4" i="13" s="1"/>
  <c r="F4" i="13" s="1"/>
  <c r="AG43" i="7"/>
  <c r="AF43" i="7"/>
  <c r="AE43" i="7"/>
  <c r="AD43" i="7"/>
  <c r="AC43" i="7"/>
  <c r="AG67" i="7"/>
  <c r="AF67" i="7"/>
  <c r="AE67" i="7"/>
  <c r="AD67" i="7"/>
  <c r="AC67" i="7"/>
  <c r="AG83" i="7"/>
  <c r="AF83" i="7"/>
  <c r="AE83" i="7"/>
  <c r="AD83" i="7"/>
  <c r="AC83" i="7"/>
  <c r="AG51" i="7"/>
  <c r="AF51" i="7"/>
  <c r="AE51" i="7"/>
  <c r="AD51" i="7"/>
  <c r="AC51" i="7"/>
  <c r="AG99" i="7"/>
  <c r="AF99" i="7"/>
  <c r="AE99" i="7"/>
  <c r="AD99" i="7"/>
  <c r="AC99" i="7"/>
  <c r="AG107" i="7"/>
  <c r="AF107" i="7"/>
  <c r="AE107" i="7"/>
  <c r="AD107" i="7"/>
  <c r="AC107" i="7"/>
  <c r="AG11" i="7"/>
  <c r="G14" i="16" s="1"/>
  <c r="AF11" i="7"/>
  <c r="F14" i="16" s="1"/>
  <c r="AE11" i="7"/>
  <c r="E14" i="16" s="1"/>
  <c r="AD11" i="7"/>
  <c r="D14" i="16" s="1"/>
  <c r="AC11" i="7"/>
  <c r="C14" i="16" s="1"/>
  <c r="AG130" i="7"/>
  <c r="AF130" i="7"/>
  <c r="AC130" i="7"/>
  <c r="AE130" i="7"/>
  <c r="AD130" i="7"/>
  <c r="AG35" i="7"/>
  <c r="AF35" i="7"/>
  <c r="AE35" i="7"/>
  <c r="AD35" i="7"/>
  <c r="AC35" i="7"/>
  <c r="AG250" i="7"/>
  <c r="AF250" i="7"/>
  <c r="AC250" i="7"/>
  <c r="AE250" i="7"/>
  <c r="AD250" i="7"/>
  <c r="H17" i="16"/>
  <c r="N17" i="16" s="1" a="1"/>
  <c r="AG19" i="7"/>
  <c r="AF19" i="7"/>
  <c r="AE19" i="7"/>
  <c r="AD19" i="7"/>
  <c r="AC19" i="7"/>
  <c r="AG59" i="7"/>
  <c r="AF59" i="7"/>
  <c r="AE59" i="7"/>
  <c r="AD59" i="7"/>
  <c r="AC59" i="7"/>
  <c r="AG75" i="7"/>
  <c r="AF75" i="7"/>
  <c r="AE75" i="7"/>
  <c r="AD75" i="7"/>
  <c r="AC75" i="7"/>
  <c r="AG27" i="7"/>
  <c r="AF27" i="7"/>
  <c r="AE27" i="7"/>
  <c r="AD27" i="7"/>
  <c r="AC27" i="7"/>
  <c r="AG91" i="7"/>
  <c r="AF91" i="7"/>
  <c r="AE91" i="7"/>
  <c r="AD91" i="7"/>
  <c r="AC91" i="7"/>
  <c r="AF279" i="7"/>
  <c r="AE279" i="7"/>
  <c r="AD279" i="7"/>
  <c r="AC279" i="7"/>
  <c r="AG279" i="7"/>
  <c r="AG10" i="7"/>
  <c r="G12" i="16" s="1"/>
  <c r="AG18" i="7"/>
  <c r="AG26" i="7"/>
  <c r="G34" i="16" s="1"/>
  <c r="AG34" i="7"/>
  <c r="G48" i="16" s="1"/>
  <c r="AG42" i="7"/>
  <c r="AG50" i="7"/>
  <c r="AG58" i="7"/>
  <c r="AG66" i="7"/>
  <c r="AG74" i="7"/>
  <c r="AG82" i="7"/>
  <c r="AG90" i="7"/>
  <c r="AG98" i="7"/>
  <c r="AG106" i="7"/>
  <c r="AG120" i="7"/>
  <c r="AF120" i="7"/>
  <c r="AE120" i="7"/>
  <c r="AD120" i="7"/>
  <c r="AG144" i="7"/>
  <c r="AF144" i="7"/>
  <c r="AE144" i="7"/>
  <c r="AD144" i="7"/>
  <c r="AG258" i="7"/>
  <c r="AF258" i="7"/>
  <c r="AC258" i="7"/>
  <c r="AG311" i="7"/>
  <c r="AC311" i="7"/>
  <c r="AF311" i="7"/>
  <c r="AE311" i="7"/>
  <c r="AG357" i="7"/>
  <c r="AF357" i="7"/>
  <c r="AE357" i="7"/>
  <c r="AD357" i="7"/>
  <c r="AG309" i="7"/>
  <c r="AF309" i="7"/>
  <c r="AE309" i="7"/>
  <c r="AD309" i="7"/>
  <c r="AG327" i="7"/>
  <c r="AC327" i="7"/>
  <c r="AF327" i="7"/>
  <c r="AE327" i="7"/>
  <c r="AF372" i="7"/>
  <c r="AE372" i="7"/>
  <c r="AD372" i="7"/>
  <c r="AG372" i="7"/>
  <c r="AG420" i="7"/>
  <c r="AF420" i="7"/>
  <c r="AC420" i="7"/>
  <c r="AE420" i="7"/>
  <c r="AC5" i="7"/>
  <c r="C5" i="16" s="1"/>
  <c r="AD6" i="7"/>
  <c r="AF8" i="7"/>
  <c r="F7" i="16" s="1"/>
  <c r="AG9" i="7"/>
  <c r="AC13" i="7"/>
  <c r="AD14" i="7"/>
  <c r="D16" i="16" s="1"/>
  <c r="AF16" i="7"/>
  <c r="F21" i="16" s="1"/>
  <c r="AG17" i="7"/>
  <c r="G23" i="16" s="1"/>
  <c r="AC21" i="7"/>
  <c r="AD22" i="7"/>
  <c r="D30" i="16" s="1"/>
  <c r="AF24" i="7"/>
  <c r="AG25" i="7"/>
  <c r="AC29" i="7"/>
  <c r="C41" i="16" s="1"/>
  <c r="AD30" i="7"/>
  <c r="AF32" i="7"/>
  <c r="F43" i="16" s="1"/>
  <c r="AG33" i="7"/>
  <c r="AC37" i="7"/>
  <c r="AD38" i="7"/>
  <c r="AF40" i="7"/>
  <c r="AG41" i="7"/>
  <c r="AC45" i="7"/>
  <c r="AD46" i="7"/>
  <c r="AF48" i="7"/>
  <c r="AG49" i="7"/>
  <c r="AC53" i="7"/>
  <c r="AD54" i="7"/>
  <c r="AC61" i="7"/>
  <c r="AD62" i="7"/>
  <c r="AC69" i="7"/>
  <c r="AD70" i="7"/>
  <c r="AC77" i="7"/>
  <c r="AD78" i="7"/>
  <c r="AC85" i="7"/>
  <c r="AD86" i="7"/>
  <c r="AC93" i="7"/>
  <c r="AD94" i="7"/>
  <c r="AC101" i="7"/>
  <c r="AD102" i="7"/>
  <c r="AC109" i="7"/>
  <c r="AD110" i="7"/>
  <c r="AC120" i="7"/>
  <c r="AF127" i="7"/>
  <c r="AE127" i="7"/>
  <c r="AD127" i="7"/>
  <c r="AC127" i="7"/>
  <c r="AC144" i="7"/>
  <c r="AF151" i="7"/>
  <c r="AE151" i="7"/>
  <c r="AD151" i="7"/>
  <c r="AC151" i="7"/>
  <c r="AG154" i="7"/>
  <c r="AF154" i="7"/>
  <c r="AC154" i="7"/>
  <c r="AG176" i="7"/>
  <c r="AF176" i="7"/>
  <c r="AE176" i="7"/>
  <c r="AD176" i="7"/>
  <c r="AF183" i="7"/>
  <c r="AE183" i="7"/>
  <c r="AD183" i="7"/>
  <c r="AC183" i="7"/>
  <c r="AG186" i="7"/>
  <c r="AF186" i="7"/>
  <c r="AC186" i="7"/>
  <c r="AG208" i="7"/>
  <c r="AF208" i="7"/>
  <c r="AE208" i="7"/>
  <c r="AD208" i="7"/>
  <c r="AF215" i="7"/>
  <c r="AE215" i="7"/>
  <c r="AD215" i="7"/>
  <c r="AC215" i="7"/>
  <c r="AG218" i="7"/>
  <c r="AF218" i="7"/>
  <c r="AC218" i="7"/>
  <c r="AG240" i="7"/>
  <c r="AF240" i="7"/>
  <c r="AE240" i="7"/>
  <c r="AD240" i="7"/>
  <c r="AF247" i="7"/>
  <c r="AE247" i="7"/>
  <c r="AD247" i="7"/>
  <c r="AC247" i="7"/>
  <c r="AG256" i="7"/>
  <c r="AF256" i="7"/>
  <c r="AE256" i="7"/>
  <c r="AD256" i="7"/>
  <c r="AD258" i="7"/>
  <c r="AD311" i="7"/>
  <c r="AG319" i="7"/>
  <c r="AC319" i="7"/>
  <c r="AF319" i="7"/>
  <c r="AE319" i="7"/>
  <c r="AC357" i="7"/>
  <c r="AG365" i="7"/>
  <c r="AF365" i="7"/>
  <c r="AE365" i="7"/>
  <c r="AD365" i="7"/>
  <c r="AF409" i="7"/>
  <c r="AE409" i="7"/>
  <c r="AD409" i="7"/>
  <c r="AC409" i="7"/>
  <c r="AG409" i="7"/>
  <c r="AG112" i="7"/>
  <c r="AF112" i="7"/>
  <c r="AE112" i="7"/>
  <c r="AG114" i="7"/>
  <c r="AF114" i="7"/>
  <c r="AC114" i="7"/>
  <c r="AG128" i="7"/>
  <c r="AF128" i="7"/>
  <c r="AE128" i="7"/>
  <c r="AD128" i="7"/>
  <c r="AG152" i="7"/>
  <c r="AF152" i="7"/>
  <c r="AE152" i="7"/>
  <c r="AD152" i="7"/>
  <c r="AF159" i="7"/>
  <c r="AE159" i="7"/>
  <c r="AD159" i="7"/>
  <c r="AC159" i="7"/>
  <c r="AG162" i="7"/>
  <c r="AF162" i="7"/>
  <c r="AC162" i="7"/>
  <c r="AG184" i="7"/>
  <c r="AF184" i="7"/>
  <c r="AE184" i="7"/>
  <c r="AD184" i="7"/>
  <c r="AF191" i="7"/>
  <c r="AE191" i="7"/>
  <c r="AD191" i="7"/>
  <c r="AC191" i="7"/>
  <c r="AG194" i="7"/>
  <c r="AF194" i="7"/>
  <c r="AC194" i="7"/>
  <c r="AG216" i="7"/>
  <c r="AF216" i="7"/>
  <c r="AE216" i="7"/>
  <c r="AD216" i="7"/>
  <c r="AF223" i="7"/>
  <c r="AE223" i="7"/>
  <c r="AD223" i="7"/>
  <c r="AC223" i="7"/>
  <c r="AG226" i="7"/>
  <c r="AF226" i="7"/>
  <c r="AC226" i="7"/>
  <c r="AG248" i="7"/>
  <c r="AF248" i="7"/>
  <c r="AE248" i="7"/>
  <c r="AD248" i="7"/>
  <c r="AF271" i="7"/>
  <c r="AE271" i="7"/>
  <c r="AD271" i="7"/>
  <c r="AC271" i="7"/>
  <c r="AF287" i="7"/>
  <c r="AE287" i="7"/>
  <c r="AD287" i="7"/>
  <c r="AC287" i="7"/>
  <c r="AF295" i="7"/>
  <c r="AE295" i="7"/>
  <c r="AD295" i="7"/>
  <c r="AC295" i="7"/>
  <c r="AC309" i="7"/>
  <c r="AG317" i="7"/>
  <c r="AF317" i="7"/>
  <c r="AE317" i="7"/>
  <c r="AD317" i="7"/>
  <c r="AD327" i="7"/>
  <c r="AG335" i="7"/>
  <c r="AC335" i="7"/>
  <c r="AF335" i="7"/>
  <c r="AE335" i="7"/>
  <c r="AC372" i="7"/>
  <c r="AD420" i="7"/>
  <c r="AF5" i="7"/>
  <c r="F5" i="16" s="1"/>
  <c r="AC10" i="7"/>
  <c r="C12" i="16" s="1"/>
  <c r="AE12" i="7"/>
  <c r="AF13" i="7"/>
  <c r="AC18" i="7"/>
  <c r="AE20" i="7"/>
  <c r="E25" i="16" s="1"/>
  <c r="AF21" i="7"/>
  <c r="AC26" i="7"/>
  <c r="C34" i="16" s="1"/>
  <c r="AE28" i="7"/>
  <c r="E39" i="16" s="1"/>
  <c r="AF29" i="7"/>
  <c r="F41" i="16" s="1"/>
  <c r="AC34" i="7"/>
  <c r="C48" i="16" s="1"/>
  <c r="AE36" i="7"/>
  <c r="AF37" i="7"/>
  <c r="AC42" i="7"/>
  <c r="AE44" i="7"/>
  <c r="AF45" i="7"/>
  <c r="AC50" i="7"/>
  <c r="AE52" i="7"/>
  <c r="AF53" i="7"/>
  <c r="AC58" i="7"/>
  <c r="AE60" i="7"/>
  <c r="AF61" i="7"/>
  <c r="AC66" i="7"/>
  <c r="AE68" i="7"/>
  <c r="AF69" i="7"/>
  <c r="AC74" i="7"/>
  <c r="AE76" i="7"/>
  <c r="AF77" i="7"/>
  <c r="AC82" i="7"/>
  <c r="AE84" i="7"/>
  <c r="AF85" i="7"/>
  <c r="AC90" i="7"/>
  <c r="AE92" i="7"/>
  <c r="AF93" i="7"/>
  <c r="AC98" i="7"/>
  <c r="AE100" i="7"/>
  <c r="AF101" i="7"/>
  <c r="AC106" i="7"/>
  <c r="AE108" i="7"/>
  <c r="AF109" i="7"/>
  <c r="AC112" i="7"/>
  <c r="AD114" i="7"/>
  <c r="AC128" i="7"/>
  <c r="AF135" i="7"/>
  <c r="AE135" i="7"/>
  <c r="AD135" i="7"/>
  <c r="AC135" i="7"/>
  <c r="AG138" i="7"/>
  <c r="AF138" i="7"/>
  <c r="AC138" i="7"/>
  <c r="AC152" i="7"/>
  <c r="AG159" i="7"/>
  <c r="AD162" i="7"/>
  <c r="AC184" i="7"/>
  <c r="AG191" i="7"/>
  <c r="AD194" i="7"/>
  <c r="AC216" i="7"/>
  <c r="AG223" i="7"/>
  <c r="AD226" i="7"/>
  <c r="AC248" i="7"/>
  <c r="AG271" i="7"/>
  <c r="AG274" i="7"/>
  <c r="AF274" i="7"/>
  <c r="AC274" i="7"/>
  <c r="AG280" i="7"/>
  <c r="AF280" i="7"/>
  <c r="AE280" i="7"/>
  <c r="AD280" i="7"/>
  <c r="AG282" i="7"/>
  <c r="AF282" i="7"/>
  <c r="AC282" i="7"/>
  <c r="AG287" i="7"/>
  <c r="AG295" i="7"/>
  <c r="AF303" i="7"/>
  <c r="AE303" i="7"/>
  <c r="AD303" i="7"/>
  <c r="AC303" i="7"/>
  <c r="AC317" i="7"/>
  <c r="AG325" i="7"/>
  <c r="AF325" i="7"/>
  <c r="AE325" i="7"/>
  <c r="AD325" i="7"/>
  <c r="AD335" i="7"/>
  <c r="AG343" i="7"/>
  <c r="AC343" i="7"/>
  <c r="AF343" i="7"/>
  <c r="AE343" i="7"/>
  <c r="AF490" i="7"/>
  <c r="AD490" i="7"/>
  <c r="AG490" i="7"/>
  <c r="AE490" i="7"/>
  <c r="AC490" i="7"/>
  <c r="AC9" i="7"/>
  <c r="AD10" i="7"/>
  <c r="D12" i="16" s="1"/>
  <c r="AF12" i="7"/>
  <c r="AC17" i="7"/>
  <c r="C23" i="16" s="1"/>
  <c r="AD18" i="7"/>
  <c r="AF20" i="7"/>
  <c r="F25" i="16" s="1"/>
  <c r="AC25" i="7"/>
  <c r="AD26" i="7"/>
  <c r="D34" i="16" s="1"/>
  <c r="AF28" i="7"/>
  <c r="F39" i="16" s="1"/>
  <c r="AC33" i="7"/>
  <c r="AD34" i="7"/>
  <c r="D48" i="16" s="1"/>
  <c r="AF36" i="7"/>
  <c r="AC41" i="7"/>
  <c r="AD42" i="7"/>
  <c r="AF44" i="7"/>
  <c r="AC49" i="7"/>
  <c r="AD50" i="7"/>
  <c r="AF52" i="7"/>
  <c r="AC57" i="7"/>
  <c r="AD58" i="7"/>
  <c r="AF60" i="7"/>
  <c r="AC65" i="7"/>
  <c r="AD66" i="7"/>
  <c r="AF68" i="7"/>
  <c r="AC73" i="7"/>
  <c r="AD74" i="7"/>
  <c r="AF76" i="7"/>
  <c r="AC81" i="7"/>
  <c r="AD82" i="7"/>
  <c r="AF84" i="7"/>
  <c r="AD90" i="7"/>
  <c r="AF92" i="7"/>
  <c r="AD98" i="7"/>
  <c r="AF100" i="7"/>
  <c r="AD106" i="7"/>
  <c r="AF108" i="7"/>
  <c r="AD112" i="7"/>
  <c r="AE114" i="7"/>
  <c r="AG160" i="7"/>
  <c r="AF160" i="7"/>
  <c r="AE160" i="7"/>
  <c r="AD160" i="7"/>
  <c r="AE162" i="7"/>
  <c r="AF167" i="7"/>
  <c r="AE167" i="7"/>
  <c r="AD167" i="7"/>
  <c r="AC167" i="7"/>
  <c r="AG170" i="7"/>
  <c r="AF170" i="7"/>
  <c r="AC170" i="7"/>
  <c r="AG192" i="7"/>
  <c r="AF192" i="7"/>
  <c r="AE192" i="7"/>
  <c r="AD192" i="7"/>
  <c r="AE194" i="7"/>
  <c r="AF199" i="7"/>
  <c r="AE199" i="7"/>
  <c r="AD199" i="7"/>
  <c r="AC199" i="7"/>
  <c r="AG202" i="7"/>
  <c r="AF202" i="7"/>
  <c r="AC202" i="7"/>
  <c r="AG224" i="7"/>
  <c r="AF224" i="7"/>
  <c r="AE224" i="7"/>
  <c r="AD224" i="7"/>
  <c r="AE226" i="7"/>
  <c r="AF231" i="7"/>
  <c r="AE231" i="7"/>
  <c r="AD231" i="7"/>
  <c r="AC231" i="7"/>
  <c r="AG234" i="7"/>
  <c r="AF234" i="7"/>
  <c r="AC234" i="7"/>
  <c r="AF263" i="7"/>
  <c r="AE263" i="7"/>
  <c r="AD263" i="7"/>
  <c r="AC263" i="7"/>
  <c r="AG272" i="7"/>
  <c r="AF272" i="7"/>
  <c r="AE272" i="7"/>
  <c r="AD272" i="7"/>
  <c r="AG288" i="7"/>
  <c r="AF288" i="7"/>
  <c r="AE288" i="7"/>
  <c r="AD288" i="7"/>
  <c r="AG290" i="7"/>
  <c r="AF290" i="7"/>
  <c r="AC290" i="7"/>
  <c r="AG296" i="7"/>
  <c r="AF296" i="7"/>
  <c r="AE296" i="7"/>
  <c r="AD296" i="7"/>
  <c r="AG298" i="7"/>
  <c r="AF298" i="7"/>
  <c r="AC298" i="7"/>
  <c r="AG333" i="7"/>
  <c r="AF333" i="7"/>
  <c r="AE333" i="7"/>
  <c r="AD333" i="7"/>
  <c r="AG351" i="7"/>
  <c r="AC351" i="7"/>
  <c r="AF351" i="7"/>
  <c r="AE351" i="7"/>
  <c r="AF441" i="7"/>
  <c r="AE441" i="7"/>
  <c r="AD441" i="7"/>
  <c r="AC441" i="7"/>
  <c r="AG441" i="7"/>
  <c r="AE10" i="7"/>
  <c r="E12" i="16" s="1"/>
  <c r="AE18" i="7"/>
  <c r="AE26" i="7"/>
  <c r="E34" i="16" s="1"/>
  <c r="AE34" i="7"/>
  <c r="E48" i="16" s="1"/>
  <c r="AE42" i="7"/>
  <c r="AE50" i="7"/>
  <c r="AE58" i="7"/>
  <c r="AE66" i="7"/>
  <c r="AE74" i="7"/>
  <c r="AE82" i="7"/>
  <c r="AE90" i="7"/>
  <c r="AE98" i="7"/>
  <c r="AE106" i="7"/>
  <c r="AF119" i="7"/>
  <c r="AE119" i="7"/>
  <c r="AD119" i="7"/>
  <c r="AC119" i="7"/>
  <c r="AG122" i="7"/>
  <c r="AF122" i="7"/>
  <c r="AC122" i="7"/>
  <c r="AG136" i="7"/>
  <c r="AF136" i="7"/>
  <c r="AE136" i="7"/>
  <c r="AD136" i="7"/>
  <c r="AE138" i="7"/>
  <c r="AF143" i="7"/>
  <c r="AE143" i="7"/>
  <c r="AD143" i="7"/>
  <c r="AC143" i="7"/>
  <c r="AG146" i="7"/>
  <c r="AF146" i="7"/>
  <c r="AC146" i="7"/>
  <c r="AC160" i="7"/>
  <c r="AG167" i="7"/>
  <c r="AD170" i="7"/>
  <c r="AC192" i="7"/>
  <c r="AG199" i="7"/>
  <c r="AD202" i="7"/>
  <c r="AC224" i="7"/>
  <c r="AG231" i="7"/>
  <c r="AD234" i="7"/>
  <c r="AG263" i="7"/>
  <c r="AG266" i="7"/>
  <c r="AF266" i="7"/>
  <c r="AC266" i="7"/>
  <c r="AC272" i="7"/>
  <c r="AE274" i="7"/>
  <c r="AE282" i="7"/>
  <c r="AC288" i="7"/>
  <c r="AD290" i="7"/>
  <c r="AC296" i="7"/>
  <c r="AD298" i="7"/>
  <c r="AC333" i="7"/>
  <c r="AG341" i="7"/>
  <c r="AF341" i="7"/>
  <c r="AE341" i="7"/>
  <c r="AD341" i="7"/>
  <c r="AD351" i="7"/>
  <c r="AG359" i="7"/>
  <c r="AC359" i="7"/>
  <c r="AF359" i="7"/>
  <c r="AE359" i="7"/>
  <c r="AF393" i="7"/>
  <c r="AE393" i="7"/>
  <c r="AD393" i="7"/>
  <c r="AC393" i="7"/>
  <c r="AG393" i="7"/>
  <c r="AG442" i="7"/>
  <c r="AF442" i="7"/>
  <c r="AE442" i="7"/>
  <c r="AD442" i="7"/>
  <c r="AC442" i="7"/>
  <c r="AG453" i="7"/>
  <c r="AF453" i="7"/>
  <c r="AC453" i="7"/>
  <c r="AE453" i="7"/>
  <c r="AD453" i="7"/>
  <c r="AG168" i="7"/>
  <c r="AF168" i="7"/>
  <c r="AE168" i="7"/>
  <c r="AD168" i="7"/>
  <c r="AF175" i="7"/>
  <c r="AE175" i="7"/>
  <c r="AD175" i="7"/>
  <c r="AC175" i="7"/>
  <c r="AG178" i="7"/>
  <c r="AF178" i="7"/>
  <c r="AC178" i="7"/>
  <c r="AG200" i="7"/>
  <c r="AF200" i="7"/>
  <c r="AE200" i="7"/>
  <c r="AD200" i="7"/>
  <c r="AE202" i="7"/>
  <c r="AF207" i="7"/>
  <c r="AE207" i="7"/>
  <c r="AD207" i="7"/>
  <c r="AC207" i="7"/>
  <c r="AG210" i="7"/>
  <c r="AF210" i="7"/>
  <c r="AC210" i="7"/>
  <c r="AG232" i="7"/>
  <c r="AF232" i="7"/>
  <c r="AE232" i="7"/>
  <c r="AD232" i="7"/>
  <c r="AE234" i="7"/>
  <c r="AF239" i="7"/>
  <c r="AE239" i="7"/>
  <c r="AD239" i="7"/>
  <c r="AC239" i="7"/>
  <c r="AG242" i="7"/>
  <c r="AF242" i="7"/>
  <c r="AC242" i="7"/>
  <c r="AF255" i="7"/>
  <c r="AE255" i="7"/>
  <c r="AD255" i="7"/>
  <c r="AC255" i="7"/>
  <c r="AG264" i="7"/>
  <c r="AF264" i="7"/>
  <c r="AE264" i="7"/>
  <c r="AD264" i="7"/>
  <c r="AE290" i="7"/>
  <c r="AE298" i="7"/>
  <c r="AC341" i="7"/>
  <c r="AG349" i="7"/>
  <c r="AF349" i="7"/>
  <c r="AE349" i="7"/>
  <c r="AD349" i="7"/>
  <c r="AD359" i="7"/>
  <c r="AG367" i="7"/>
  <c r="AC367" i="7"/>
  <c r="AF367" i="7"/>
  <c r="AE367" i="7"/>
  <c r="AF385" i="7"/>
  <c r="AE385" i="7"/>
  <c r="AD385" i="7"/>
  <c r="AC385" i="7"/>
  <c r="AG385" i="7"/>
  <c r="AE116" i="7"/>
  <c r="AF117" i="7"/>
  <c r="AG118" i="7"/>
  <c r="AE124" i="7"/>
  <c r="AF125" i="7"/>
  <c r="AG126" i="7"/>
  <c r="AD131" i="7"/>
  <c r="AE132" i="7"/>
  <c r="AF133" i="7"/>
  <c r="AG134" i="7"/>
  <c r="AD139" i="7"/>
  <c r="AE140" i="7"/>
  <c r="AF141" i="7"/>
  <c r="AG142" i="7"/>
  <c r="AD147" i="7"/>
  <c r="AE148" i="7"/>
  <c r="AF149" i="7"/>
  <c r="AD155" i="7"/>
  <c r="AE156" i="7"/>
  <c r="AF157" i="7"/>
  <c r="AG158" i="7"/>
  <c r="AD163" i="7"/>
  <c r="AE164" i="7"/>
  <c r="AF165" i="7"/>
  <c r="AG166" i="7"/>
  <c r="AD171" i="7"/>
  <c r="AE172" i="7"/>
  <c r="AF173" i="7"/>
  <c r="AG174" i="7"/>
  <c r="AD179" i="7"/>
  <c r="AE180" i="7"/>
  <c r="AF181" i="7"/>
  <c r="AG182" i="7"/>
  <c r="AD187" i="7"/>
  <c r="AE188" i="7"/>
  <c r="AF189" i="7"/>
  <c r="AG190" i="7"/>
  <c r="AD195" i="7"/>
  <c r="AE196" i="7"/>
  <c r="AF197" i="7"/>
  <c r="AG198" i="7"/>
  <c r="AD203" i="7"/>
  <c r="AE204" i="7"/>
  <c r="AF205" i="7"/>
  <c r="AG206" i="7"/>
  <c r="AD211" i="7"/>
  <c r="AE212" i="7"/>
  <c r="AF213" i="7"/>
  <c r="AG214" i="7"/>
  <c r="AD219" i="7"/>
  <c r="AE220" i="7"/>
  <c r="AF221" i="7"/>
  <c r="AG222" i="7"/>
  <c r="AD227" i="7"/>
  <c r="AE228" i="7"/>
  <c r="AF229" i="7"/>
  <c r="AG230" i="7"/>
  <c r="AD235" i="7"/>
  <c r="AE236" i="7"/>
  <c r="AF237" i="7"/>
  <c r="AG238" i="7"/>
  <c r="AD243" i="7"/>
  <c r="AE244" i="7"/>
  <c r="AF245" i="7"/>
  <c r="AG246" i="7"/>
  <c r="AD251" i="7"/>
  <c r="AF253" i="7"/>
  <c r="AG254" i="7"/>
  <c r="AD259" i="7"/>
  <c r="AF261" i="7"/>
  <c r="AG262" i="7"/>
  <c r="AD267" i="7"/>
  <c r="AF269" i="7"/>
  <c r="AG270" i="7"/>
  <c r="AD275" i="7"/>
  <c r="AF277" i="7"/>
  <c r="AD283" i="7"/>
  <c r="AF285" i="7"/>
  <c r="AD291" i="7"/>
  <c r="AF293" i="7"/>
  <c r="AD299" i="7"/>
  <c r="AF301" i="7"/>
  <c r="AG394" i="7"/>
  <c r="AF394" i="7"/>
  <c r="AE394" i="7"/>
  <c r="AD394" i="7"/>
  <c r="AC449" i="7"/>
  <c r="AG449" i="7"/>
  <c r="AD449" i="7"/>
  <c r="AE449" i="7"/>
  <c r="AF452" i="7"/>
  <c r="AG452" i="7"/>
  <c r="AE452" i="7"/>
  <c r="AD452" i="7"/>
  <c r="AC503" i="7"/>
  <c r="AE503" i="7"/>
  <c r="AD503" i="7"/>
  <c r="AF503" i="7"/>
  <c r="AE121" i="7"/>
  <c r="AE137" i="7"/>
  <c r="AE145" i="7"/>
  <c r="AE153" i="7"/>
  <c r="AE161" i="7"/>
  <c r="AE169" i="7"/>
  <c r="AE177" i="7"/>
  <c r="AE185" i="7"/>
  <c r="AE193" i="7"/>
  <c r="AE201" i="7"/>
  <c r="AE209" i="7"/>
  <c r="AE217" i="7"/>
  <c r="AE225" i="7"/>
  <c r="AE233" i="7"/>
  <c r="AE241" i="7"/>
  <c r="AE249" i="7"/>
  <c r="AE257" i="7"/>
  <c r="AE265" i="7"/>
  <c r="AE273" i="7"/>
  <c r="AF305" i="7"/>
  <c r="AE307" i="7"/>
  <c r="AD307" i="7"/>
  <c r="AC307" i="7"/>
  <c r="AG307" i="7"/>
  <c r="AE315" i="7"/>
  <c r="AD315" i="7"/>
  <c r="AC315" i="7"/>
  <c r="AG315" i="7"/>
  <c r="AE323" i="7"/>
  <c r="AD323" i="7"/>
  <c r="AC323" i="7"/>
  <c r="AG323" i="7"/>
  <c r="AE331" i="7"/>
  <c r="AD331" i="7"/>
  <c r="AC331" i="7"/>
  <c r="AG331" i="7"/>
  <c r="AE339" i="7"/>
  <c r="AD339" i="7"/>
  <c r="AC339" i="7"/>
  <c r="AG339" i="7"/>
  <c r="AE347" i="7"/>
  <c r="AD347" i="7"/>
  <c r="AC347" i="7"/>
  <c r="AG347" i="7"/>
  <c r="AE355" i="7"/>
  <c r="AD355" i="7"/>
  <c r="AC355" i="7"/>
  <c r="AG355" i="7"/>
  <c r="AE363" i="7"/>
  <c r="AD363" i="7"/>
  <c r="AC363" i="7"/>
  <c r="AG363" i="7"/>
  <c r="AF379" i="7"/>
  <c r="AE379" i="7"/>
  <c r="AD379" i="7"/>
  <c r="AC379" i="7"/>
  <c r="AG418" i="7"/>
  <c r="AF418" i="7"/>
  <c r="AE418" i="7"/>
  <c r="AD418" i="7"/>
  <c r="AF482" i="7"/>
  <c r="AD482" i="7"/>
  <c r="AG482" i="7"/>
  <c r="AE482" i="7"/>
  <c r="AC482" i="7"/>
  <c r="AF113" i="7"/>
  <c r="AC118" i="7"/>
  <c r="AF121" i="7"/>
  <c r="AC126" i="7"/>
  <c r="AF129" i="7"/>
  <c r="AC134" i="7"/>
  <c r="AF137" i="7"/>
  <c r="AC142" i="7"/>
  <c r="AF145" i="7"/>
  <c r="AC150" i="7"/>
  <c r="AF153" i="7"/>
  <c r="AC158" i="7"/>
  <c r="AF161" i="7"/>
  <c r="AC166" i="7"/>
  <c r="AF169" i="7"/>
  <c r="AC174" i="7"/>
  <c r="AF177" i="7"/>
  <c r="AC182" i="7"/>
  <c r="AF185" i="7"/>
  <c r="AC190" i="7"/>
  <c r="AF193" i="7"/>
  <c r="AC198" i="7"/>
  <c r="AF201" i="7"/>
  <c r="AC206" i="7"/>
  <c r="AF209" i="7"/>
  <c r="AC214" i="7"/>
  <c r="AF217" i="7"/>
  <c r="AC222" i="7"/>
  <c r="AF225" i="7"/>
  <c r="AC230" i="7"/>
  <c r="AF233" i="7"/>
  <c r="AC238" i="7"/>
  <c r="AF241" i="7"/>
  <c r="AC246" i="7"/>
  <c r="AG373" i="7"/>
  <c r="AF373" i="7"/>
  <c r="AE373" i="7"/>
  <c r="AG375" i="7"/>
  <c r="AC375" i="7"/>
  <c r="AG462" i="7"/>
  <c r="AF462" i="7"/>
  <c r="AC462" i="7"/>
  <c r="AE462" i="7"/>
  <c r="AD466" i="7"/>
  <c r="AG466" i="7"/>
  <c r="AF466" i="7"/>
  <c r="AE466" i="7"/>
  <c r="AC466" i="7"/>
  <c r="AC117" i="7"/>
  <c r="AD118" i="7"/>
  <c r="AC125" i="7"/>
  <c r="AD126" i="7"/>
  <c r="AC133" i="7"/>
  <c r="AD134" i="7"/>
  <c r="AC141" i="7"/>
  <c r="AD142" i="7"/>
  <c r="AC149" i="7"/>
  <c r="AD150" i="7"/>
  <c r="AC157" i="7"/>
  <c r="AD158" i="7"/>
  <c r="AC165" i="7"/>
  <c r="AD166" i="7"/>
  <c r="AC173" i="7"/>
  <c r="AD174" i="7"/>
  <c r="AC181" i="7"/>
  <c r="AD182" i="7"/>
  <c r="AC189" i="7"/>
  <c r="AD190" i="7"/>
  <c r="AC197" i="7"/>
  <c r="AD198" i="7"/>
  <c r="AC205" i="7"/>
  <c r="AD206" i="7"/>
  <c r="AC213" i="7"/>
  <c r="AD214" i="7"/>
  <c r="AC221" i="7"/>
  <c r="AD222" i="7"/>
  <c r="AC229" i="7"/>
  <c r="AD230" i="7"/>
  <c r="AC237" i="7"/>
  <c r="AD238" i="7"/>
  <c r="AC245" i="7"/>
  <c r="AD246" i="7"/>
  <c r="AC253" i="7"/>
  <c r="AC261" i="7"/>
  <c r="AC269" i="7"/>
  <c r="AC277" i="7"/>
  <c r="AC285" i="7"/>
  <c r="AC293" i="7"/>
  <c r="AC301" i="7"/>
  <c r="AC373" i="7"/>
  <c r="AD375" i="7"/>
  <c r="AG380" i="7"/>
  <c r="AF380" i="7"/>
  <c r="AC380" i="7"/>
  <c r="AG404" i="7"/>
  <c r="AF404" i="7"/>
  <c r="AC404" i="7"/>
  <c r="AD404" i="7"/>
  <c r="AG426" i="7"/>
  <c r="AF426" i="7"/>
  <c r="AE426" i="7"/>
  <c r="AD426" i="7"/>
  <c r="AC426" i="7"/>
  <c r="AD462" i="7"/>
  <c r="AE473" i="7"/>
  <c r="AC473" i="7"/>
  <c r="AG473" i="7"/>
  <c r="AF473" i="7"/>
  <c r="AD473" i="7"/>
  <c r="AF476" i="7"/>
  <c r="AG476" i="7"/>
  <c r="AE476" i="7"/>
  <c r="AD476" i="7"/>
  <c r="AC476" i="7"/>
  <c r="AF308" i="7"/>
  <c r="AE308" i="7"/>
  <c r="AD308" i="7"/>
  <c r="AF316" i="7"/>
  <c r="AE316" i="7"/>
  <c r="AD316" i="7"/>
  <c r="AF324" i="7"/>
  <c r="AE324" i="7"/>
  <c r="AD324" i="7"/>
  <c r="AF332" i="7"/>
  <c r="AE332" i="7"/>
  <c r="AD332" i="7"/>
  <c r="AF340" i="7"/>
  <c r="AE340" i="7"/>
  <c r="AD340" i="7"/>
  <c r="AF348" i="7"/>
  <c r="AE348" i="7"/>
  <c r="AD348" i="7"/>
  <c r="AF356" i="7"/>
  <c r="AE356" i="7"/>
  <c r="AD356" i="7"/>
  <c r="AF364" i="7"/>
  <c r="AE364" i="7"/>
  <c r="AD364" i="7"/>
  <c r="AE371" i="7"/>
  <c r="AD371" i="7"/>
  <c r="AC371" i="7"/>
  <c r="AG371" i="7"/>
  <c r="AD373" i="7"/>
  <c r="AE375" i="7"/>
  <c r="AD380" i="7"/>
  <c r="AG388" i="7"/>
  <c r="AF388" i="7"/>
  <c r="AC388" i="7"/>
  <c r="AE388" i="7"/>
  <c r="AD388" i="7"/>
  <c r="AE404" i="7"/>
  <c r="AF433" i="7"/>
  <c r="AE433" i="7"/>
  <c r="AD433" i="7"/>
  <c r="AC433" i="7"/>
  <c r="AF306" i="7"/>
  <c r="AE313" i="7"/>
  <c r="AF314" i="7"/>
  <c r="AE321" i="7"/>
  <c r="AF322" i="7"/>
  <c r="AE329" i="7"/>
  <c r="AF330" i="7"/>
  <c r="AE337" i="7"/>
  <c r="AF338" i="7"/>
  <c r="AE345" i="7"/>
  <c r="AF346" i="7"/>
  <c r="AE353" i="7"/>
  <c r="AF354" i="7"/>
  <c r="AE361" i="7"/>
  <c r="AF362" i="7"/>
  <c r="AG396" i="7"/>
  <c r="AF396" i="7"/>
  <c r="AC396" i="7"/>
  <c r="AG402" i="7"/>
  <c r="AF402" i="7"/>
  <c r="AE402" i="7"/>
  <c r="AD402" i="7"/>
  <c r="AF417" i="7"/>
  <c r="AE417" i="7"/>
  <c r="AD417" i="7"/>
  <c r="AC417" i="7"/>
  <c r="AG461" i="7"/>
  <c r="AF461" i="7"/>
  <c r="AE461" i="7"/>
  <c r="AD461" i="7"/>
  <c r="AF474" i="7"/>
  <c r="AD474" i="7"/>
  <c r="AC474" i="7"/>
  <c r="AF310" i="7"/>
  <c r="AF318" i="7"/>
  <c r="AF326" i="7"/>
  <c r="AF334" i="7"/>
  <c r="AF342" i="7"/>
  <c r="AF350" i="7"/>
  <c r="AF358" i="7"/>
  <c r="AF366" i="7"/>
  <c r="AF374" i="7"/>
  <c r="AG412" i="7"/>
  <c r="AF412" i="7"/>
  <c r="AC412" i="7"/>
  <c r="AG434" i="7"/>
  <c r="AF434" i="7"/>
  <c r="AE434" i="7"/>
  <c r="AD434" i="7"/>
  <c r="AG436" i="7"/>
  <c r="AF436" i="7"/>
  <c r="AC436" i="7"/>
  <c r="AF444" i="7"/>
  <c r="AG444" i="7"/>
  <c r="AC444" i="7"/>
  <c r="AC457" i="7"/>
  <c r="AG457" i="7"/>
  <c r="AF457" i="7"/>
  <c r="AE457" i="7"/>
  <c r="AG469" i="7"/>
  <c r="AF469" i="7"/>
  <c r="AE469" i="7"/>
  <c r="AD469" i="7"/>
  <c r="AC479" i="7"/>
  <c r="AE479" i="7"/>
  <c r="AG479" i="7"/>
  <c r="AF479" i="7"/>
  <c r="AD479" i="7"/>
  <c r="AC314" i="7"/>
  <c r="AC322" i="7"/>
  <c r="AC330" i="7"/>
  <c r="AC338" i="7"/>
  <c r="AC346" i="7"/>
  <c r="AC354" i="7"/>
  <c r="AC362" i="7"/>
  <c r="AC370" i="7"/>
  <c r="AG386" i="7"/>
  <c r="AF386" i="7"/>
  <c r="AE386" i="7"/>
  <c r="AD386" i="7"/>
  <c r="AG410" i="7"/>
  <c r="AF410" i="7"/>
  <c r="AE410" i="7"/>
  <c r="AD410" i="7"/>
  <c r="AD412" i="7"/>
  <c r="AF425" i="7"/>
  <c r="AE425" i="7"/>
  <c r="AD425" i="7"/>
  <c r="AC425" i="7"/>
  <c r="AC434" i="7"/>
  <c r="AD436" i="7"/>
  <c r="AD444" i="7"/>
  <c r="AD457" i="7"/>
  <c r="AG467" i="7"/>
  <c r="AE467" i="7"/>
  <c r="AC467" i="7"/>
  <c r="AC469" i="7"/>
  <c r="AF401" i="7"/>
  <c r="AE401" i="7"/>
  <c r="AD401" i="7"/>
  <c r="AC401" i="7"/>
  <c r="AE412" i="7"/>
  <c r="AG428" i="7"/>
  <c r="AF428" i="7"/>
  <c r="AC428" i="7"/>
  <c r="AE436" i="7"/>
  <c r="AE444" i="7"/>
  <c r="AG447" i="7"/>
  <c r="AF447" i="7"/>
  <c r="AE447" i="7"/>
  <c r="AD447" i="7"/>
  <c r="AD458" i="7"/>
  <c r="AG458" i="7"/>
  <c r="AC458" i="7"/>
  <c r="AD381" i="7"/>
  <c r="AE382" i="7"/>
  <c r="AF383" i="7"/>
  <c r="AG384" i="7"/>
  <c r="AD389" i="7"/>
  <c r="AE390" i="7"/>
  <c r="AF391" i="7"/>
  <c r="AG392" i="7"/>
  <c r="AE398" i="7"/>
  <c r="AF399" i="7"/>
  <c r="AG400" i="7"/>
  <c r="AD405" i="7"/>
  <c r="AE406" i="7"/>
  <c r="AF407" i="7"/>
  <c r="AG408" i="7"/>
  <c r="AD413" i="7"/>
  <c r="AE414" i="7"/>
  <c r="AF415" i="7"/>
  <c r="AG416" i="7"/>
  <c r="AD421" i="7"/>
  <c r="AE422" i="7"/>
  <c r="AF423" i="7"/>
  <c r="AG424" i="7"/>
  <c r="AD429" i="7"/>
  <c r="AE430" i="7"/>
  <c r="AF431" i="7"/>
  <c r="AG432" i="7"/>
  <c r="AE438" i="7"/>
  <c r="AF439" i="7"/>
  <c r="AG440" i="7"/>
  <c r="AE445" i="7"/>
  <c r="AG446" i="7"/>
  <c r="AF450" i="7"/>
  <c r="AE454" i="7"/>
  <c r="AG455" i="7"/>
  <c r="AF459" i="7"/>
  <c r="AE463" i="7"/>
  <c r="AF471" i="7"/>
  <c r="AG485" i="7"/>
  <c r="AC485" i="7"/>
  <c r="AC495" i="7"/>
  <c r="AE495" i="7"/>
  <c r="AD495" i="7"/>
  <c r="AG499" i="7"/>
  <c r="AE499" i="7"/>
  <c r="AD499" i="7"/>
  <c r="R73" i="13"/>
  <c r="L19" i="15" s="1"/>
  <c r="J73" i="13"/>
  <c r="L11" i="15" s="1"/>
  <c r="Q73" i="13"/>
  <c r="L18" i="15" s="1"/>
  <c r="I73" i="13"/>
  <c r="L10" i="15" s="1"/>
  <c r="P73" i="13"/>
  <c r="L17" i="15" s="1"/>
  <c r="H73" i="13"/>
  <c r="L9" i="15" s="1"/>
  <c r="O73" i="13"/>
  <c r="L16" i="15" s="1"/>
  <c r="G73" i="13"/>
  <c r="L8" i="15" s="1"/>
  <c r="S73" i="13"/>
  <c r="L20" i="15" s="1"/>
  <c r="C73" i="13"/>
  <c r="L4" i="15" s="1"/>
  <c r="N73" i="13"/>
  <c r="L15" i="15" s="1"/>
  <c r="M73" i="13"/>
  <c r="L14" i="15" s="1"/>
  <c r="L73" i="13"/>
  <c r="L13" i="15" s="1"/>
  <c r="K73" i="13"/>
  <c r="L12" i="15" s="1"/>
  <c r="U73" i="13"/>
  <c r="E73" i="13"/>
  <c r="L6" i="15" s="1"/>
  <c r="D73" i="13"/>
  <c r="L5" i="15" s="1"/>
  <c r="T73" i="13"/>
  <c r="L21" i="15" s="1"/>
  <c r="F73" i="13"/>
  <c r="L7" i="15" s="1"/>
  <c r="AE387" i="7"/>
  <c r="AE395" i="7"/>
  <c r="AE403" i="7"/>
  <c r="AE411" i="7"/>
  <c r="AE419" i="7"/>
  <c r="AE427" i="7"/>
  <c r="AC487" i="7"/>
  <c r="AE487" i="7"/>
  <c r="AD487" i="7"/>
  <c r="AC384" i="7"/>
  <c r="AF387" i="7"/>
  <c r="AC392" i="7"/>
  <c r="AC400" i="7"/>
  <c r="AC408" i="7"/>
  <c r="AC416" i="7"/>
  <c r="AC424" i="7"/>
  <c r="AC432" i="7"/>
  <c r="AC440" i="7"/>
  <c r="AC446" i="7"/>
  <c r="AC451" i="7"/>
  <c r="AC455" i="7"/>
  <c r="AC460" i="7"/>
  <c r="AD465" i="7"/>
  <c r="AG475" i="7"/>
  <c r="AE475" i="7"/>
  <c r="AF487" i="7"/>
  <c r="AG491" i="7"/>
  <c r="AE491" i="7"/>
  <c r="AC383" i="7"/>
  <c r="AD384" i="7"/>
  <c r="AC445" i="7"/>
  <c r="AC450" i="7"/>
  <c r="AF451" i="7"/>
  <c r="AC459" i="7"/>
  <c r="AE460" i="7"/>
  <c r="AF465" i="7"/>
  <c r="AD468" i="7"/>
  <c r="AD471" i="7"/>
  <c r="AE481" i="7"/>
  <c r="AC481" i="7"/>
  <c r="AG481" i="7"/>
  <c r="AG483" i="7"/>
  <c r="AE483" i="7"/>
  <c r="AE489" i="7"/>
  <c r="AC489" i="7"/>
  <c r="AG489" i="7"/>
  <c r="AF489" i="7"/>
  <c r="AD491" i="7"/>
  <c r="AF498" i="7"/>
  <c r="AD498" i="7"/>
  <c r="AC498" i="7"/>
  <c r="AG498" i="7"/>
  <c r="C52" i="13"/>
  <c r="B4" i="15"/>
  <c r="C6" i="13"/>
  <c r="C7" i="13" s="1"/>
  <c r="AF497" i="7"/>
  <c r="AC493" i="7"/>
  <c r="AG497" i="7"/>
  <c r="AC501" i="7"/>
  <c r="AD502" i="7"/>
  <c r="AF504" i="7"/>
  <c r="AE500" i="7"/>
  <c r="AF501" i="7"/>
  <c r="AC497" i="7"/>
  <c r="G24" i="16" l="1"/>
  <c r="G31" i="16" s="1"/>
  <c r="M29" i="16" a="1"/>
  <c r="N29" i="16" a="1"/>
  <c r="M47" i="16" a="1"/>
  <c r="N47" i="16" a="1"/>
  <c r="M44" i="16" a="1"/>
  <c r="N44" i="16" a="1"/>
  <c r="M9" i="16" a="1"/>
  <c r="N9" i="16" a="1"/>
  <c r="L27" i="16"/>
  <c r="M27" i="16" a="1"/>
  <c r="L46" i="16"/>
  <c r="M46" i="16" a="1"/>
  <c r="L11" i="16"/>
  <c r="M11" i="16" a="1"/>
  <c r="L26" i="16"/>
  <c r="M26" i="16" a="1"/>
  <c r="L18" i="16"/>
  <c r="M18" i="16" a="1"/>
  <c r="L28" i="16"/>
  <c r="M28" i="16" a="1"/>
  <c r="L10" i="16"/>
  <c r="M10" i="16" a="1"/>
  <c r="L37" i="16"/>
  <c r="M37" i="16" a="1"/>
  <c r="L20" i="16"/>
  <c r="M20" i="16" a="1"/>
  <c r="L35" i="16"/>
  <c r="M35" i="16" a="1"/>
  <c r="L38" i="16"/>
  <c r="M38" i="16" a="1"/>
  <c r="L45" i="16"/>
  <c r="M45" i="16" a="1"/>
  <c r="L8" i="16"/>
  <c r="M8" i="16" a="1"/>
  <c r="L19" i="16"/>
  <c r="M19" i="16" a="1"/>
  <c r="L36" i="16"/>
  <c r="M36" i="16" a="1"/>
  <c r="L17" i="16"/>
  <c r="M17" i="16" a="1"/>
  <c r="L29" i="16"/>
  <c r="L47" i="16"/>
  <c r="L44" i="16"/>
  <c r="L9" i="16"/>
  <c r="K47" i="16"/>
  <c r="K46" i="16"/>
  <c r="K45" i="16"/>
  <c r="K44" i="16"/>
  <c r="K37" i="16"/>
  <c r="K38" i="16"/>
  <c r="K36" i="16"/>
  <c r="K35" i="16"/>
  <c r="K26" i="16"/>
  <c r="K28" i="16"/>
  <c r="K29" i="16"/>
  <c r="K27" i="16"/>
  <c r="K20" i="16"/>
  <c r="K19" i="16"/>
  <c r="K18" i="16"/>
  <c r="K17" i="16"/>
  <c r="I13" i="16"/>
  <c r="J13" i="16"/>
  <c r="I12" i="16"/>
  <c r="J12" i="16"/>
  <c r="I11" i="16"/>
  <c r="J11" i="16"/>
  <c r="K11" i="16" s="1"/>
  <c r="I10" i="16"/>
  <c r="J10" i="16"/>
  <c r="K10" i="16" s="1"/>
  <c r="I9" i="16"/>
  <c r="J9" i="16"/>
  <c r="K9" i="16" s="1"/>
  <c r="I8" i="16"/>
  <c r="J8" i="16"/>
  <c r="K8" i="16" s="1"/>
  <c r="I7" i="16"/>
  <c r="J7" i="16"/>
  <c r="I6" i="16"/>
  <c r="J6" i="16"/>
  <c r="I5" i="16"/>
  <c r="J5" i="16"/>
  <c r="E42" i="16"/>
  <c r="E49" i="16" s="1"/>
  <c r="D42" i="16"/>
  <c r="D49" i="16" s="1"/>
  <c r="C33" i="16"/>
  <c r="C40" i="16" s="1"/>
  <c r="F33" i="16"/>
  <c r="F40" i="16" s="1"/>
  <c r="E15" i="16"/>
  <c r="E22" i="16" s="1"/>
  <c r="G6" i="16"/>
  <c r="G13" i="16" s="1"/>
  <c r="F42" i="16"/>
  <c r="F49" i="16" s="1"/>
  <c r="F6" i="16"/>
  <c r="F13" i="16" s="1"/>
  <c r="C15" i="16"/>
  <c r="C22" i="16" s="1"/>
  <c r="D33" i="16"/>
  <c r="D40" i="16" s="1"/>
  <c r="C6" i="16"/>
  <c r="C13" i="16" s="1"/>
  <c r="E6" i="16"/>
  <c r="E13" i="16" s="1"/>
  <c r="G22" i="16"/>
  <c r="H12" i="16"/>
  <c r="N12" i="16" s="1" a="1"/>
  <c r="C24" i="16"/>
  <c r="C31" i="16" s="1"/>
  <c r="D24" i="16"/>
  <c r="D31" i="16" s="1"/>
  <c r="G42" i="16"/>
  <c r="G49" i="16" s="1"/>
  <c r="F24" i="16"/>
  <c r="F31" i="16" s="1"/>
  <c r="H34" i="16"/>
  <c r="D6" i="16"/>
  <c r="F15" i="16"/>
  <c r="F22" i="16" s="1"/>
  <c r="E24" i="16"/>
  <c r="E33" i="16"/>
  <c r="E40" i="16" s="1"/>
  <c r="D15" i="16"/>
  <c r="C42" i="16"/>
  <c r="H48" i="16"/>
  <c r="G33" i="16"/>
  <c r="G40" i="16" s="1"/>
  <c r="H32" i="16"/>
  <c r="N32" i="16" s="1" a="1"/>
  <c r="H14" i="16"/>
  <c r="H5" i="16"/>
  <c r="N5" i="16" s="1" a="1"/>
  <c r="H41" i="16"/>
  <c r="H23" i="16"/>
  <c r="H7" i="16"/>
  <c r="N7" i="16" s="1" a="1"/>
  <c r="H21" i="16"/>
  <c r="H43" i="16"/>
  <c r="H25" i="16"/>
  <c r="H39" i="16"/>
  <c r="H30" i="16"/>
  <c r="N30" i="16" s="1" a="1"/>
  <c r="H16" i="16"/>
  <c r="AH71" i="7"/>
  <c r="AH336" i="7"/>
  <c r="AH352" i="7"/>
  <c r="AH415" i="7"/>
  <c r="AH16" i="7"/>
  <c r="AH399" i="7"/>
  <c r="AH164" i="7"/>
  <c r="AH397" i="7"/>
  <c r="AH370" i="7"/>
  <c r="AH204" i="7"/>
  <c r="AH358" i="7"/>
  <c r="AH262" i="7"/>
  <c r="AH228" i="7"/>
  <c r="AH94" i="7"/>
  <c r="AH113" i="7"/>
  <c r="AH289" i="7"/>
  <c r="AH472" i="7"/>
  <c r="AH265" i="7"/>
  <c r="AH254" i="7"/>
  <c r="AH312" i="7"/>
  <c r="AH403" i="7"/>
  <c r="AH115" i="7"/>
  <c r="AH268" i="7"/>
  <c r="AH448" i="7"/>
  <c r="AH267" i="7"/>
  <c r="AH310" i="7"/>
  <c r="AH395" i="7"/>
  <c r="AH140" i="7"/>
  <c r="AH492" i="7"/>
  <c r="AH344" i="7"/>
  <c r="AH104" i="7"/>
  <c r="AH488" i="7"/>
  <c r="AH86" i="7"/>
  <c r="AH374" i="7"/>
  <c r="AH345" i="7"/>
  <c r="AH220" i="7"/>
  <c r="AH270" i="7"/>
  <c r="AH65" i="7"/>
  <c r="AH291" i="7"/>
  <c r="AH147" i="7"/>
  <c r="AH87" i="7"/>
  <c r="AH389" i="7"/>
  <c r="AH337" i="7"/>
  <c r="D6" i="13"/>
  <c r="D7" i="13" s="1"/>
  <c r="D66" i="13" s="1"/>
  <c r="D67" i="13" s="1"/>
  <c r="D70" i="13" s="1"/>
  <c r="I5" i="15" s="1"/>
  <c r="D52" i="13"/>
  <c r="D53" i="13" s="1"/>
  <c r="E5" i="15" s="1"/>
  <c r="AH38" i="7"/>
  <c r="AH6" i="7"/>
  <c r="B5" i="15"/>
  <c r="AH431" i="7"/>
  <c r="AH157" i="7"/>
  <c r="AH219" i="7"/>
  <c r="AH203" i="7"/>
  <c r="AH342" i="7"/>
  <c r="AH276" i="7"/>
  <c r="AH145" i="7"/>
  <c r="AH244" i="7"/>
  <c r="AH212" i="7"/>
  <c r="AH196" i="7"/>
  <c r="AH180" i="7"/>
  <c r="AH131" i="7"/>
  <c r="AH320" i="7"/>
  <c r="AH435" i="7"/>
  <c r="AH456" i="7"/>
  <c r="AH454" i="7"/>
  <c r="AH382" i="7"/>
  <c r="AH116" i="7"/>
  <c r="AH73" i="7"/>
  <c r="AH419" i="7"/>
  <c r="AH430" i="7"/>
  <c r="AH398" i="7"/>
  <c r="AH221" i="7"/>
  <c r="AH148" i="7"/>
  <c r="AH486" i="7"/>
  <c r="AH390" i="7"/>
  <c r="AH306" i="7"/>
  <c r="AH463" i="7"/>
  <c r="AH301" i="7"/>
  <c r="AH117" i="7"/>
  <c r="AH227" i="7"/>
  <c r="AH500" i="7"/>
  <c r="AH57" i="7"/>
  <c r="AH111" i="7"/>
  <c r="AH360" i="7"/>
  <c r="AH284" i="7"/>
  <c r="AH470" i="7"/>
  <c r="AH495" i="7"/>
  <c r="AH161" i="7"/>
  <c r="AH459" i="7"/>
  <c r="AH233" i="7"/>
  <c r="AH292" i="7"/>
  <c r="AH55" i="7"/>
  <c r="AH478" i="7"/>
  <c r="AH80" i="7"/>
  <c r="AH494" i="7"/>
  <c r="AH253" i="7"/>
  <c r="AH169" i="7"/>
  <c r="AH424" i="7"/>
  <c r="AH141" i="7"/>
  <c r="AH369" i="7"/>
  <c r="AH260" i="7"/>
  <c r="AH275" i="7"/>
  <c r="AH23" i="7"/>
  <c r="AH496" i="7"/>
  <c r="AH480" i="7"/>
  <c r="AH64" i="7"/>
  <c r="AH63" i="7"/>
  <c r="AH31" i="7"/>
  <c r="AH195" i="7"/>
  <c r="AH163" i="7"/>
  <c r="AH294" i="7"/>
  <c r="AH504" i="7"/>
  <c r="AH318" i="7"/>
  <c r="AH321" i="7"/>
  <c r="AH423" i="7"/>
  <c r="AH257" i="7"/>
  <c r="AH236" i="7"/>
  <c r="AH156" i="7"/>
  <c r="AH46" i="7"/>
  <c r="AH30" i="7"/>
  <c r="AH252" i="7"/>
  <c r="AH361" i="7"/>
  <c r="AH381" i="7"/>
  <c r="AH305" i="7"/>
  <c r="AH354" i="7"/>
  <c r="AH353" i="7"/>
  <c r="AH32" i="7"/>
  <c r="AH502" i="7"/>
  <c r="AH188" i="7"/>
  <c r="AH76" i="7"/>
  <c r="AH102" i="7"/>
  <c r="AH14" i="7"/>
  <c r="AH468" i="7"/>
  <c r="AH408" i="7"/>
  <c r="AH439" i="7"/>
  <c r="AH422" i="7"/>
  <c r="AH406" i="7"/>
  <c r="AH366" i="7"/>
  <c r="AH474" i="7"/>
  <c r="AH313" i="7"/>
  <c r="AH340" i="7"/>
  <c r="AH235" i="7"/>
  <c r="AH187" i="7"/>
  <c r="AH171" i="7"/>
  <c r="AH155" i="7"/>
  <c r="AH101" i="7"/>
  <c r="AH437" i="7"/>
  <c r="AH123" i="7"/>
  <c r="AH39" i="7"/>
  <c r="AH328" i="7"/>
  <c r="AH297" i="7"/>
  <c r="AH450" i="7"/>
  <c r="AH413" i="7"/>
  <c r="AH283" i="7"/>
  <c r="AH78" i="7"/>
  <c r="AH438" i="7"/>
  <c r="AH421" i="7"/>
  <c r="AH405" i="7"/>
  <c r="AH189" i="7"/>
  <c r="AH125" i="7"/>
  <c r="AH88" i="7"/>
  <c r="AH362" i="7"/>
  <c r="AH259" i="7"/>
  <c r="AH427" i="7"/>
  <c r="AH132" i="7"/>
  <c r="AH68" i="7"/>
  <c r="AH40" i="7"/>
  <c r="AH24" i="7"/>
  <c r="AH8" i="7"/>
  <c r="AH368" i="7"/>
  <c r="AH484" i="7"/>
  <c r="AH300" i="7"/>
  <c r="AH334" i="7"/>
  <c r="AH251" i="7"/>
  <c r="AH209" i="7"/>
  <c r="AH211" i="7"/>
  <c r="AH179" i="7"/>
  <c r="AH44" i="7"/>
  <c r="AH62" i="7"/>
  <c r="AH286" i="7"/>
  <c r="AH56" i="7"/>
  <c r="AH15" i="7"/>
  <c r="AH464" i="7"/>
  <c r="AH411" i="7"/>
  <c r="AH414" i="7"/>
  <c r="AH243" i="7"/>
  <c r="AH429" i="7"/>
  <c r="AH314" i="7"/>
  <c r="AH350" i="7"/>
  <c r="AH285" i="7"/>
  <c r="AH273" i="7"/>
  <c r="AH168" i="7"/>
  <c r="AH143" i="7"/>
  <c r="AH499" i="7"/>
  <c r="AH391" i="7"/>
  <c r="AH433" i="7"/>
  <c r="AH124" i="7"/>
  <c r="AH178" i="7"/>
  <c r="AH280" i="7"/>
  <c r="AH54" i="7"/>
  <c r="AH22" i="7"/>
  <c r="AH383" i="7"/>
  <c r="AH465" i="7"/>
  <c r="AH416" i="7"/>
  <c r="AH387" i="7"/>
  <c r="AH407" i="7"/>
  <c r="AH193" i="7"/>
  <c r="AH121" i="7"/>
  <c r="AH452" i="7"/>
  <c r="AH172" i="7"/>
  <c r="AH139" i="7"/>
  <c r="AH41" i="7"/>
  <c r="AH325" i="7"/>
  <c r="AH176" i="7"/>
  <c r="AH85" i="7"/>
  <c r="AH21" i="7"/>
  <c r="AH96" i="7"/>
  <c r="AH105" i="7"/>
  <c r="AH45" i="7"/>
  <c r="AH79" i="7"/>
  <c r="AH7" i="7"/>
  <c r="AH89" i="7"/>
  <c r="AH329" i="7"/>
  <c r="AH129" i="7"/>
  <c r="AH249" i="7"/>
  <c r="AH81" i="7"/>
  <c r="AH256" i="7"/>
  <c r="AH110" i="7"/>
  <c r="AH386" i="7"/>
  <c r="AH222" i="7"/>
  <c r="AH190" i="7"/>
  <c r="AH158" i="7"/>
  <c r="AH126" i="7"/>
  <c r="AH241" i="7"/>
  <c r="AH177" i="7"/>
  <c r="AH299" i="7"/>
  <c r="AH210" i="7"/>
  <c r="AH200" i="7"/>
  <c r="AH48" i="7"/>
  <c r="AH72" i="7"/>
  <c r="AH103" i="7"/>
  <c r="AH493" i="7"/>
  <c r="AH483" i="7"/>
  <c r="AH447" i="7"/>
  <c r="AH326" i="7"/>
  <c r="AH379" i="7"/>
  <c r="AH185" i="7"/>
  <c r="AH240" i="7"/>
  <c r="AH364" i="7"/>
  <c r="AH332" i="7"/>
  <c r="AH316" i="7"/>
  <c r="AH217" i="7"/>
  <c r="AH92" i="7"/>
  <c r="AH28" i="7"/>
  <c r="AH70" i="7"/>
  <c r="AH47" i="7"/>
  <c r="AH491" i="7"/>
  <c r="AH455" i="7"/>
  <c r="AH400" i="7"/>
  <c r="AH192" i="7"/>
  <c r="AH108" i="7"/>
  <c r="AH319" i="7"/>
  <c r="AH258" i="7"/>
  <c r="AH11" i="7"/>
  <c r="AH43" i="7"/>
  <c r="AH281" i="7"/>
  <c r="AH401" i="7"/>
  <c r="AH388" i="7"/>
  <c r="AH356" i="7"/>
  <c r="AH122" i="7"/>
  <c r="AH231" i="7"/>
  <c r="AH170" i="7"/>
  <c r="AH84" i="7"/>
  <c r="AH20" i="7"/>
  <c r="AH365" i="7"/>
  <c r="AH460" i="7"/>
  <c r="AH278" i="7"/>
  <c r="AH338" i="7"/>
  <c r="AH402" i="7"/>
  <c r="AH418" i="7"/>
  <c r="AH153" i="7"/>
  <c r="AH385" i="7"/>
  <c r="AH9" i="7"/>
  <c r="AH128" i="7"/>
  <c r="AH100" i="7"/>
  <c r="AH36" i="7"/>
  <c r="AH183" i="7"/>
  <c r="AH443" i="7"/>
  <c r="AH97" i="7"/>
  <c r="AH346" i="7"/>
  <c r="AH501" i="7"/>
  <c r="AH432" i="7"/>
  <c r="AH458" i="7"/>
  <c r="AH457" i="7"/>
  <c r="AH324" i="7"/>
  <c r="AH269" i="7"/>
  <c r="AH197" i="7"/>
  <c r="AH133" i="7"/>
  <c r="AH238" i="7"/>
  <c r="AH174" i="7"/>
  <c r="AH349" i="7"/>
  <c r="AH232" i="7"/>
  <c r="AH304" i="7"/>
  <c r="AH378" i="7"/>
  <c r="AH95" i="7"/>
  <c r="AH237" i="7"/>
  <c r="AH205" i="7"/>
  <c r="AH173" i="7"/>
  <c r="AH246" i="7"/>
  <c r="AH214" i="7"/>
  <c r="AH182" i="7"/>
  <c r="AH150" i="7"/>
  <c r="AH118" i="7"/>
  <c r="AH225" i="7"/>
  <c r="AH60" i="7"/>
  <c r="AH287" i="7"/>
  <c r="AH461" i="7"/>
  <c r="AH229" i="7"/>
  <c r="AH165" i="7"/>
  <c r="AH206" i="7"/>
  <c r="AH394" i="7"/>
  <c r="AH264" i="7"/>
  <c r="AH138" i="7"/>
  <c r="AH98" i="7"/>
  <c r="AH34" i="7"/>
  <c r="AH12" i="7"/>
  <c r="AH218" i="7"/>
  <c r="AH208" i="7"/>
  <c r="AH109" i="7"/>
  <c r="AH475" i="7"/>
  <c r="AH428" i="7"/>
  <c r="AH348" i="7"/>
  <c r="AH308" i="7"/>
  <c r="AH261" i="7"/>
  <c r="AH201" i="7"/>
  <c r="AH137" i="7"/>
  <c r="AH25" i="7"/>
  <c r="AH343" i="7"/>
  <c r="AH52" i="7"/>
  <c r="AH154" i="7"/>
  <c r="AH279" i="7"/>
  <c r="AH376" i="7"/>
  <c r="AH302" i="7"/>
  <c r="AH377" i="7"/>
  <c r="AH477" i="7"/>
  <c r="AH35" i="7"/>
  <c r="AH83" i="7"/>
  <c r="AH497" i="7"/>
  <c r="AH481" i="7"/>
  <c r="AH339" i="7"/>
  <c r="AH307" i="7"/>
  <c r="AH162" i="7"/>
  <c r="AH409" i="7"/>
  <c r="AH144" i="7"/>
  <c r="AH77" i="7"/>
  <c r="AH412" i="7"/>
  <c r="AH142" i="7"/>
  <c r="AH453" i="7"/>
  <c r="AH359" i="7"/>
  <c r="AH333" i="7"/>
  <c r="AH272" i="7"/>
  <c r="AH441" i="7"/>
  <c r="AH74" i="7"/>
  <c r="AH10" i="7"/>
  <c r="AH223" i="7"/>
  <c r="AH114" i="7"/>
  <c r="AH420" i="7"/>
  <c r="AH59" i="7"/>
  <c r="AH19" i="7"/>
  <c r="AH250" i="7"/>
  <c r="AH130" i="7"/>
  <c r="AH58" i="7"/>
  <c r="AH392" i="7"/>
  <c r="C53" i="13"/>
  <c r="AH489" i="7"/>
  <c r="AH446" i="7"/>
  <c r="B6" i="15"/>
  <c r="E52" i="13"/>
  <c r="E53" i="13" s="1"/>
  <c r="E6" i="13"/>
  <c r="E7" i="13" s="1"/>
  <c r="F5" i="13"/>
  <c r="AH436" i="7"/>
  <c r="AH476" i="7"/>
  <c r="AH473" i="7"/>
  <c r="AH373" i="7"/>
  <c r="AH375" i="7"/>
  <c r="AH482" i="7"/>
  <c r="AH503" i="7"/>
  <c r="AH449" i="7"/>
  <c r="AH175" i="7"/>
  <c r="AH351" i="7"/>
  <c r="AH202" i="7"/>
  <c r="AH33" i="7"/>
  <c r="AH248" i="7"/>
  <c r="AH184" i="7"/>
  <c r="AH112" i="7"/>
  <c r="AH50" i="7"/>
  <c r="AH335" i="7"/>
  <c r="AH309" i="7"/>
  <c r="AH215" i="7"/>
  <c r="AH127" i="7"/>
  <c r="AH69" i="7"/>
  <c r="AH29" i="7"/>
  <c r="AH13" i="7"/>
  <c r="AH327" i="7"/>
  <c r="AH311" i="7"/>
  <c r="AH445" i="7"/>
  <c r="AH451" i="7"/>
  <c r="AH471" i="7"/>
  <c r="AH440" i="7"/>
  <c r="AH384" i="7"/>
  <c r="AH487" i="7"/>
  <c r="AH330" i="7"/>
  <c r="AH417" i="7"/>
  <c r="AH404" i="7"/>
  <c r="AH245" i="7"/>
  <c r="AH213" i="7"/>
  <c r="AH181" i="7"/>
  <c r="AH149" i="7"/>
  <c r="AH462" i="7"/>
  <c r="AH230" i="7"/>
  <c r="AH198" i="7"/>
  <c r="AH166" i="7"/>
  <c r="AH134" i="7"/>
  <c r="AH242" i="7"/>
  <c r="AH393" i="7"/>
  <c r="AH266" i="7"/>
  <c r="AH224" i="7"/>
  <c r="AH160" i="7"/>
  <c r="AH298" i="7"/>
  <c r="AH290" i="7"/>
  <c r="AH167" i="7"/>
  <c r="AH135" i="7"/>
  <c r="AH90" i="7"/>
  <c r="AH26" i="7"/>
  <c r="AH295" i="7"/>
  <c r="AH271" i="7"/>
  <c r="AH194" i="7"/>
  <c r="AH159" i="7"/>
  <c r="AH357" i="7"/>
  <c r="AH51" i="7"/>
  <c r="C4" i="15"/>
  <c r="C66" i="13"/>
  <c r="C57" i="13"/>
  <c r="C54" i="13"/>
  <c r="C61" i="13"/>
  <c r="C8" i="13"/>
  <c r="C10" i="13"/>
  <c r="C9" i="13"/>
  <c r="C20" i="11"/>
  <c r="AH355" i="7"/>
  <c r="AH323" i="7"/>
  <c r="AH17" i="7"/>
  <c r="AH75" i="7"/>
  <c r="AH498" i="7"/>
  <c r="AH469" i="7"/>
  <c r="AH434" i="7"/>
  <c r="AH410" i="7"/>
  <c r="AH322" i="7"/>
  <c r="AH479" i="7"/>
  <c r="AH396" i="7"/>
  <c r="AH293" i="7"/>
  <c r="G4" i="13"/>
  <c r="H4" i="13" s="1"/>
  <c r="I4" i="13" s="1"/>
  <c r="J4" i="13" s="1"/>
  <c r="K4" i="13" s="1"/>
  <c r="L4" i="13" s="1"/>
  <c r="AH363" i="7"/>
  <c r="AH347" i="7"/>
  <c r="AH331" i="7"/>
  <c r="AH315" i="7"/>
  <c r="AH207" i="7"/>
  <c r="AH442" i="7"/>
  <c r="AH296" i="7"/>
  <c r="AH146" i="7"/>
  <c r="AH136" i="7"/>
  <c r="AH234" i="7"/>
  <c r="AH49" i="7"/>
  <c r="AH66" i="7"/>
  <c r="AH186" i="7"/>
  <c r="AH151" i="7"/>
  <c r="AH93" i="7"/>
  <c r="AH61" i="7"/>
  <c r="AH107" i="7"/>
  <c r="AH99" i="7"/>
  <c r="AH67" i="7"/>
  <c r="AH467" i="7"/>
  <c r="AH426" i="7"/>
  <c r="AH466" i="7"/>
  <c r="AH119" i="7"/>
  <c r="AH199" i="7"/>
  <c r="AH490" i="7"/>
  <c r="AH317" i="7"/>
  <c r="AH282" i="7"/>
  <c r="AH274" i="7"/>
  <c r="AH106" i="7"/>
  <c r="AH42" i="7"/>
  <c r="AH247" i="7"/>
  <c r="AH91" i="7"/>
  <c r="L22" i="15"/>
  <c r="AH485" i="7"/>
  <c r="AH425" i="7"/>
  <c r="AH444" i="7"/>
  <c r="AH371" i="7"/>
  <c r="AH380" i="7"/>
  <c r="AH277" i="7"/>
  <c r="AH367" i="7"/>
  <c r="AH341" i="7"/>
  <c r="AH255" i="7"/>
  <c r="AH239" i="7"/>
  <c r="AH288" i="7"/>
  <c r="AH263" i="7"/>
  <c r="AH303" i="7"/>
  <c r="AH216" i="7"/>
  <c r="AH152" i="7"/>
  <c r="AH82" i="7"/>
  <c r="AH18" i="7"/>
  <c r="AH372" i="7"/>
  <c r="AH226" i="7"/>
  <c r="AH191" i="7"/>
  <c r="AH120" i="7"/>
  <c r="AH53" i="7"/>
  <c r="AH37" i="7"/>
  <c r="AH5" i="7"/>
  <c r="AH27" i="7"/>
  <c r="M34" i="16" l="1" a="1"/>
  <c r="N34" i="16" a="1"/>
  <c r="M48" i="16" a="1"/>
  <c r="N48" i="16" a="1"/>
  <c r="M14" i="16" a="1"/>
  <c r="N14" i="16" a="1"/>
  <c r="M41" i="16" a="1"/>
  <c r="N41" i="16" a="1"/>
  <c r="M23" i="16" a="1"/>
  <c r="N23" i="16" a="1"/>
  <c r="M21" i="16" a="1"/>
  <c r="N21" i="16" a="1"/>
  <c r="M43" i="16" a="1"/>
  <c r="N43" i="16" a="1"/>
  <c r="M25" i="16" a="1"/>
  <c r="N25" i="16" a="1"/>
  <c r="M39" i="16" a="1"/>
  <c r="N39" i="16" a="1"/>
  <c r="M16" i="16" a="1"/>
  <c r="N16" i="16" a="1"/>
  <c r="L12" i="16"/>
  <c r="M12" i="16" a="1"/>
  <c r="L32" i="16"/>
  <c r="M32" i="16" a="1"/>
  <c r="L7" i="16"/>
  <c r="M7" i="16" a="1"/>
  <c r="L30" i="16"/>
  <c r="M30" i="16" a="1"/>
  <c r="K34" i="16"/>
  <c r="L34" i="16"/>
  <c r="K48" i="16"/>
  <c r="L48" i="16"/>
  <c r="K14" i="16"/>
  <c r="L14" i="16"/>
  <c r="K41" i="16"/>
  <c r="L41" i="16"/>
  <c r="K23" i="16"/>
  <c r="L23" i="16"/>
  <c r="K21" i="16"/>
  <c r="L21" i="16"/>
  <c r="K43" i="16"/>
  <c r="L43" i="16"/>
  <c r="K25" i="16"/>
  <c r="L25" i="16"/>
  <c r="K39" i="16"/>
  <c r="L39" i="16"/>
  <c r="K16" i="16"/>
  <c r="L16" i="16"/>
  <c r="L5" i="16"/>
  <c r="M5" i="16" a="1"/>
  <c r="K32" i="16"/>
  <c r="K30" i="16"/>
  <c r="K12" i="16"/>
  <c r="K7" i="16"/>
  <c r="K5" i="16"/>
  <c r="H33" i="16"/>
  <c r="H24" i="16"/>
  <c r="N24" i="16" s="1" a="1"/>
  <c r="E31" i="16"/>
  <c r="D22" i="16"/>
  <c r="H15" i="16"/>
  <c r="N15" i="16" s="1" a="1"/>
  <c r="C49" i="16"/>
  <c r="H42" i="16"/>
  <c r="N42" i="16" s="1" a="1"/>
  <c r="D13" i="16"/>
  <c r="H6" i="16"/>
  <c r="D8" i="13"/>
  <c r="D9" i="13"/>
  <c r="D12" i="13" s="1"/>
  <c r="D10" i="13"/>
  <c r="D54" i="13"/>
  <c r="D55" i="13" s="1"/>
  <c r="D56" i="13" s="1"/>
  <c r="C5" i="15"/>
  <c r="C55" i="13"/>
  <c r="C56" i="13" s="1"/>
  <c r="F4" i="15" s="1"/>
  <c r="D57" i="13"/>
  <c r="C58" i="13"/>
  <c r="G4" i="15" s="1"/>
  <c r="C67" i="13"/>
  <c r="C12" i="12"/>
  <c r="E4" i="15"/>
  <c r="B7" i="15"/>
  <c r="F6" i="13"/>
  <c r="F7" i="13" s="1"/>
  <c r="F52" i="13"/>
  <c r="G5" i="13"/>
  <c r="E54" i="13"/>
  <c r="E8" i="13"/>
  <c r="C6" i="15"/>
  <c r="E10" i="13"/>
  <c r="E66" i="13"/>
  <c r="E67" i="13" s="1"/>
  <c r="E70" i="13" s="1"/>
  <c r="I6" i="15" s="1"/>
  <c r="E9" i="13"/>
  <c r="C15" i="13"/>
  <c r="C14" i="13"/>
  <c r="E6" i="15"/>
  <c r="M4" i="13"/>
  <c r="C13" i="13"/>
  <c r="C12" i="13"/>
  <c r="C62" i="13"/>
  <c r="H4" i="15" s="1"/>
  <c r="D61" i="13"/>
  <c r="M33" i="16" l="1" a="1"/>
  <c r="N33" i="16" a="1"/>
  <c r="M6" i="16" a="1"/>
  <c r="N6" i="16" a="1"/>
  <c r="L24" i="16"/>
  <c r="M24" i="16" a="1"/>
  <c r="L15" i="16"/>
  <c r="M15" i="16" a="1"/>
  <c r="L42" i="16"/>
  <c r="M42" i="16" a="1"/>
  <c r="K33" i="16"/>
  <c r="L33" i="16"/>
  <c r="K6" i="16"/>
  <c r="L6" i="16"/>
  <c r="O9" i="16"/>
  <c r="K42" i="16"/>
  <c r="H31" i="16"/>
  <c r="K24" i="16"/>
  <c r="K15" i="16"/>
  <c r="H40" i="16"/>
  <c r="N40" i="16" s="1" a="1"/>
  <c r="O28" i="16"/>
  <c r="O17" i="16"/>
  <c r="O23" i="16"/>
  <c r="O25" i="16"/>
  <c r="O32" i="16"/>
  <c r="O41" i="16"/>
  <c r="O34" i="16"/>
  <c r="O21" i="16"/>
  <c r="O16" i="16"/>
  <c r="H22" i="16"/>
  <c r="N22" i="16" s="1" a="1"/>
  <c r="O33" i="16"/>
  <c r="O38" i="16"/>
  <c r="O29" i="16"/>
  <c r="O18" i="16"/>
  <c r="O42" i="16"/>
  <c r="O26" i="16"/>
  <c r="H13" i="16"/>
  <c r="N13" i="16" s="1" a="1"/>
  <c r="O7" i="16"/>
  <c r="O5" i="16"/>
  <c r="O10" i="16"/>
  <c r="O35" i="16"/>
  <c r="O27" i="16"/>
  <c r="H49" i="16"/>
  <c r="N49" i="16" s="1" a="1"/>
  <c r="O36" i="16"/>
  <c r="O15" i="16"/>
  <c r="O39" i="16"/>
  <c r="O43" i="16"/>
  <c r="O47" i="16"/>
  <c r="O24" i="16"/>
  <c r="O14" i="16"/>
  <c r="O19" i="16"/>
  <c r="O30" i="16"/>
  <c r="O11" i="16"/>
  <c r="O8" i="16"/>
  <c r="O20" i="16"/>
  <c r="O48" i="16"/>
  <c r="O12" i="16"/>
  <c r="O45" i="16"/>
  <c r="O37" i="16"/>
  <c r="O44" i="16"/>
  <c r="O46" i="16"/>
  <c r="O6" i="16"/>
  <c r="D15" i="13"/>
  <c r="D14" i="13"/>
  <c r="D13" i="13"/>
  <c r="F5" i="15"/>
  <c r="C70" i="13"/>
  <c r="C13" i="12"/>
  <c r="E55" i="13"/>
  <c r="E56" i="13" s="1"/>
  <c r="D62" i="13"/>
  <c r="H5" i="15" s="1"/>
  <c r="E61" i="13"/>
  <c r="G52" i="13"/>
  <c r="G53" i="13" s="1"/>
  <c r="B8" i="15"/>
  <c r="G6" i="13"/>
  <c r="G7" i="13" s="1"/>
  <c r="H5" i="13"/>
  <c r="E12" i="13"/>
  <c r="E13" i="13"/>
  <c r="C7" i="15"/>
  <c r="F66" i="13"/>
  <c r="F67" i="13" s="1"/>
  <c r="F70" i="13" s="1"/>
  <c r="I7" i="15" s="1"/>
  <c r="F9" i="13"/>
  <c r="F8" i="13"/>
  <c r="F19" i="13"/>
  <c r="F39" i="13" s="1"/>
  <c r="F10" i="13"/>
  <c r="F54" i="13"/>
  <c r="D58" i="13"/>
  <c r="G5" i="15" s="1"/>
  <c r="E57" i="13"/>
  <c r="N4" i="13"/>
  <c r="C64" i="13"/>
  <c r="J4" i="15" s="1"/>
  <c r="C48" i="13"/>
  <c r="C21" i="11"/>
  <c r="C16" i="13"/>
  <c r="C17" i="13" s="1"/>
  <c r="F53" i="13"/>
  <c r="C49" i="13"/>
  <c r="C22" i="11"/>
  <c r="E15" i="13"/>
  <c r="E14" i="13"/>
  <c r="M31" i="16" l="1" a="1"/>
  <c r="N31" i="16" a="1"/>
  <c r="L40" i="16"/>
  <c r="M40" i="16" a="1"/>
  <c r="L22" i="16"/>
  <c r="M22" i="16" a="1"/>
  <c r="L13" i="16"/>
  <c r="M13" i="16" a="1"/>
  <c r="L49" i="16"/>
  <c r="M49" i="16" a="1"/>
  <c r="K31" i="16"/>
  <c r="L31" i="16"/>
  <c r="B6" i="18"/>
  <c r="K49" i="16"/>
  <c r="K40" i="16"/>
  <c r="B4" i="18"/>
  <c r="B3" i="18"/>
  <c r="K22" i="16"/>
  <c r="B5" i="18"/>
  <c r="B2" i="18"/>
  <c r="K13" i="16"/>
  <c r="O22" i="16"/>
  <c r="O49" i="16"/>
  <c r="O40" i="16"/>
  <c r="O13" i="16"/>
  <c r="O31" i="16"/>
  <c r="D49" i="13"/>
  <c r="D16" i="13"/>
  <c r="D17" i="13" s="1"/>
  <c r="D48" i="13"/>
  <c r="E49" i="13"/>
  <c r="C50" i="13"/>
  <c r="F6" i="15"/>
  <c r="B9" i="15"/>
  <c r="H52" i="13"/>
  <c r="H6" i="13"/>
  <c r="H7" i="13" s="1"/>
  <c r="I5" i="13"/>
  <c r="G10" i="13"/>
  <c r="G66" i="13"/>
  <c r="G67" i="13" s="1"/>
  <c r="G70" i="13" s="1"/>
  <c r="I8" i="15" s="1"/>
  <c r="G9" i="13"/>
  <c r="C8" i="15"/>
  <c r="G54" i="13"/>
  <c r="G19" i="13"/>
  <c r="G39" i="13" s="1"/>
  <c r="G8" i="13"/>
  <c r="F13" i="13"/>
  <c r="F12" i="13"/>
  <c r="F25" i="13"/>
  <c r="F26" i="13" s="1"/>
  <c r="E8" i="15"/>
  <c r="F55" i="13"/>
  <c r="F56" i="13" s="1"/>
  <c r="E7" i="15"/>
  <c r="E58" i="13"/>
  <c r="G6" i="15" s="1"/>
  <c r="F57" i="13"/>
  <c r="E62" i="13"/>
  <c r="H6" i="15" s="1"/>
  <c r="F61" i="13"/>
  <c r="I4" i="15"/>
  <c r="C16" i="12"/>
  <c r="E16" i="13"/>
  <c r="E17" i="13" s="1"/>
  <c r="E48" i="13"/>
  <c r="F14" i="13"/>
  <c r="F15" i="13"/>
  <c r="D64" i="13"/>
  <c r="J5" i="15" s="1"/>
  <c r="O4" i="13"/>
  <c r="F42" i="13" l="1"/>
  <c r="D50" i="13"/>
  <c r="D4" i="15"/>
  <c r="C24" i="11"/>
  <c r="E50" i="13"/>
  <c r="D6" i="15" s="1"/>
  <c r="C23" i="11"/>
  <c r="C72" i="13"/>
  <c r="K4" i="15" s="1"/>
  <c r="F7" i="15"/>
  <c r="G55" i="13"/>
  <c r="G56" i="13" s="1"/>
  <c r="G13" i="13"/>
  <c r="G25" i="13"/>
  <c r="G26" i="13" s="1"/>
  <c r="G12" i="13"/>
  <c r="H53" i="13"/>
  <c r="P4" i="13"/>
  <c r="F49" i="13"/>
  <c r="F16" i="13"/>
  <c r="F17" i="13" s="1"/>
  <c r="F48" i="13"/>
  <c r="F41" i="13"/>
  <c r="F28" i="13"/>
  <c r="G15" i="13"/>
  <c r="G14" i="13"/>
  <c r="E64" i="13"/>
  <c r="J6" i="15" s="1"/>
  <c r="F58" i="13"/>
  <c r="G7" i="15" s="1"/>
  <c r="G57" i="13"/>
  <c r="F29" i="13"/>
  <c r="I52" i="13"/>
  <c r="I53" i="13" s="1"/>
  <c r="B10" i="15"/>
  <c r="J5" i="13"/>
  <c r="I6" i="13"/>
  <c r="I7" i="13" s="1"/>
  <c r="G61" i="13"/>
  <c r="F62" i="13"/>
  <c r="H7" i="15" s="1"/>
  <c r="C9" i="15"/>
  <c r="H66" i="13"/>
  <c r="H9" i="13"/>
  <c r="H54" i="13"/>
  <c r="D20" i="11"/>
  <c r="H10" i="13"/>
  <c r="H19" i="13"/>
  <c r="H39" i="13" s="1"/>
  <c r="H8" i="13"/>
  <c r="G42" i="13" l="1"/>
  <c r="D5" i="15"/>
  <c r="D72" i="13"/>
  <c r="C74" i="13"/>
  <c r="E72" i="13"/>
  <c r="E74" i="13" s="1"/>
  <c r="F50" i="13"/>
  <c r="D7" i="15" s="1"/>
  <c r="G49" i="13"/>
  <c r="F8" i="15"/>
  <c r="E10" i="15"/>
  <c r="G29" i="13"/>
  <c r="H61" i="13"/>
  <c r="G62" i="13"/>
  <c r="H8" i="15" s="1"/>
  <c r="E9" i="15"/>
  <c r="Q4" i="13"/>
  <c r="H13" i="13"/>
  <c r="H25" i="13"/>
  <c r="H26" i="13" s="1"/>
  <c r="H12" i="13"/>
  <c r="C10" i="15"/>
  <c r="I66" i="13"/>
  <c r="I67" i="13" s="1"/>
  <c r="I70" i="13" s="1"/>
  <c r="I10" i="15" s="1"/>
  <c r="I54" i="13"/>
  <c r="I10" i="13"/>
  <c r="I8" i="13"/>
  <c r="I9" i="13"/>
  <c r="I19" i="13"/>
  <c r="I39" i="13" s="1"/>
  <c r="G58" i="13"/>
  <c r="G8" i="15" s="1"/>
  <c r="H57" i="13"/>
  <c r="F64" i="13"/>
  <c r="J7" i="15" s="1"/>
  <c r="H15" i="13"/>
  <c r="H14" i="13"/>
  <c r="H55" i="13"/>
  <c r="H56" i="13" s="1"/>
  <c r="F9" i="15" s="1"/>
  <c r="H67" i="13"/>
  <c r="D12" i="12"/>
  <c r="J52" i="13"/>
  <c r="J53" i="13" s="1"/>
  <c r="B11" i="15"/>
  <c r="K5" i="13"/>
  <c r="J6" i="13"/>
  <c r="J7" i="13" s="1"/>
  <c r="G41" i="13"/>
  <c r="G28" i="13"/>
  <c r="G16" i="13"/>
  <c r="G17" i="13" s="1"/>
  <c r="G48" i="13"/>
  <c r="M6" i="15" l="1"/>
  <c r="E76" i="13"/>
  <c r="M4" i="15"/>
  <c r="C76" i="13"/>
  <c r="H42" i="13"/>
  <c r="D74" i="13"/>
  <c r="K5" i="15"/>
  <c r="K6" i="15"/>
  <c r="G50" i="13"/>
  <c r="D8" i="15" s="1"/>
  <c r="F72" i="13"/>
  <c r="F74" i="13" s="1"/>
  <c r="E11" i="15"/>
  <c r="H16" i="13"/>
  <c r="H17" i="13" s="1"/>
  <c r="H48" i="13"/>
  <c r="D21" i="11"/>
  <c r="H41" i="13"/>
  <c r="H28" i="13"/>
  <c r="R4" i="13"/>
  <c r="H58" i="13"/>
  <c r="G9" i="15" s="1"/>
  <c r="I57" i="13"/>
  <c r="H29" i="13"/>
  <c r="J66" i="13"/>
  <c r="J67" i="13" s="1"/>
  <c r="J70" i="13" s="1"/>
  <c r="I11" i="15" s="1"/>
  <c r="J54" i="13"/>
  <c r="J9" i="13"/>
  <c r="J19" i="13"/>
  <c r="J39" i="13" s="1"/>
  <c r="J8" i="13"/>
  <c r="C11" i="15"/>
  <c r="J10" i="13"/>
  <c r="H49" i="13"/>
  <c r="D22" i="11"/>
  <c r="H70" i="13"/>
  <c r="D13" i="12"/>
  <c r="K52" i="13"/>
  <c r="K53" i="13" s="1"/>
  <c r="B12" i="15"/>
  <c r="K6" i="13"/>
  <c r="K7" i="13" s="1"/>
  <c r="L5" i="13"/>
  <c r="I15" i="13"/>
  <c r="I14" i="13"/>
  <c r="G64" i="13"/>
  <c r="J8" i="15" s="1"/>
  <c r="I13" i="13"/>
  <c r="I12" i="13"/>
  <c r="I25" i="13"/>
  <c r="I26" i="13" s="1"/>
  <c r="I55" i="13"/>
  <c r="I56" i="13" s="1"/>
  <c r="I61" i="13"/>
  <c r="H62" i="13"/>
  <c r="H9" i="15" s="1"/>
  <c r="E78" i="13" l="1"/>
  <c r="F4" i="18" s="1"/>
  <c r="E4" i="18"/>
  <c r="C78" i="13"/>
  <c r="F2" i="18" s="1"/>
  <c r="E2" i="18"/>
  <c r="M5" i="15"/>
  <c r="D76" i="13"/>
  <c r="M7" i="15"/>
  <c r="F76" i="13"/>
  <c r="I42" i="13"/>
  <c r="H64" i="13"/>
  <c r="J9" i="15" s="1"/>
  <c r="K7" i="15"/>
  <c r="H50" i="13"/>
  <c r="D24" i="11" s="1"/>
  <c r="I49" i="13"/>
  <c r="I9" i="15"/>
  <c r="D16" i="12"/>
  <c r="I58" i="13"/>
  <c r="G10" i="15" s="1"/>
  <c r="J57" i="13"/>
  <c r="G72" i="13"/>
  <c r="B13" i="15"/>
  <c r="L52" i="13"/>
  <c r="L53" i="13" s="1"/>
  <c r="M5" i="13"/>
  <c r="L6" i="13"/>
  <c r="L7" i="13" s="1"/>
  <c r="J12" i="13"/>
  <c r="J25" i="13"/>
  <c r="J26" i="13" s="1"/>
  <c r="J13" i="13"/>
  <c r="F10" i="15"/>
  <c r="J55" i="13"/>
  <c r="J56" i="13" s="1"/>
  <c r="J14" i="13"/>
  <c r="J15" i="13"/>
  <c r="C12" i="15"/>
  <c r="K66" i="13"/>
  <c r="K67" i="13" s="1"/>
  <c r="K70" i="13" s="1"/>
  <c r="I12" i="15" s="1"/>
  <c r="K54" i="13"/>
  <c r="K19" i="13"/>
  <c r="K39" i="13" s="1"/>
  <c r="K8" i="13"/>
  <c r="K9" i="13"/>
  <c r="K10" i="13"/>
  <c r="J61" i="13"/>
  <c r="I62" i="13"/>
  <c r="H10" i="15" s="1"/>
  <c r="I48" i="13"/>
  <c r="I16" i="13"/>
  <c r="I17" i="13" s="1"/>
  <c r="I28" i="13"/>
  <c r="I41" i="13"/>
  <c r="I29" i="13"/>
  <c r="E12" i="15"/>
  <c r="S4" i="13"/>
  <c r="F78" i="13" l="1"/>
  <c r="F5" i="18" s="1"/>
  <c r="E5" i="18"/>
  <c r="D78" i="13"/>
  <c r="F3" i="18" s="1"/>
  <c r="E3" i="18"/>
  <c r="J42" i="13"/>
  <c r="I50" i="13"/>
  <c r="D10" i="15" s="1"/>
  <c r="H72" i="13"/>
  <c r="K9" i="15" s="1"/>
  <c r="T4" i="13"/>
  <c r="U4" i="13" s="1"/>
  <c r="D23" i="11"/>
  <c r="D9" i="15"/>
  <c r="J49" i="13"/>
  <c r="I64" i="13"/>
  <c r="J10" i="15" s="1"/>
  <c r="F11" i="15"/>
  <c r="J48" i="13"/>
  <c r="J41" i="13"/>
  <c r="J28" i="13"/>
  <c r="J16" i="13"/>
  <c r="J17" i="13" s="1"/>
  <c r="G74" i="13"/>
  <c r="K8" i="15"/>
  <c r="L66" i="13"/>
  <c r="L67" i="13" s="1"/>
  <c r="L70" i="13" s="1"/>
  <c r="I13" i="15" s="1"/>
  <c r="L54" i="13"/>
  <c r="C13" i="15"/>
  <c r="L10" i="13"/>
  <c r="L9" i="13"/>
  <c r="L19" i="13"/>
  <c r="L39" i="13" s="1"/>
  <c r="L8" i="13"/>
  <c r="K57" i="13"/>
  <c r="J58" i="13"/>
  <c r="G11" i="15" s="1"/>
  <c r="B14" i="15"/>
  <c r="M52" i="13"/>
  <c r="M53" i="13" s="1"/>
  <c r="M6" i="13"/>
  <c r="M7" i="13" s="1"/>
  <c r="N5" i="13"/>
  <c r="E13" i="15"/>
  <c r="K15" i="13"/>
  <c r="K14" i="13"/>
  <c r="K25" i="13"/>
  <c r="K26" i="13" s="1"/>
  <c r="K13" i="13"/>
  <c r="K12" i="13"/>
  <c r="K55" i="13"/>
  <c r="K56" i="13" s="1"/>
  <c r="J29" i="13"/>
  <c r="J62" i="13"/>
  <c r="H11" i="15" s="1"/>
  <c r="K61" i="13"/>
  <c r="M8" i="15" l="1"/>
  <c r="G76" i="13"/>
  <c r="K42" i="13"/>
  <c r="H74" i="13"/>
  <c r="J50" i="13"/>
  <c r="D11" i="15" s="1"/>
  <c r="I72" i="13"/>
  <c r="K10" i="15" s="1"/>
  <c r="K49" i="13"/>
  <c r="B15" i="15"/>
  <c r="N6" i="13"/>
  <c r="N7" i="13" s="1"/>
  <c r="O5" i="13"/>
  <c r="N52" i="13"/>
  <c r="N53" i="13" s="1"/>
  <c r="K29" i="13"/>
  <c r="L12" i="13"/>
  <c r="L25" i="13"/>
  <c r="L26" i="13" s="1"/>
  <c r="L13" i="13"/>
  <c r="M54" i="13"/>
  <c r="M66" i="13"/>
  <c r="M67" i="13" s="1"/>
  <c r="M70" i="13" s="1"/>
  <c r="I14" i="15" s="1"/>
  <c r="M19" i="13"/>
  <c r="M39" i="13" s="1"/>
  <c r="M8" i="13"/>
  <c r="C14" i="15"/>
  <c r="M10" i="13"/>
  <c r="M9" i="13"/>
  <c r="L14" i="13"/>
  <c r="L15" i="13"/>
  <c r="K48" i="13"/>
  <c r="K41" i="13"/>
  <c r="K28" i="13"/>
  <c r="K16" i="13"/>
  <c r="K17" i="13" s="1"/>
  <c r="E14" i="15"/>
  <c r="L55" i="13"/>
  <c r="L56" i="13" s="1"/>
  <c r="J64" i="13"/>
  <c r="J11" i="15" s="1"/>
  <c r="F12" i="15"/>
  <c r="L57" i="13"/>
  <c r="K58" i="13"/>
  <c r="G12" i="15" s="1"/>
  <c r="K62" i="13"/>
  <c r="H12" i="15" s="1"/>
  <c r="L61" i="13"/>
  <c r="G78" i="13" l="1"/>
  <c r="F6" i="18" s="1"/>
  <c r="E6" i="18"/>
  <c r="M9" i="15"/>
  <c r="H76" i="13"/>
  <c r="L42" i="13"/>
  <c r="I74" i="13"/>
  <c r="K50" i="13"/>
  <c r="D12" i="15" s="1"/>
  <c r="L49" i="13"/>
  <c r="F13" i="15"/>
  <c r="L48" i="13"/>
  <c r="L41" i="13"/>
  <c r="L28" i="13"/>
  <c r="L16" i="13"/>
  <c r="L17" i="13" s="1"/>
  <c r="L62" i="13"/>
  <c r="H13" i="15" s="1"/>
  <c r="M61" i="13"/>
  <c r="E15" i="15"/>
  <c r="O52" i="13"/>
  <c r="O53" i="13" s="1"/>
  <c r="P5" i="13"/>
  <c r="O6" i="13"/>
  <c r="O7" i="13" s="1"/>
  <c r="B16" i="15"/>
  <c r="M25" i="13"/>
  <c r="M26" i="13" s="1"/>
  <c r="M13" i="13"/>
  <c r="M12" i="13"/>
  <c r="J72" i="13"/>
  <c r="K64" i="13"/>
  <c r="J12" i="15" s="1"/>
  <c r="M55" i="13"/>
  <c r="M56" i="13" s="1"/>
  <c r="C15" i="15"/>
  <c r="N54" i="13"/>
  <c r="N19" i="13"/>
  <c r="N39" i="13" s="1"/>
  <c r="E20" i="11"/>
  <c r="N10" i="13"/>
  <c r="N66" i="13"/>
  <c r="N8" i="13"/>
  <c r="N9" i="13"/>
  <c r="M15" i="13"/>
  <c r="M14" i="13"/>
  <c r="L58" i="13"/>
  <c r="G13" i="15" s="1"/>
  <c r="M57" i="13"/>
  <c r="L29" i="13"/>
  <c r="H78" i="13" l="1"/>
  <c r="F7" i="18" s="1"/>
  <c r="E7" i="18"/>
  <c r="M10" i="15"/>
  <c r="I76" i="13"/>
  <c r="M42" i="13"/>
  <c r="L50" i="13"/>
  <c r="D13" i="15" s="1"/>
  <c r="F14" i="15"/>
  <c r="N55" i="13"/>
  <c r="N56" i="13" s="1"/>
  <c r="N13" i="13"/>
  <c r="N12" i="13"/>
  <c r="N25" i="13"/>
  <c r="N26" i="13" s="1"/>
  <c r="B17" i="15"/>
  <c r="P52" i="13"/>
  <c r="P53" i="13" s="1"/>
  <c r="P6" i="13"/>
  <c r="P7" i="13" s="1"/>
  <c r="Q5" i="13"/>
  <c r="E16" i="15"/>
  <c r="O10" i="13"/>
  <c r="O54" i="13"/>
  <c r="O9" i="13"/>
  <c r="C16" i="15"/>
  <c r="O66" i="13"/>
  <c r="O67" i="13" s="1"/>
  <c r="O70" i="13" s="1"/>
  <c r="I16" i="15" s="1"/>
  <c r="O19" i="13"/>
  <c r="O39" i="13" s="1"/>
  <c r="O8" i="13"/>
  <c r="N14" i="13"/>
  <c r="N15" i="13"/>
  <c r="K72" i="13"/>
  <c r="N67" i="13"/>
  <c r="E12" i="12"/>
  <c r="M28" i="13"/>
  <c r="M48" i="13"/>
  <c r="M16" i="13"/>
  <c r="M17" i="13" s="1"/>
  <c r="M41" i="13"/>
  <c r="L64" i="13"/>
  <c r="J13" i="15" s="1"/>
  <c r="M62" i="13"/>
  <c r="H14" i="15" s="1"/>
  <c r="N61" i="13"/>
  <c r="M58" i="13"/>
  <c r="G14" i="15" s="1"/>
  <c r="N57" i="13"/>
  <c r="J74" i="13"/>
  <c r="K11" i="15"/>
  <c r="M49" i="13"/>
  <c r="M29" i="13"/>
  <c r="I78" i="13" l="1"/>
  <c r="F8" i="18" s="1"/>
  <c r="E8" i="18"/>
  <c r="M11" i="15"/>
  <c r="J76" i="13"/>
  <c r="N42" i="13"/>
  <c r="L72" i="13"/>
  <c r="L74" i="13" s="1"/>
  <c r="F15" i="15"/>
  <c r="O14" i="13"/>
  <c r="O15" i="13"/>
  <c r="N41" i="13"/>
  <c r="N48" i="13"/>
  <c r="N16" i="13"/>
  <c r="N17" i="13" s="1"/>
  <c r="N28" i="13"/>
  <c r="E21" i="11"/>
  <c r="N49" i="13"/>
  <c r="E22" i="11"/>
  <c r="N29" i="13"/>
  <c r="O13" i="13"/>
  <c r="O25" i="13"/>
  <c r="O26" i="13" s="1"/>
  <c r="O12" i="13"/>
  <c r="K12" i="15"/>
  <c r="K74" i="13"/>
  <c r="O55" i="13"/>
  <c r="O56" i="13" s="1"/>
  <c r="M50" i="13"/>
  <c r="N58" i="13"/>
  <c r="G15" i="15" s="1"/>
  <c r="O57" i="13"/>
  <c r="Q52" i="13"/>
  <c r="Q53" i="13" s="1"/>
  <c r="B18" i="15"/>
  <c r="R5" i="13"/>
  <c r="Q6" i="13"/>
  <c r="Q7" i="13" s="1"/>
  <c r="O61" i="13"/>
  <c r="N62" i="13"/>
  <c r="H15" i="15" s="1"/>
  <c r="N70" i="13"/>
  <c r="E13" i="12"/>
  <c r="C17" i="15"/>
  <c r="P54" i="13"/>
  <c r="P9" i="13"/>
  <c r="P10" i="13"/>
  <c r="P66" i="13"/>
  <c r="P67" i="13" s="1"/>
  <c r="P70" i="13" s="1"/>
  <c r="I17" i="15" s="1"/>
  <c r="P19" i="13"/>
  <c r="P39" i="13" s="1"/>
  <c r="P8" i="13"/>
  <c r="M64" i="13"/>
  <c r="J14" i="15" s="1"/>
  <c r="E17" i="15"/>
  <c r="J78" i="13" l="1"/>
  <c r="F9" i="18" s="1"/>
  <c r="E9" i="18"/>
  <c r="M13" i="15"/>
  <c r="L76" i="13"/>
  <c r="M12" i="15"/>
  <c r="K76" i="13"/>
  <c r="O42" i="13"/>
  <c r="N50" i="13"/>
  <c r="K13" i="15"/>
  <c r="I15" i="15"/>
  <c r="E16" i="12"/>
  <c r="P61" i="13"/>
  <c r="O62" i="13"/>
  <c r="H16" i="15" s="1"/>
  <c r="O29" i="13"/>
  <c r="M72" i="13"/>
  <c r="D14" i="15"/>
  <c r="F16" i="15"/>
  <c r="O49" i="13"/>
  <c r="R52" i="13"/>
  <c r="R53" i="13" s="1"/>
  <c r="B19" i="15"/>
  <c r="S5" i="13"/>
  <c r="R6" i="13"/>
  <c r="R7" i="13" s="1"/>
  <c r="C18" i="15"/>
  <c r="Q66" i="13"/>
  <c r="Q67" i="13" s="1"/>
  <c r="Q70" i="13" s="1"/>
  <c r="I18" i="15" s="1"/>
  <c r="Q54" i="13"/>
  <c r="Q10" i="13"/>
  <c r="Q19" i="13"/>
  <c r="Q39" i="13" s="1"/>
  <c r="Q9" i="13"/>
  <c r="Q8" i="13"/>
  <c r="P15" i="13"/>
  <c r="P14" i="13"/>
  <c r="P55" i="13"/>
  <c r="P56" i="13" s="1"/>
  <c r="E18" i="15"/>
  <c r="O28" i="13"/>
  <c r="O41" i="13"/>
  <c r="O16" i="13"/>
  <c r="O17" i="13" s="1"/>
  <c r="O48" i="13"/>
  <c r="N64" i="13"/>
  <c r="J15" i="15" s="1"/>
  <c r="P12" i="13"/>
  <c r="P13" i="13"/>
  <c r="P25" i="13"/>
  <c r="P26" i="13" s="1"/>
  <c r="O58" i="13"/>
  <c r="G16" i="15" s="1"/>
  <c r="P57" i="13"/>
  <c r="L78" i="13" l="1"/>
  <c r="F11" i="18" s="1"/>
  <c r="E11" i="18"/>
  <c r="K78" i="13"/>
  <c r="F10" i="18" s="1"/>
  <c r="E10" i="18"/>
  <c r="P42" i="13"/>
  <c r="D15" i="15"/>
  <c r="E24" i="11"/>
  <c r="E23" i="11"/>
  <c r="N72" i="13"/>
  <c r="N74" i="13" s="1"/>
  <c r="P49" i="13"/>
  <c r="O50" i="13"/>
  <c r="D16" i="15" s="1"/>
  <c r="P29" i="13"/>
  <c r="F17" i="15"/>
  <c r="Q13" i="13"/>
  <c r="Q12" i="13"/>
  <c r="Q25" i="13"/>
  <c r="Q26" i="13" s="1"/>
  <c r="S52" i="13"/>
  <c r="S53" i="13" s="1"/>
  <c r="B20" i="15"/>
  <c r="S6" i="13"/>
  <c r="S7" i="13" s="1"/>
  <c r="T5" i="13"/>
  <c r="E19" i="15"/>
  <c r="M74" i="13"/>
  <c r="K14" i="15"/>
  <c r="P48" i="13"/>
  <c r="P16" i="13"/>
  <c r="P17" i="13" s="1"/>
  <c r="P41" i="13"/>
  <c r="P28" i="13"/>
  <c r="Q15" i="13"/>
  <c r="Q14" i="13"/>
  <c r="P62" i="13"/>
  <c r="H17" i="15" s="1"/>
  <c r="Q61" i="13"/>
  <c r="R66" i="13"/>
  <c r="R67" i="13" s="1"/>
  <c r="R70" i="13" s="1"/>
  <c r="I19" i="15" s="1"/>
  <c r="R54" i="13"/>
  <c r="R9" i="13"/>
  <c r="R19" i="13"/>
  <c r="R39" i="13" s="1"/>
  <c r="R8" i="13"/>
  <c r="C19" i="15"/>
  <c r="R10" i="13"/>
  <c r="Q55" i="13"/>
  <c r="Q56" i="13" s="1"/>
  <c r="O64" i="13"/>
  <c r="J16" i="15" s="1"/>
  <c r="P58" i="13"/>
  <c r="G17" i="15" s="1"/>
  <c r="Q57" i="13"/>
  <c r="M15" i="15" l="1"/>
  <c r="N76" i="13"/>
  <c r="M14" i="15"/>
  <c r="M76" i="13"/>
  <c r="Q42" i="13"/>
  <c r="K15" i="15"/>
  <c r="P50" i="13"/>
  <c r="D17" i="15" s="1"/>
  <c r="O72" i="13"/>
  <c r="O74" i="13" s="1"/>
  <c r="Q48" i="13"/>
  <c r="Q28" i="13"/>
  <c r="Q16" i="13"/>
  <c r="Q17" i="13" s="1"/>
  <c r="Q41" i="13"/>
  <c r="Q29" i="13"/>
  <c r="Q58" i="13"/>
  <c r="G18" i="15" s="1"/>
  <c r="R57" i="13"/>
  <c r="P64" i="13"/>
  <c r="J17" i="15" s="1"/>
  <c r="Q62" i="13"/>
  <c r="H18" i="15" s="1"/>
  <c r="R61" i="13"/>
  <c r="B21" i="15"/>
  <c r="B22" i="15" s="1"/>
  <c r="T52" i="13"/>
  <c r="U5" i="13"/>
  <c r="T6" i="13"/>
  <c r="T7" i="13" s="1"/>
  <c r="E20" i="15"/>
  <c r="R12" i="13"/>
  <c r="R25" i="13"/>
  <c r="R26" i="13" s="1"/>
  <c r="R13" i="13"/>
  <c r="F18" i="15"/>
  <c r="R15" i="13"/>
  <c r="R14" i="13"/>
  <c r="C20" i="15"/>
  <c r="S66" i="13"/>
  <c r="S67" i="13" s="1"/>
  <c r="S70" i="13" s="1"/>
  <c r="I20" i="15" s="1"/>
  <c r="S54" i="13"/>
  <c r="S19" i="13"/>
  <c r="S39" i="13" s="1"/>
  <c r="S8" i="13"/>
  <c r="S10" i="13"/>
  <c r="S9" i="13"/>
  <c r="R55" i="13"/>
  <c r="R56" i="13" s="1"/>
  <c r="Q49" i="13"/>
  <c r="N78" i="13" l="1"/>
  <c r="F13" i="18" s="1"/>
  <c r="E13" i="18"/>
  <c r="M78" i="13"/>
  <c r="F12" i="18" s="1"/>
  <c r="E12" i="18"/>
  <c r="M16" i="15"/>
  <c r="O76" i="13"/>
  <c r="R42" i="13"/>
  <c r="K16" i="15"/>
  <c r="P72" i="13"/>
  <c r="K17" i="15" s="1"/>
  <c r="Q64" i="13"/>
  <c r="J18" i="15" s="1"/>
  <c r="R49" i="13"/>
  <c r="F19" i="15"/>
  <c r="T66" i="13"/>
  <c r="T54" i="13"/>
  <c r="C21" i="15"/>
  <c r="C22" i="15" s="1"/>
  <c r="T10" i="13"/>
  <c r="T9" i="13"/>
  <c r="T8" i="13"/>
  <c r="T19" i="13"/>
  <c r="T39" i="13" s="1"/>
  <c r="F20" i="11"/>
  <c r="S57" i="13"/>
  <c r="R58" i="13"/>
  <c r="G19" i="15" s="1"/>
  <c r="R29" i="13"/>
  <c r="U52" i="13"/>
  <c r="U53" i="13" s="1"/>
  <c r="U6" i="13"/>
  <c r="U7" i="13" s="1"/>
  <c r="S55" i="13"/>
  <c r="S56" i="13" s="1"/>
  <c r="T53" i="13"/>
  <c r="B15" i="8"/>
  <c r="R48" i="13"/>
  <c r="R28" i="13"/>
  <c r="R16" i="13"/>
  <c r="R17" i="13" s="1"/>
  <c r="R41" i="13"/>
  <c r="R62" i="13"/>
  <c r="H19" i="15" s="1"/>
  <c r="S61" i="13"/>
  <c r="S15" i="13"/>
  <c r="S14" i="13"/>
  <c r="S25" i="13"/>
  <c r="S26" i="13" s="1"/>
  <c r="S13" i="13"/>
  <c r="S12" i="13"/>
  <c r="Q50" i="13"/>
  <c r="O78" i="13" l="1"/>
  <c r="F14" i="18" s="1"/>
  <c r="E14" i="18"/>
  <c r="S42" i="13"/>
  <c r="R50" i="13"/>
  <c r="D19" i="15" s="1"/>
  <c r="P74" i="13"/>
  <c r="S49" i="13"/>
  <c r="T12" i="13"/>
  <c r="T25" i="13"/>
  <c r="T26" i="13" s="1"/>
  <c r="T13" i="13"/>
  <c r="T14" i="13"/>
  <c r="T15" i="13"/>
  <c r="T55" i="13"/>
  <c r="T56" i="13" s="1"/>
  <c r="F21" i="15" s="1"/>
  <c r="S62" i="13"/>
  <c r="H20" i="15" s="1"/>
  <c r="T61" i="13"/>
  <c r="E21" i="15"/>
  <c r="E22" i="15" s="1"/>
  <c r="D18" i="15"/>
  <c r="Q72" i="13"/>
  <c r="T67" i="13"/>
  <c r="F12" i="12"/>
  <c r="T57" i="13"/>
  <c r="S58" i="13"/>
  <c r="G20" i="15" s="1"/>
  <c r="F20" i="15"/>
  <c r="R64" i="13"/>
  <c r="J19" i="15" s="1"/>
  <c r="S48" i="13"/>
  <c r="S28" i="13"/>
  <c r="S41" i="13"/>
  <c r="S16" i="13"/>
  <c r="S17" i="13" s="1"/>
  <c r="S29" i="13"/>
  <c r="U54" i="13"/>
  <c r="U19" i="13"/>
  <c r="U39" i="13" s="1"/>
  <c r="U8" i="13"/>
  <c r="U10" i="13"/>
  <c r="U66" i="13"/>
  <c r="U67" i="13" s="1"/>
  <c r="U70" i="13" s="1"/>
  <c r="U9" i="13"/>
  <c r="M17" i="15" l="1"/>
  <c r="P76" i="13"/>
  <c r="T42" i="13"/>
  <c r="S64" i="13"/>
  <c r="J20" i="15" s="1"/>
  <c r="S50" i="13"/>
  <c r="D20" i="15" s="1"/>
  <c r="T49" i="13"/>
  <c r="F22" i="11"/>
  <c r="U55" i="13"/>
  <c r="U56" i="13" s="1"/>
  <c r="T62" i="13"/>
  <c r="H21" i="15" s="1"/>
  <c r="H22" i="15" s="1"/>
  <c r="U61" i="13"/>
  <c r="U62" i="13" s="1"/>
  <c r="R72" i="13"/>
  <c r="K18" i="15"/>
  <c r="Q74" i="13"/>
  <c r="U25" i="13"/>
  <c r="U26" i="13" s="1"/>
  <c r="U12" i="13"/>
  <c r="U13" i="13"/>
  <c r="T29" i="13"/>
  <c r="T58" i="13"/>
  <c r="U57" i="13"/>
  <c r="U58" i="13" s="1"/>
  <c r="U15" i="13"/>
  <c r="U14" i="13"/>
  <c r="T70" i="13"/>
  <c r="F13" i="12"/>
  <c r="F22" i="15"/>
  <c r="T48" i="13"/>
  <c r="T41" i="13"/>
  <c r="T16" i="13"/>
  <c r="T17" i="13" s="1"/>
  <c r="T28" i="13"/>
  <c r="F21" i="11"/>
  <c r="P78" i="13" l="1"/>
  <c r="F15" i="18" s="1"/>
  <c r="E15" i="18"/>
  <c r="M18" i="15"/>
  <c r="Q76" i="13"/>
  <c r="U42" i="13"/>
  <c r="T50" i="13"/>
  <c r="S72" i="13"/>
  <c r="K20" i="15" s="1"/>
  <c r="U64" i="13"/>
  <c r="U49" i="13"/>
  <c r="K19" i="15"/>
  <c r="R74" i="13"/>
  <c r="I21" i="15"/>
  <c r="I22" i="15" s="1"/>
  <c r="F16" i="12"/>
  <c r="U41" i="13"/>
  <c r="U28" i="13"/>
  <c r="U16" i="13"/>
  <c r="U17" i="13" s="1"/>
  <c r="U48" i="13"/>
  <c r="G21" i="15"/>
  <c r="G22" i="15" s="1"/>
  <c r="T64" i="13"/>
  <c r="J21" i="15" s="1"/>
  <c r="J22" i="15" s="1"/>
  <c r="U29" i="13"/>
  <c r="Q78" i="13" l="1"/>
  <c r="F16" i="18" s="1"/>
  <c r="E16" i="18"/>
  <c r="M19" i="15"/>
  <c r="R76" i="13"/>
  <c r="F23" i="11"/>
  <c r="F24" i="11"/>
  <c r="S74" i="13"/>
  <c r="U50" i="13"/>
  <c r="U72" i="13" s="1"/>
  <c r="U74" i="13" s="1"/>
  <c r="U76" i="13" s="1"/>
  <c r="U78" i="13" s="1"/>
  <c r="D21" i="15"/>
  <c r="D22" i="15" s="1"/>
  <c r="T72" i="13"/>
  <c r="R78" i="13" l="1"/>
  <c r="F17" i="18" s="1"/>
  <c r="E17" i="18"/>
  <c r="M20" i="15"/>
  <c r="S76" i="13"/>
  <c r="T74" i="13"/>
  <c r="K21" i="15"/>
  <c r="K22" i="15" s="1"/>
  <c r="S78" i="13" l="1"/>
  <c r="F18" i="18" s="1"/>
  <c r="E18" i="18"/>
  <c r="M21" i="15"/>
  <c r="M22" i="15" s="1"/>
  <c r="T76" i="13"/>
  <c r="T78" i="13" l="1"/>
  <c r="F19" i="18" s="1"/>
  <c r="E19" i="18"/>
  <c r="N49" i="16"/>
  <c r="M49" i="16"/>
  <c r="N48" i="16"/>
  <c r="M48" i="16"/>
  <c r="N47" i="16"/>
  <c r="M47" i="16"/>
  <c r="N46" i="16"/>
  <c r="M46" i="16"/>
  <c r="N45" i="16"/>
  <c r="M45" i="16"/>
  <c r="N44" i="16"/>
  <c r="M44" i="16"/>
  <c r="N43" i="16"/>
  <c r="M43" i="16"/>
  <c r="N42" i="16"/>
  <c r="M42" i="16"/>
  <c r="N41" i="16"/>
  <c r="M41" i="16"/>
  <c r="N40" i="16"/>
  <c r="M40" i="16"/>
  <c r="N39" i="16"/>
  <c r="M39" i="16"/>
  <c r="N38" i="16"/>
  <c r="M38" i="16"/>
  <c r="N37" i="16"/>
  <c r="M37" i="16"/>
  <c r="N36" i="16"/>
  <c r="M36" i="16"/>
  <c r="N35" i="16"/>
  <c r="M35" i="16"/>
  <c r="N34" i="16"/>
  <c r="M34" i="16"/>
  <c r="N33" i="16"/>
  <c r="M33" i="16"/>
  <c r="N32" i="16"/>
  <c r="M32" i="16"/>
  <c r="N31" i="16"/>
  <c r="M31" i="16"/>
  <c r="N30" i="16"/>
  <c r="M30" i="16"/>
  <c r="N29" i="16"/>
  <c r="M29" i="16"/>
  <c r="N28" i="16"/>
  <c r="M28" i="16"/>
  <c r="N27" i="16"/>
  <c r="M27" i="16"/>
  <c r="N26" i="16"/>
  <c r="M26" i="16"/>
  <c r="N25" i="16"/>
  <c r="M25" i="16"/>
  <c r="N24" i="16"/>
  <c r="M24" i="16"/>
  <c r="N23" i="16"/>
  <c r="M23" i="16"/>
  <c r="N22" i="16"/>
  <c r="M22" i="16"/>
  <c r="N21" i="16"/>
  <c r="M21" i="16"/>
  <c r="N20" i="16"/>
  <c r="M20" i="16"/>
  <c r="N19" i="16"/>
  <c r="M19" i="16"/>
  <c r="N18" i="16"/>
  <c r="M18" i="16"/>
  <c r="N17" i="16"/>
  <c r="M17" i="16"/>
  <c r="N16" i="16"/>
  <c r="M16" i="16"/>
  <c r="N15" i="16"/>
  <c r="M15" i="16"/>
  <c r="N14" i="16"/>
  <c r="M14" i="16"/>
  <c r="N13" i="16"/>
  <c r="M13" i="16"/>
  <c r="N12" i="16"/>
  <c r="M12" i="16"/>
  <c r="N11" i="16"/>
  <c r="M11" i="16"/>
  <c r="N10" i="16"/>
  <c r="M10" i="16"/>
  <c r="N9" i="16"/>
  <c r="M9" i="16"/>
  <c r="N8" i="16"/>
  <c r="M8" i="16"/>
  <c r="N7" i="16"/>
  <c r="M7" i="16"/>
  <c r="N6" i="16"/>
  <c r="M6" i="16"/>
  <c r="N5" i="16"/>
  <c r="M5"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AMS RFP</author>
  </authors>
  <commentList>
    <comment ref="B5" authorId="0" shapeId="0" xr:uid="{00000000-0006-0000-0400-000001000000}">
      <text>
        <r>
          <rPr>
            <sz val="11"/>
            <color theme="1"/>
            <rFont val="Calibri"/>
            <family val="2"/>
            <scheme val="minor"/>
          </rPr>
          <t>Enter the first month of the proposed operating model.</t>
        </r>
      </text>
    </comment>
    <comment ref="B6" authorId="0" shapeId="0" xr:uid="{00000000-0006-0000-0400-000002000000}">
      <text>
        <r>
          <rPr>
            <sz val="11"/>
            <color theme="1"/>
            <rFont val="Calibri"/>
            <family val="2"/>
            <scheme val="minor"/>
          </rPr>
          <t>Enter 18 unless the RFP explicitly requests a different modeled duration.</t>
        </r>
      </text>
    </comment>
    <comment ref="G6" authorId="0" shapeId="0" xr:uid="{00000000-0006-0000-0400-000003000000}">
      <text>
        <r>
          <rPr>
            <sz val="11"/>
            <color theme="1"/>
            <rFont val="Calibri"/>
            <family val="2"/>
            <scheme val="minor"/>
          </rPr>
          <t>Enter agents built in this quarter. Must reconcile to the rollout plan.</t>
        </r>
      </text>
    </comment>
    <comment ref="H6" authorId="0" shapeId="0" xr:uid="{00000000-0006-0000-0400-000004000000}">
      <text>
        <r>
          <rPr>
            <sz val="11"/>
            <color theme="1"/>
            <rFont val="Calibri"/>
            <family val="2"/>
            <scheme val="minor"/>
          </rPr>
          <t>Enter modeled months in this quarter (normally up to 3 within the 18-month horizon).</t>
        </r>
      </text>
    </comment>
    <comment ref="B7" authorId="0" shapeId="0" xr:uid="{00000000-0006-0000-0400-000005000000}">
      <text>
        <r>
          <rPr>
            <sz val="11"/>
            <color theme="1"/>
            <rFont val="Calibri"/>
            <family val="2"/>
            <scheme val="minor"/>
          </rPr>
          <t>Average operating workdays per month used for demand calculations.</t>
        </r>
      </text>
    </comment>
    <comment ref="G7" authorId="0" shapeId="0" xr:uid="{00000000-0006-0000-0400-000006000000}">
      <text>
        <r>
          <rPr>
            <sz val="11"/>
            <color theme="1"/>
            <rFont val="Calibri"/>
            <family val="2"/>
            <scheme val="minor"/>
          </rPr>
          <t>Enter agents built in this quarter. Must reconcile to the rollout plan.</t>
        </r>
      </text>
    </comment>
    <comment ref="H7" authorId="0" shapeId="0" xr:uid="{00000000-0006-0000-0400-000007000000}">
      <text>
        <r>
          <rPr>
            <sz val="11"/>
            <color theme="1"/>
            <rFont val="Calibri"/>
            <family val="2"/>
            <scheme val="minor"/>
          </rPr>
          <t>Enter modeled months in this quarter (normally up to 3 within the 18-month horizon).</t>
        </r>
      </text>
    </comment>
    <comment ref="B8" authorId="0" shapeId="0" xr:uid="{00000000-0006-0000-0400-000008000000}">
      <text>
        <r>
          <rPr>
            <sz val="11"/>
            <color theme="1"/>
            <rFont val="Calibri"/>
            <family val="2"/>
            <scheme val="minor"/>
          </rPr>
          <t>State the single reporting currency and use it consistently in all cost sheets.</t>
        </r>
      </text>
    </comment>
    <comment ref="G8" authorId="0" shapeId="0" xr:uid="{00000000-0006-0000-0400-000009000000}">
      <text>
        <r>
          <rPr>
            <sz val="11"/>
            <color theme="1"/>
            <rFont val="Calibri"/>
            <family val="2"/>
            <scheme val="minor"/>
          </rPr>
          <t>Enter agents built in this quarter. Must reconcile to the rollout plan.</t>
        </r>
      </text>
    </comment>
    <comment ref="H8" authorId="0" shapeId="0" xr:uid="{00000000-0006-0000-0400-00000A000000}">
      <text>
        <r>
          <rPr>
            <sz val="11"/>
            <color theme="1"/>
            <rFont val="Calibri"/>
            <family val="2"/>
            <scheme val="minor"/>
          </rPr>
          <t>Enter modeled months in this quarter (normally up to 3 within the 18-month horizon).</t>
        </r>
      </text>
    </comment>
    <comment ref="G9" authorId="0" shapeId="0" xr:uid="{00000000-0006-0000-0400-00000B000000}">
      <text>
        <r>
          <rPr>
            <sz val="11"/>
            <color theme="1"/>
            <rFont val="Calibri"/>
            <family val="2"/>
            <scheme val="minor"/>
          </rPr>
          <t>Enter agents built in this quarter. Must reconcile to the rollout plan.</t>
        </r>
      </text>
    </comment>
    <comment ref="H9" authorId="0" shapeId="0" xr:uid="{00000000-0006-0000-0400-00000C000000}">
      <text>
        <r>
          <rPr>
            <sz val="11"/>
            <color theme="1"/>
            <rFont val="Calibri"/>
            <family val="2"/>
            <scheme val="minor"/>
          </rPr>
          <t>Enter modeled months in this quarter (normally up to 3 within the 18-month horizon).</t>
        </r>
      </text>
    </comment>
    <comment ref="G10" authorId="0" shapeId="0" xr:uid="{00000000-0006-0000-0400-00000D000000}">
      <text>
        <r>
          <rPr>
            <sz val="11"/>
            <color theme="1"/>
            <rFont val="Calibri"/>
            <family val="2"/>
            <scheme val="minor"/>
          </rPr>
          <t>Enter agents built in this quarter. Must reconcile to the rollout plan.</t>
        </r>
      </text>
    </comment>
    <comment ref="H10" authorId="0" shapeId="0" xr:uid="{00000000-0006-0000-0400-00000E000000}">
      <text>
        <r>
          <rPr>
            <sz val="11"/>
            <color theme="1"/>
            <rFont val="Calibri"/>
            <family val="2"/>
            <scheme val="minor"/>
          </rPr>
          <t>Enter modeled months in this quarter (normally up to 3 within the 18-month horizon).</t>
        </r>
      </text>
    </comment>
    <comment ref="B11" authorId="0" shapeId="0" xr:uid="{00000000-0006-0000-0400-00000F000000}">
      <text>
        <r>
          <rPr>
            <sz val="11"/>
            <color theme="1"/>
            <rFont val="Calibri"/>
            <family val="2"/>
            <scheme val="minor"/>
          </rPr>
          <t>Agents already in production as of the model start month.</t>
        </r>
      </text>
    </comment>
    <comment ref="G11" authorId="0" shapeId="0" xr:uid="{00000000-0006-0000-0400-000010000000}">
      <text>
        <r>
          <rPr>
            <sz val="11"/>
            <color theme="1"/>
            <rFont val="Calibri"/>
            <family val="2"/>
            <scheme val="minor"/>
          </rPr>
          <t>Enter agents built in this quarter. Must reconcile to the rollout plan.</t>
        </r>
      </text>
    </comment>
    <comment ref="H11" authorId="0" shapeId="0" xr:uid="{00000000-0006-0000-0400-000011000000}">
      <text>
        <r>
          <rPr>
            <sz val="11"/>
            <color theme="1"/>
            <rFont val="Calibri"/>
            <family val="2"/>
            <scheme val="minor"/>
          </rPr>
          <t>Enter modeled months in this quarter (normally up to 3 within the 18-month horizon).</t>
        </r>
      </text>
    </comment>
    <comment ref="B12" authorId="0" shapeId="0" xr:uid="{00000000-0006-0000-0400-000012000000}">
      <text>
        <r>
          <rPr>
            <sz val="11"/>
            <color theme="1"/>
            <rFont val="Calibri"/>
            <family val="2"/>
            <scheme val="minor"/>
          </rPr>
          <t>Average new agents built per quarter. Use consistently with the quarterly override table.</t>
        </r>
      </text>
    </comment>
    <comment ref="B13" authorId="0" shapeId="0" xr:uid="{00000000-0006-0000-0400-000013000000}">
      <text>
        <r>
          <rPr>
            <sz val="11"/>
            <color theme="1"/>
            <rFont val="Calibri"/>
            <family val="2"/>
            <scheme val="minor"/>
          </rPr>
          <t>Percent of new agents active in their first month.</t>
        </r>
      </text>
    </comment>
    <comment ref="B14" authorId="0" shapeId="0" xr:uid="{00000000-0006-0000-0400-000014000000}">
      <text>
        <r>
          <rPr>
            <sz val="11"/>
            <color theme="1"/>
            <rFont val="Calibri"/>
            <family val="2"/>
            <scheme val="minor"/>
          </rPr>
          <t>Percent active in month 2.</t>
        </r>
      </text>
    </comment>
    <comment ref="B15" authorId="0" shapeId="0" xr:uid="{00000000-0006-0000-0400-000015000000}">
      <text>
        <r>
          <rPr>
            <sz val="11"/>
            <color theme="1"/>
            <rFont val="Calibri"/>
            <family val="2"/>
            <scheme val="minor"/>
          </rPr>
          <t>Steady-state percent active from month 3 onward.</t>
        </r>
      </text>
    </comment>
    <comment ref="B16" authorId="0" shapeId="0" xr:uid="{00000000-0006-0000-0400-000016000000}">
      <text>
        <r>
          <rPr>
            <sz val="11"/>
            <color theme="1"/>
            <rFont val="Calibri"/>
            <family val="2"/>
            <scheme val="minor"/>
          </rPr>
          <t>Monthly retirement/deprecation rate applied to installed agents.</t>
        </r>
      </text>
    </comment>
    <comment ref="B19" authorId="0" shapeId="0" xr:uid="{00000000-0006-0000-0400-000017000000}">
      <text>
        <r>
          <rPr>
            <sz val="11"/>
            <color theme="1"/>
            <rFont val="Calibri"/>
            <family val="2"/>
            <scheme val="minor"/>
          </rPr>
          <t>Demand per active agent per workday. For headless agents, use invocations if that is the documented convention.</t>
        </r>
      </text>
    </comment>
    <comment ref="B20" authorId="0" shapeId="0" xr:uid="{00000000-0006-0000-0400-000018000000}">
      <text>
        <r>
          <rPr>
            <sz val="11"/>
            <color theme="1"/>
            <rFont val="Calibri"/>
            <family val="2"/>
            <scheme val="minor"/>
          </rPr>
          <t>Share of total tickets/invocations resolved through automated self-healing.</t>
        </r>
      </text>
    </comment>
    <comment ref="B21" authorId="0" shapeId="0" xr:uid="{00000000-0006-0000-0400-000019000000}">
      <text>
        <r>
          <rPr>
            <sz val="11"/>
            <color theme="1"/>
            <rFont val="Calibri"/>
            <family val="2"/>
            <scheme val="minor"/>
          </rPr>
          <t>Incremental workload caused by reopens or follow-ups.</t>
        </r>
      </text>
    </comment>
    <comment ref="B22" authorId="0" shapeId="0" xr:uid="{00000000-0006-0000-0400-00001A000000}">
      <text>
        <r>
          <rPr>
            <sz val="11"/>
            <color theme="1"/>
            <rFont val="Calibri"/>
            <family val="2"/>
            <scheme val="minor"/>
          </rPr>
          <t>Average runtime minutes per ticket/invocation used for compute sizing.</t>
        </r>
      </text>
    </comment>
    <comment ref="B25" authorId="0" shapeId="0" xr:uid="{00000000-0006-0000-0400-00001B000000}">
      <text>
        <r>
          <rPr>
            <sz val="11"/>
            <color theme="1"/>
            <rFont val="Calibri"/>
            <family val="2"/>
            <scheme val="minor"/>
          </rPr>
          <t>Average small-model calls per ticket, including retries only once.</t>
        </r>
      </text>
    </comment>
    <comment ref="B26" authorId="0" shapeId="0" xr:uid="{00000000-0006-0000-0400-00001C000000}">
      <text>
        <r>
          <rPr>
            <sz val="11"/>
            <color theme="1"/>
            <rFont val="Calibri"/>
            <family val="2"/>
            <scheme val="minor"/>
          </rPr>
          <t>Average large/reasoning-model calls per ticket.</t>
        </r>
      </text>
    </comment>
    <comment ref="B27" authorId="0" shapeId="0" xr:uid="{00000000-0006-0000-0400-00001D000000}">
      <text>
        <r>
          <rPr>
            <sz val="11"/>
            <color theme="1"/>
            <rFont val="Calibri"/>
            <family val="2"/>
            <scheme val="minor"/>
          </rPr>
          <t>Average small-model input tokens, including system prompt and relevant context.</t>
        </r>
      </text>
    </comment>
    <comment ref="B28" authorId="0" shapeId="0" xr:uid="{00000000-0006-0000-0400-00001E000000}">
      <text>
        <r>
          <rPr>
            <sz val="11"/>
            <color theme="1"/>
            <rFont val="Calibri"/>
            <family val="2"/>
            <scheme val="minor"/>
          </rPr>
          <t>Average small-model output tokens.</t>
        </r>
      </text>
    </comment>
    <comment ref="B30" authorId="0" shapeId="0" xr:uid="{00000000-0006-0000-0400-00001F000000}">
      <text>
        <r>
          <rPr>
            <sz val="11"/>
            <color theme="1"/>
            <rFont val="Calibri"/>
            <family val="2"/>
            <scheme val="minor"/>
          </rPr>
          <t>Average large-model input tokens.</t>
        </r>
      </text>
    </comment>
    <comment ref="B32" authorId="0" shapeId="0" xr:uid="{00000000-0006-0000-0400-000020000000}">
      <text>
        <r>
          <rPr>
            <sz val="11"/>
            <color theme="1"/>
            <rFont val="Calibri"/>
            <family val="2"/>
            <scheme val="minor"/>
          </rPr>
          <t>Average large-model output tokens.</t>
        </r>
      </text>
    </comment>
    <comment ref="B33" authorId="0" shapeId="0" xr:uid="{00000000-0006-0000-0400-000021000000}">
      <text>
        <r>
          <rPr>
            <sz val="11"/>
            <color theme="1"/>
            <rFont val="Calibri"/>
            <family val="2"/>
            <scheme val="minor"/>
          </rPr>
          <t>Input-token cache hit rate only where supported by the commercial arrangement.</t>
        </r>
      </text>
    </comment>
    <comment ref="B34" authorId="0" shapeId="0" xr:uid="{00000000-0006-0000-0400-000022000000}">
      <text>
        <r>
          <rPr>
            <sz val="11"/>
            <color theme="1"/>
            <rFont val="Calibri"/>
            <family val="2"/>
            <scheme val="minor"/>
          </rPr>
          <t>Extra input tokens for retrieval/tool payloads. Do not duplicate tokens already included in average input.</t>
        </r>
      </text>
    </comment>
    <comment ref="B36" authorId="0" shapeId="0" xr:uid="{00000000-0006-0000-0400-000023000000}">
      <text>
        <r>
          <rPr>
            <sz val="11"/>
            <color theme="1"/>
            <rFont val="Calibri"/>
            <family val="2"/>
            <scheme val="minor"/>
          </rPr>
          <t>Proposed/contracted price per 1M small-model input tokens.</t>
        </r>
      </text>
    </comment>
    <comment ref="B37" authorId="0" shapeId="0" xr:uid="{00000000-0006-0000-0400-000024000000}">
      <text>
        <r>
          <rPr>
            <sz val="11"/>
            <color theme="1"/>
            <rFont val="Calibri"/>
            <family val="2"/>
            <scheme val="minor"/>
          </rPr>
          <t>Proposed/contracted price per 1M small-model output tokens.</t>
        </r>
      </text>
    </comment>
    <comment ref="B38" authorId="0" shapeId="0" xr:uid="{00000000-0006-0000-0400-000025000000}">
      <text>
        <r>
          <rPr>
            <sz val="11"/>
            <color theme="1"/>
            <rFont val="Calibri"/>
            <family val="2"/>
            <scheme val="minor"/>
          </rPr>
          <t>Proposed/contracted price per 1M large-model input tokens.</t>
        </r>
      </text>
    </comment>
    <comment ref="B39" authorId="0" shapeId="0" xr:uid="{00000000-0006-0000-0400-000026000000}">
      <text>
        <r>
          <rPr>
            <sz val="11"/>
            <color theme="1"/>
            <rFont val="Calibri"/>
            <family val="2"/>
            <scheme val="minor"/>
          </rPr>
          <t>Proposed/contracted price per 1M large-model output tokens.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AMS RFP</author>
  </authors>
  <commentList>
    <comment ref="B5" authorId="0" shapeId="0" xr:uid="{00000000-0006-0000-0500-000001000000}">
      <text>
        <r>
          <rPr>
            <sz val="11"/>
            <color theme="1"/>
            <rFont val="Calibri"/>
            <family val="2"/>
            <scheme val="minor"/>
          </rPr>
          <t>Bidder input: enter the proposed rate/quantity in the units shown. If zero, explain the exclusion or non-applicability in Notes / Source.</t>
        </r>
      </text>
    </comment>
    <comment ref="D5" authorId="0" shapeId="0" xr:uid="{00000000-0006-0000-0500-000002000000}">
      <text>
        <r>
          <rPr>
            <sz val="11"/>
            <color theme="1"/>
            <rFont val="Calibri"/>
            <family val="2"/>
            <scheme val="minor"/>
          </rPr>
          <t>Provide pricing/source traceability: SKU or service tier, region, currency, effective date, contract/list basis, and relevant assumptions.</t>
        </r>
      </text>
    </comment>
    <comment ref="B6" authorId="0" shapeId="0" xr:uid="{00000000-0006-0000-0500-000003000000}">
      <text>
        <r>
          <rPr>
            <sz val="11"/>
            <color theme="1"/>
            <rFont val="Calibri"/>
            <family val="2"/>
            <scheme val="minor"/>
          </rPr>
          <t>Bidder input: enter the proposed rate/quantity in the units shown. If zero, explain the exclusion or non-applicability in Notes / Source.</t>
        </r>
      </text>
    </comment>
    <comment ref="D6" authorId="0" shapeId="0" xr:uid="{00000000-0006-0000-0500-000004000000}">
      <text>
        <r>
          <rPr>
            <sz val="11"/>
            <color theme="1"/>
            <rFont val="Calibri"/>
            <family val="2"/>
            <scheme val="minor"/>
          </rPr>
          <t>Provide pricing/source traceability: SKU or service tier, region, currency, effective date, contract/list basis, and relevant assumptions.</t>
        </r>
      </text>
    </comment>
    <comment ref="B7" authorId="0" shapeId="0" xr:uid="{00000000-0006-0000-0500-000005000000}">
      <text>
        <r>
          <rPr>
            <sz val="11"/>
            <color theme="1"/>
            <rFont val="Calibri"/>
            <family val="2"/>
            <scheme val="minor"/>
          </rPr>
          <t>Bidder input: enter the proposed rate/quantity in the units shown. If zero, explain the exclusion or non-applicability in Notes / Source.</t>
        </r>
      </text>
    </comment>
    <comment ref="D7" authorId="0" shapeId="0" xr:uid="{00000000-0006-0000-0500-000006000000}">
      <text>
        <r>
          <rPr>
            <sz val="11"/>
            <color theme="1"/>
            <rFont val="Calibri"/>
            <family val="2"/>
            <scheme val="minor"/>
          </rPr>
          <t>Provide pricing/source traceability: SKU or service tier, region, currency, effective date, contract/list basis, and relevant assumptions.</t>
        </r>
      </text>
    </comment>
    <comment ref="B8" authorId="0" shapeId="0" xr:uid="{00000000-0006-0000-0500-000007000000}">
      <text>
        <r>
          <rPr>
            <sz val="11"/>
            <color theme="1"/>
            <rFont val="Calibri"/>
            <family val="2"/>
            <scheme val="minor"/>
          </rPr>
          <t>Bidder input: enter the proposed rate/quantity in the units shown. If zero, explain the exclusion or non-applicability in Notes / Source.</t>
        </r>
      </text>
    </comment>
    <comment ref="D8" authorId="0" shapeId="0" xr:uid="{00000000-0006-0000-0500-000008000000}">
      <text>
        <r>
          <rPr>
            <sz val="11"/>
            <color theme="1"/>
            <rFont val="Calibri"/>
            <family val="2"/>
            <scheme val="minor"/>
          </rPr>
          <t>Provide pricing/source traceability: SKU or service tier, region, currency, effective date, contract/list basis, and relevant assumptions.</t>
        </r>
      </text>
    </comment>
    <comment ref="B9" authorId="0" shapeId="0" xr:uid="{00000000-0006-0000-0500-000009000000}">
      <text>
        <r>
          <rPr>
            <sz val="11"/>
            <color theme="1"/>
            <rFont val="Calibri"/>
            <family val="2"/>
            <scheme val="minor"/>
          </rPr>
          <t>Bidder input: enter the proposed rate/quantity in the units shown. If zero, explain the exclusion or non-applicability in Notes / Source.</t>
        </r>
      </text>
    </comment>
    <comment ref="D9" authorId="0" shapeId="0" xr:uid="{00000000-0006-0000-0500-00000A000000}">
      <text>
        <r>
          <rPr>
            <sz val="11"/>
            <color theme="1"/>
            <rFont val="Calibri"/>
            <family val="2"/>
            <scheme val="minor"/>
          </rPr>
          <t>Provide pricing/source traceability: SKU or service tier, region, currency, effective date, contract/list basis, and relevant assumptions.</t>
        </r>
      </text>
    </comment>
    <comment ref="B10" authorId="0" shapeId="0" xr:uid="{00000000-0006-0000-0500-00000B000000}">
      <text>
        <r>
          <rPr>
            <sz val="11"/>
            <color theme="1"/>
            <rFont val="Calibri"/>
            <family val="2"/>
            <scheme val="minor"/>
          </rPr>
          <t>Bidder input: enter the proposed rate/quantity in the units shown. If zero, explain the exclusion or non-applicability in Notes / Source.</t>
        </r>
      </text>
    </comment>
    <comment ref="D10" authorId="0" shapeId="0" xr:uid="{00000000-0006-0000-0500-00000C000000}">
      <text>
        <r>
          <rPr>
            <sz val="11"/>
            <color theme="1"/>
            <rFont val="Calibri"/>
            <family val="2"/>
            <scheme val="minor"/>
          </rPr>
          <t>Provide pricing/source traceability: SKU or service tier, region, currency, effective date, contract/list basis, and relevant assumptions.</t>
        </r>
      </text>
    </comment>
    <comment ref="B11" authorId="0" shapeId="0" xr:uid="{00000000-0006-0000-0500-00000D000000}">
      <text>
        <r>
          <rPr>
            <sz val="11"/>
            <color theme="1"/>
            <rFont val="Calibri"/>
            <family val="2"/>
            <scheme val="minor"/>
          </rPr>
          <t>Bidder input: enter the proposed rate/quantity in the units shown. If zero, explain the exclusion or non-applicability in Notes / Source.</t>
        </r>
      </text>
    </comment>
    <comment ref="D11" authorId="0" shapeId="0" xr:uid="{00000000-0006-0000-0500-00000E000000}">
      <text>
        <r>
          <rPr>
            <sz val="11"/>
            <color theme="1"/>
            <rFont val="Calibri"/>
            <family val="2"/>
            <scheme val="minor"/>
          </rPr>
          <t>Provide pricing/source traceability: SKU or service tier, region, currency, effective date, contract/list basis, and relevant assumptions.</t>
        </r>
      </text>
    </comment>
    <comment ref="B12" authorId="0" shapeId="0" xr:uid="{00000000-0006-0000-0500-00000F000000}">
      <text>
        <r>
          <rPr>
            <sz val="11"/>
            <color theme="1"/>
            <rFont val="Calibri"/>
            <family val="2"/>
            <scheme val="minor"/>
          </rPr>
          <t>Bidder input: enter the proposed rate/quantity in the units shown. If zero, explain the exclusion or non-applicability in Notes / Source.</t>
        </r>
      </text>
    </comment>
    <comment ref="D12" authorId="0" shapeId="0" xr:uid="{00000000-0006-0000-0500-000010000000}">
      <text>
        <r>
          <rPr>
            <sz val="11"/>
            <color theme="1"/>
            <rFont val="Calibri"/>
            <family val="2"/>
            <scheme val="minor"/>
          </rPr>
          <t>Provide pricing/source traceability: SKU or service tier, region, currency, effective date, contract/list basis, and relevant assumptions.</t>
        </r>
      </text>
    </comment>
    <comment ref="B13" authorId="0" shapeId="0" xr:uid="{00000000-0006-0000-0500-000011000000}">
      <text>
        <r>
          <rPr>
            <sz val="11"/>
            <color theme="1"/>
            <rFont val="Calibri"/>
            <family val="2"/>
            <scheme val="minor"/>
          </rPr>
          <t>Bidder input: enter the proposed rate/quantity in the units shown. If zero, explain the exclusion or non-applicability in Notes / Source.</t>
        </r>
      </text>
    </comment>
    <comment ref="D13" authorId="0" shapeId="0" xr:uid="{00000000-0006-0000-0500-000012000000}">
      <text>
        <r>
          <rPr>
            <sz val="11"/>
            <color theme="1"/>
            <rFont val="Calibri"/>
            <family val="2"/>
            <scheme val="minor"/>
          </rPr>
          <t>Provide pricing/source traceability: SKU or service tier, region, currency, effective date, contract/list basis, and relevant assumptions.</t>
        </r>
      </text>
    </comment>
    <comment ref="B14" authorId="0" shapeId="0" xr:uid="{00000000-0006-0000-0500-000013000000}">
      <text>
        <r>
          <rPr>
            <sz val="11"/>
            <color theme="1"/>
            <rFont val="Calibri"/>
            <family val="2"/>
            <scheme val="minor"/>
          </rPr>
          <t>Bidder input: enter the proposed rate/quantity in the units shown. If zero, explain the exclusion or non-applicability in Notes / Source.</t>
        </r>
      </text>
    </comment>
    <comment ref="D14" authorId="0" shapeId="0" xr:uid="{00000000-0006-0000-0500-000014000000}">
      <text>
        <r>
          <rPr>
            <sz val="11"/>
            <color theme="1"/>
            <rFont val="Calibri"/>
            <family val="2"/>
            <scheme val="minor"/>
          </rPr>
          <t>Provide pricing/source traceability: SKU or service tier, region, currency, effective date, contract/list basis, and relevant assumptions.</t>
        </r>
      </text>
    </comment>
    <comment ref="B15" authorId="0" shapeId="0" xr:uid="{00000000-0006-0000-0500-000015000000}">
      <text>
        <r>
          <rPr>
            <sz val="11"/>
            <color theme="1"/>
            <rFont val="Calibri"/>
            <family val="2"/>
            <scheme val="minor"/>
          </rPr>
          <t>Bidder input: enter the proposed rate/quantity in the units shown. If zero, explain the exclusion or non-applicability in Notes / Source.</t>
        </r>
      </text>
    </comment>
    <comment ref="D15" authorId="0" shapeId="0" xr:uid="{00000000-0006-0000-0500-000016000000}">
      <text>
        <r>
          <rPr>
            <sz val="11"/>
            <color theme="1"/>
            <rFont val="Calibri"/>
            <family val="2"/>
            <scheme val="minor"/>
          </rPr>
          <t>Provide pricing/source traceability: SKU or service tier, region, currency, effective date, contract/list basis, and relevant assumptions.</t>
        </r>
      </text>
    </comment>
    <comment ref="B16" authorId="0" shapeId="0" xr:uid="{00000000-0006-0000-0500-000017000000}">
      <text>
        <r>
          <rPr>
            <sz val="11"/>
            <color theme="1"/>
            <rFont val="Calibri"/>
            <family val="2"/>
            <scheme val="minor"/>
          </rPr>
          <t>Bidder input: enter the proposed rate/quantity in the units shown. If zero, explain the exclusion or non-applicability in Notes / Source.</t>
        </r>
      </text>
    </comment>
    <comment ref="D16" authorId="0" shapeId="0" xr:uid="{00000000-0006-0000-0500-000018000000}">
      <text>
        <r>
          <rPr>
            <sz val="11"/>
            <color theme="1"/>
            <rFont val="Calibri"/>
            <family val="2"/>
            <scheme val="minor"/>
          </rPr>
          <t>Provide pricing/source traceability: SKU or service tier, region, currency, effective date, contract/list basis, and relevant assumptions.</t>
        </r>
      </text>
    </comment>
    <comment ref="B17" authorId="0" shapeId="0" xr:uid="{00000000-0006-0000-0500-000019000000}">
      <text>
        <r>
          <rPr>
            <sz val="11"/>
            <color theme="1"/>
            <rFont val="Calibri"/>
            <family val="2"/>
            <scheme val="minor"/>
          </rPr>
          <t>Bidder input: enter the proposed rate/quantity in the units shown. If zero, explain the exclusion or non-applicability in Notes / Source.</t>
        </r>
      </text>
    </comment>
    <comment ref="D17" authorId="0" shapeId="0" xr:uid="{00000000-0006-0000-0500-00001A000000}">
      <text>
        <r>
          <rPr>
            <sz val="11"/>
            <color theme="1"/>
            <rFont val="Calibri"/>
            <family val="2"/>
            <scheme val="minor"/>
          </rPr>
          <t>Provide pricing/source traceability: SKU or service tier, region, currency, effective date, contract/list basis, and relevant assumptions.</t>
        </r>
      </text>
    </comment>
    <comment ref="B18" authorId="0" shapeId="0" xr:uid="{00000000-0006-0000-0500-00001B000000}">
      <text>
        <r>
          <rPr>
            <sz val="11"/>
            <color theme="1"/>
            <rFont val="Calibri"/>
            <family val="2"/>
            <scheme val="minor"/>
          </rPr>
          <t>Bidder input: enter the proposed rate/quantity in the units shown. If zero, explain the exclusion or non-applicability in Notes / Source.</t>
        </r>
      </text>
    </comment>
    <comment ref="D18" authorId="0" shapeId="0" xr:uid="{00000000-0006-0000-0500-00001C000000}">
      <text>
        <r>
          <rPr>
            <sz val="11"/>
            <color theme="1"/>
            <rFont val="Calibri"/>
            <family val="2"/>
            <scheme val="minor"/>
          </rPr>
          <t>Provide pricing/source traceability: SKU or service tier, region, currency, effective date, contract/list basis, and relevant assumptions.</t>
        </r>
      </text>
    </comment>
    <comment ref="B19" authorId="0" shapeId="0" xr:uid="{00000000-0006-0000-0500-00001D000000}">
      <text>
        <r>
          <rPr>
            <sz val="11"/>
            <color theme="1"/>
            <rFont val="Calibri"/>
            <family val="2"/>
            <scheme val="minor"/>
          </rPr>
          <t>Bidder input: enter the proposed rate/quantity in the units shown. If zero, explain the exclusion or non-applicability in Notes / Source.</t>
        </r>
      </text>
    </comment>
    <comment ref="D19" authorId="0" shapeId="0" xr:uid="{00000000-0006-0000-0500-00001E000000}">
      <text>
        <r>
          <rPr>
            <sz val="11"/>
            <color theme="1"/>
            <rFont val="Calibri"/>
            <family val="2"/>
            <scheme val="minor"/>
          </rPr>
          <t>Provide pricing/source traceability: SKU or service tier, region, currency, effective date, contract/list basis, and relevant assumptions.</t>
        </r>
      </text>
    </comment>
    <comment ref="B20" authorId="0" shapeId="0" xr:uid="{00000000-0006-0000-0500-00001F000000}">
      <text>
        <r>
          <rPr>
            <sz val="11"/>
            <color theme="1"/>
            <rFont val="Calibri"/>
            <family val="2"/>
            <scheme val="minor"/>
          </rPr>
          <t>Bidder input: enter the proposed rate/quantity in the units shown. If zero, explain the exclusion or non-applicability in Notes / Source.</t>
        </r>
      </text>
    </comment>
    <comment ref="D20" authorId="0" shapeId="0" xr:uid="{00000000-0006-0000-0500-000020000000}">
      <text>
        <r>
          <rPr>
            <sz val="11"/>
            <color theme="1"/>
            <rFont val="Calibri"/>
            <family val="2"/>
            <scheme val="minor"/>
          </rPr>
          <t>Provide pricing/source traceability: SKU or service tier, region, currency, effective date, contract/list basis, and relevant assumptions.</t>
        </r>
      </text>
    </comment>
    <comment ref="B21" authorId="0" shapeId="0" xr:uid="{00000000-0006-0000-0500-000021000000}">
      <text>
        <r>
          <rPr>
            <sz val="11"/>
            <color theme="1"/>
            <rFont val="Calibri"/>
            <family val="2"/>
            <scheme val="minor"/>
          </rPr>
          <t>Bidder input: enter the proposed rate/quantity in the units shown. If zero, explain the exclusion or non-applicability in Notes / Source.</t>
        </r>
      </text>
    </comment>
    <comment ref="D21" authorId="0" shapeId="0" xr:uid="{00000000-0006-0000-0500-000022000000}">
      <text>
        <r>
          <rPr>
            <sz val="11"/>
            <color theme="1"/>
            <rFont val="Calibri"/>
            <family val="2"/>
            <scheme val="minor"/>
          </rPr>
          <t>Provide pricing/source traceability: SKU or service tier, region, currency, effective date, contract/list basis, and relevant assumptions.</t>
        </r>
      </text>
    </comment>
    <comment ref="B22" authorId="0" shapeId="0" xr:uid="{00000000-0006-0000-0500-000023000000}">
      <text>
        <r>
          <rPr>
            <sz val="11"/>
            <color theme="1"/>
            <rFont val="Calibri"/>
            <family val="2"/>
            <scheme val="minor"/>
          </rPr>
          <t>Bidder input: enter the proposed rate/quantity in the units shown. If zero, explain the exclusion or non-applicability in Notes / Source.</t>
        </r>
      </text>
    </comment>
    <comment ref="D22" authorId="0" shapeId="0" xr:uid="{00000000-0006-0000-0500-000024000000}">
      <text>
        <r>
          <rPr>
            <sz val="11"/>
            <color theme="1"/>
            <rFont val="Calibri"/>
            <family val="2"/>
            <scheme val="minor"/>
          </rPr>
          <t>Provide pricing/source traceability: SKU or service tier, region, currency, effective date, contract/list basis, and relevant assumptions.</t>
        </r>
      </text>
    </comment>
    <comment ref="B23" authorId="0" shapeId="0" xr:uid="{00000000-0006-0000-0500-000025000000}">
      <text>
        <r>
          <rPr>
            <sz val="11"/>
            <color theme="1"/>
            <rFont val="Calibri"/>
            <family val="2"/>
            <scheme val="minor"/>
          </rPr>
          <t>Bidder input: enter the proposed rate/quantity in the units shown. If zero, explain the exclusion or non-applicability in Notes / Source.</t>
        </r>
      </text>
    </comment>
    <comment ref="D23" authorId="0" shapeId="0" xr:uid="{00000000-0006-0000-0500-000026000000}">
      <text>
        <r>
          <rPr>
            <sz val="11"/>
            <color theme="1"/>
            <rFont val="Calibri"/>
            <family val="2"/>
            <scheme val="minor"/>
          </rPr>
          <t>Provide pricing/source traceability: SKU or service tier, region, currency, effective date, contract/list basis, and relevant assumptions.</t>
        </r>
      </text>
    </comment>
    <comment ref="B24" authorId="0" shapeId="0" xr:uid="{00000000-0006-0000-0500-000027000000}">
      <text>
        <r>
          <rPr>
            <sz val="11"/>
            <color theme="1"/>
            <rFont val="Calibri"/>
            <family val="2"/>
            <scheme val="minor"/>
          </rPr>
          <t>Bidder input: enter the proposed rate/quantity in the units shown. If zero, explain the exclusion or non-applicability in Notes / Source.</t>
        </r>
      </text>
    </comment>
    <comment ref="D24" authorId="0" shapeId="0" xr:uid="{00000000-0006-0000-0500-000028000000}">
      <text>
        <r>
          <rPr>
            <sz val="11"/>
            <color theme="1"/>
            <rFont val="Calibri"/>
            <family val="2"/>
            <scheme val="minor"/>
          </rPr>
          <t>Provide pricing/source traceability: SKU or service tier, region, currency, effective date, contract/list basis, and relevant assumptions.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AMS RFP</author>
  </authors>
  <commentList>
    <comment ref="B5" authorId="0" shapeId="0" xr:uid="{00000000-0006-0000-0700-000001000000}">
      <text>
        <r>
          <rPr>
            <sz val="11"/>
            <color theme="1"/>
            <rFont val="Calibri"/>
            <family val="2"/>
            <scheme val="minor"/>
          </rPr>
          <t>Bidder input. Enter the proposed baseline or unit sized assumption and ensure it is not already included in another blended rate.</t>
        </r>
      </text>
    </comment>
    <comment ref="B6" authorId="0" shapeId="0" xr:uid="{00000000-0006-0000-0700-000002000000}">
      <text>
        <r>
          <rPr>
            <sz val="11"/>
            <color theme="1"/>
            <rFont val="Calibri"/>
            <family val="2"/>
            <scheme val="minor"/>
          </rPr>
          <t>Bidder input. Enter the proposed baseline or unit sized assumption and ensure it is not already included in another blended rate.</t>
        </r>
      </text>
    </comment>
    <comment ref="B7" authorId="0" shapeId="0" xr:uid="{00000000-0006-0000-0700-000003000000}">
      <text>
        <r>
          <rPr>
            <sz val="11"/>
            <color theme="1"/>
            <rFont val="Calibri"/>
            <family val="2"/>
            <scheme val="minor"/>
          </rPr>
          <t>Bidder input. Enter the proposed baseline or unit sized assumption and ensure it is not already included in another blended rate.</t>
        </r>
      </text>
    </comment>
    <comment ref="B8" authorId="0" shapeId="0" xr:uid="{00000000-0006-0000-0700-000004000000}">
      <text>
        <r>
          <rPr>
            <sz val="11"/>
            <color theme="1"/>
            <rFont val="Calibri"/>
            <family val="2"/>
            <scheme val="minor"/>
          </rPr>
          <t>Bidder input. Enter the proposed baseline or unit sized assumption and ensure it is not already included in another blended rate.</t>
        </r>
      </text>
    </comment>
    <comment ref="B9" authorId="0" shapeId="0" xr:uid="{00000000-0006-0000-0700-000005000000}">
      <text>
        <r>
          <rPr>
            <sz val="11"/>
            <color theme="1"/>
            <rFont val="Calibri"/>
            <family val="2"/>
            <scheme val="minor"/>
          </rPr>
          <t>Bidder input. Enter the proposed baseline or unit sized assumption and ensure it is not already included in another blended rate.</t>
        </r>
      </text>
    </comment>
    <comment ref="B10" authorId="0" shapeId="0" xr:uid="{00000000-0006-0000-0700-000006000000}">
      <text>
        <r>
          <rPr>
            <sz val="11"/>
            <color theme="1"/>
            <rFont val="Calibri"/>
            <family val="2"/>
            <scheme val="minor"/>
          </rPr>
          <t>Bidder input. Enter the proposed baseline or unit sized assumption and ensure it is not already included in another blended rate.</t>
        </r>
      </text>
    </comment>
    <comment ref="B11" authorId="0" shapeId="0" xr:uid="{00000000-0006-0000-0700-000007000000}">
      <text>
        <r>
          <rPr>
            <sz val="11"/>
            <color theme="1"/>
            <rFont val="Calibri"/>
            <family val="2"/>
            <scheme val="minor"/>
          </rPr>
          <t>Bidder input. Enter the proposed baseline or unit sized assumption and ensure it is not already included in another blended rate.</t>
        </r>
      </text>
    </comment>
    <comment ref="B12" authorId="0" shapeId="0" xr:uid="{00000000-0006-0000-0700-000008000000}">
      <text>
        <r>
          <rPr>
            <sz val="11"/>
            <color theme="1"/>
            <rFont val="Calibri"/>
            <family val="2"/>
            <scheme val="minor"/>
          </rPr>
          <t>Bidder input. Enter the proposed baseline or unit sized assumption and ensure it is not already included in another blended rate.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AMS RFP</author>
  </authors>
  <commentList>
    <comment ref="B4" authorId="0" shapeId="0" xr:uid="{00000000-0006-0000-0800-000001000000}">
      <text>
        <r>
          <rPr>
            <sz val="11"/>
            <color theme="1"/>
            <rFont val="Calibri"/>
            <family val="2"/>
            <scheme val="minor"/>
          </rPr>
          <t>Total steady-state operator FTEs included in the run-cost proposal.</t>
        </r>
      </text>
    </comment>
    <comment ref="B5" authorId="0" shapeId="0" xr:uid="{00000000-0006-0000-0800-000002000000}">
      <text>
        <r>
          <rPr>
            <sz val="11"/>
            <color theme="1"/>
            <rFont val="Calibri"/>
            <family val="2"/>
            <scheme val="minor"/>
          </rPr>
          <t>Fully loaded annual cost per FTE in the workbook currency.</t>
        </r>
      </text>
    </comment>
    <comment ref="B8" authorId="0" shapeId="0" xr:uid="{00000000-0006-0000-0800-000003000000}">
      <text>
        <r>
          <rPr>
            <sz val="11"/>
            <color theme="1"/>
            <rFont val="Calibri"/>
            <family val="2"/>
            <scheme val="minor"/>
          </rPr>
          <t>FTE allocation for AI &amp; Agent Operations.</t>
        </r>
      </text>
    </comment>
    <comment ref="B9" authorId="0" shapeId="0" xr:uid="{00000000-0006-0000-0800-000004000000}">
      <text>
        <r>
          <rPr>
            <sz val="11"/>
            <color theme="1"/>
            <rFont val="Calibri"/>
            <family val="2"/>
            <scheme val="minor"/>
          </rPr>
          <t>FTE allocation for Automation.</t>
        </r>
      </text>
    </comment>
    <comment ref="B10" authorId="0" shapeId="0" xr:uid="{00000000-0006-0000-0800-000005000000}">
      <text>
        <r>
          <rPr>
            <sz val="11"/>
            <color theme="1"/>
            <rFont val="Calibri"/>
            <family val="2"/>
            <scheme val="minor"/>
          </rPr>
          <t>FTE allocation for Observability.</t>
        </r>
      </text>
    </comment>
    <comment ref="B11" authorId="0" shapeId="0" xr:uid="{00000000-0006-0000-0800-000006000000}">
      <text>
        <r>
          <rPr>
            <sz val="11"/>
            <color theme="1"/>
            <rFont val="Calibri"/>
            <family val="2"/>
            <scheme val="minor"/>
          </rPr>
          <t>FTE allocation for ServiceNow.</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AMS RFP</author>
  </authors>
  <commentList>
    <comment ref="A1" authorId="0" shapeId="0" xr:uid="{00000000-0006-0000-0A00-000001000000}">
      <text>
        <r>
          <rPr>
            <sz val="11"/>
            <color theme="1"/>
            <rFont val="Calibri"/>
            <family val="2"/>
            <scheme val="minor"/>
          </rPr>
          <t>Formula-driven review sheet. Do not overwrite linked or calculated cells. Update the designated bidder-input sheets instead.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AMS RFP</author>
  </authors>
  <commentList>
    <comment ref="A1" authorId="0" shapeId="0" xr:uid="{00000000-0006-0000-0B00-000001000000}">
      <text>
        <r>
          <rPr>
            <sz val="11"/>
            <color theme="1"/>
            <rFont val="Calibri"/>
            <family val="2"/>
            <scheme val="minor"/>
          </rPr>
          <t>Formula-driven review sheet. Do not overwrite linked or calculated cells. Update the designated bidder-input sheets instead.</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AMS RFP</author>
  </authors>
  <commentList>
    <comment ref="A1" authorId="0" shapeId="0" xr:uid="{00000000-0006-0000-0C00-000001000000}">
      <text>
        <r>
          <rPr>
            <sz val="11"/>
            <color theme="1"/>
            <rFont val="Calibri"/>
            <family val="2"/>
            <scheme val="minor"/>
          </rPr>
          <t>Formula-driven review sheet. Do not overwrite linked or calculated cells. Update the designated bidder-input sheets instead.</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AMS RFP</author>
  </authors>
  <commentList>
    <comment ref="A1" authorId="0" shapeId="0" xr:uid="{00000000-0006-0000-0D00-000001000000}">
      <text>
        <r>
          <rPr>
            <sz val="11"/>
            <color theme="1"/>
            <rFont val="Calibri"/>
            <family val="2"/>
            <scheme val="minor"/>
          </rPr>
          <t>Formula-driven review sheet. Do not overwrite linked or calculated cells. Update the designated bidder-input sheets instead.</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AMS RFP</author>
  </authors>
  <commentList>
    <comment ref="A1" authorId="0" shapeId="0" xr:uid="{00000000-0006-0000-0E00-000001000000}">
      <text>
        <r>
          <rPr>
            <sz val="11"/>
            <color theme="1"/>
            <rFont val="Calibri"/>
            <family val="2"/>
            <scheme val="minor"/>
          </rPr>
          <t>Formula-driven review sheet. Do not overwrite linked or calculated cells. Update the designated bidder-input sheets instead.</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<sst xmlns="http://schemas.openxmlformats.org/spreadsheetml/2006/main" count="4276" uniqueCount="1316">
  <si>
    <t>AMS RFP | AI Agent Cost Estimator | Bidder Instructions</t>
  </si>
  <si>
    <t>Purpose: capture a consistent, auditable and comparable partner submission linking every AI-enabled AMS capability to demand, consumption, cost, benefit and supporting evidence, while retaining the existing normalized monthly cost model.</t>
  </si>
  <si>
    <t>1. NON-NEGOTIABLE SUBMISSION RULES</t>
  </si>
  <si>
    <t>1</t>
  </si>
  <si>
    <t>Use one unique Agent ID across AI_Agent_Inventory, Demand_Scenarios, AI_Consumption, Cost_Register and Benefits.</t>
  </si>
  <si>
    <t>2</t>
  </si>
  <si>
    <t>Enter data only in blue-font/yellow-fill cells. Do not overwrite formulas, linked cells, summaries, charts or controlled lists.</t>
  </si>
  <si>
    <t>3</t>
  </si>
  <si>
    <t>Provide all five scenarios: Minimum adoption, Expected case, High adoption, Peak/stress case and PepsiCo standard.</t>
  </si>
  <si>
    <t>4</t>
  </si>
  <si>
    <t>Use one reporting currency and disclose source, region, SKU/version, effective date, discount, markup, term, escalation and pricing validity.</t>
  </si>
  <si>
    <t>5</t>
  </si>
  <si>
    <t>Enter every cost once. Avoid duplication across Unit_Costs, Cost_Register, Infra_Sizing, Staffing, licenses, platform services and pass-through charges.</t>
  </si>
  <si>
    <t>6</t>
  </si>
  <si>
    <t>Explain required blanks, zero values, exclusions, dependencies, minimum commitments, optional items and PepsiCo-funded components.</t>
  </si>
  <si>
    <t>7</t>
  </si>
  <si>
    <t>Reference supporting document or artifact names, file links, pricing sources or attachment IDs in each Evidence Reference / Pricing Source field, and select the appropriate Input Source.</t>
  </si>
  <si>
    <t>8</t>
  </si>
  <si>
    <t>Retain all remaining worksheets, formulas, validations and sheet names. The hidden _Lists sheet must not be modified.</t>
  </si>
  <si>
    <t>2. REQUIRED COMPLETION SEQUENCE</t>
  </si>
  <si>
    <t>Step</t>
  </si>
  <si>
    <t>Sheet</t>
  </si>
  <si>
    <t>Primary owner</t>
  </si>
  <si>
    <t>Type</t>
  </si>
  <si>
    <t>What the bidder must enter or review</t>
  </si>
  <si>
    <t>Completion test</t>
  </si>
  <si>
    <t>Key control</t>
  </si>
  <si>
    <t>Partner Action</t>
  </si>
  <si>
    <t>AI_Agent_Inventory</t>
  </si>
  <si>
    <t>AI / solution lead</t>
  </si>
  <si>
    <t>Sheet within this document</t>
  </si>
  <si>
    <t>Enter one row per AI-enabled capability: identity, scope, status, autonomy, pattern, technology, complexity, instances, controls, ownership, hosting and evidence.</t>
  </si>
  <si>
    <t>Every proposed capability has one unique Agent ID.</t>
  </si>
  <si>
    <t>Reuse the Agent ID in every connected sheet.</t>
  </si>
  <si>
    <t>Input</t>
  </si>
  <si>
    <t>Demand_Scenarios</t>
  </si>
  <si>
    <t>Service / process owner</t>
  </si>
  <si>
    <t>Enter one row per Agent ID and scenario: trigger unit, eligible volume, adoption, executions, retries, outcomes, peak, concurrency, runtime, growth and rollout.</t>
  </si>
  <si>
    <t>All five scenarios exist for every priced capability.</t>
  </si>
  <si>
    <t>Enter percentages as rates, for example 25%, not 25.</t>
  </si>
  <si>
    <t>AI_Consumption</t>
  </si>
  <si>
    <t>AI architect / FinOps</t>
  </si>
  <si>
    <t>Enter one row per Agent ID, scenario and model/service: routing, calls, tokens, caching, retries, AI services, prices and commercial terms.</t>
  </si>
  <si>
    <t>Consumption and prices are traceable to design or evidence.</t>
  </si>
  <si>
    <t>Do not duplicate system prompt, retrieval/tool or retry consumption.</t>
  </si>
  <si>
    <t>Assumptions</t>
  </si>
  <si>
    <t>Estimator</t>
  </si>
  <si>
    <t>Complete normalized monthly timeline, rollout, adoption, workload, LLM behavior, token sizing and token prices.</t>
  </si>
  <si>
    <t>Inputs align with the proposed rollout and monthly model.</t>
  </si>
  <si>
    <t>Explain differences from Demand_Scenarios.</t>
  </si>
  <si>
    <t>Unit_Costs</t>
  </si>
  <si>
    <t>Platform / FinOps</t>
  </si>
  <si>
    <t>Enter normalized platform, data, observability and licensing rates in the units shown; complete Notes / Source.</t>
  </si>
  <si>
    <t>Rates use a consistent currency, region, SKU and pricing basis.</t>
  </si>
  <si>
    <t>Do not duplicate rates or costs in Cost_Register.</t>
  </si>
  <si>
    <t>Cost_Register</t>
  </si>
  <si>
    <t>Commercial / FinOps</t>
  </si>
  <si>
    <t>Enter each cost component once with one mandatory classification, charging basis, quantity, rate, frequency, inclusion, Years 1–5 quantities, source and evidence.</t>
  </si>
  <si>
    <t>Net rate and Years 1–5 costs reconcile to the offer.</t>
  </si>
  <si>
    <t>Do not overwrite formula columns; document shared-cost allocation.</t>
  </si>
  <si>
    <t>Input + formulas</t>
  </si>
  <si>
    <t>Infra_Sizing</t>
  </si>
  <si>
    <t>Cloud architect</t>
  </si>
  <si>
    <t>Enter baseline capacity, fixed/shared services and networking/security overhead for the monthly model.</t>
  </si>
  <si>
    <t>Capacity and environments match the architecture.</t>
  </si>
  <si>
    <t>Avoid costs already embedded in blended rates or Cost_Register.</t>
  </si>
  <si>
    <t>Staffing</t>
  </si>
  <si>
    <t>Service delivery lead</t>
  </si>
  <si>
    <t>Enter incremental operator FTEs, loaded cost and pod allocation, or document exclusion/inclusion in AMS.</t>
  </si>
  <si>
    <t>Pod allocation equals total FTEs and matches the service model.</t>
  </si>
  <si>
    <t>Do not duplicate labor included in another cost line.</t>
  </si>
  <si>
    <t>Input if applicable</t>
  </si>
  <si>
    <t>Benefits</t>
  </si>
  <si>
    <t>Value lead</t>
  </si>
  <si>
    <t>Enter measurable outcomes, baseline, target, formula, financial value, confidence, commitment, validation, dependencies and attribution control.</t>
  </si>
  <si>
    <t>Benefits are measurable and evidence-referenced.</t>
  </si>
  <si>
    <t>Prevent overlap across agents, towers and labor productivity.</t>
  </si>
  <si>
    <t>Supporting evidence</t>
  </si>
  <si>
    <t>Architecture / Risk / Commercial</t>
  </si>
  <si>
    <t>External RFP attachments / bidder repository</t>
  </si>
  <si>
    <t>Provide supporting architecture, pricing, delivery, control, operations and boundary artifacts outside this workbook; reference the exact document name, attachment ID or accessible link in each relevant Evidence Reference field.</t>
  </si>
  <si>
    <t>Every material Evidence Reference or Pricing Source points to a supplied artifact or authoritative source.</t>
  </si>
  <si>
    <t>Identify access restrictions, open gaps and resolution dates in Notes / Exclusions or the bidder response.</t>
  </si>
  <si>
    <t>Input / reference</t>
  </si>
  <si>
    <t>LLM_Calc / Observability</t>
  </si>
  <si>
    <t>Estimator / reviewers</t>
  </si>
  <si>
    <t>Review selected-month token, AI-service, logging and dashboard outputs.</t>
  </si>
  <si>
    <t>Outputs move logically with demand and unit rates.</t>
  </si>
  <si>
    <t>Do not type over formulas.</t>
  </si>
  <si>
    <t>Review only</t>
  </si>
  <si>
    <t>Model_Monthly / Summary / Charts</t>
  </si>
  <si>
    <t>Review the normalized monthly platform, run-cost, staffing and executive outputs.</t>
  </si>
  <si>
    <t>Monthly outputs reconcile to Assumptions, Unit_Costs, Infra_Sizing and Staffing.</t>
  </si>
  <si>
    <t>This remains the normalized monthly view.</t>
  </si>
  <si>
    <t>Five_Year_TCO</t>
  </si>
  <si>
    <t>Commercial lead + reviewers</t>
  </si>
  <si>
    <t>Review Years 1–5 cost by scenario/classification, benefit, net benefit, unit economics and variance to PepsiCo standard.</t>
  </si>
  <si>
    <t>Totals reconcile to Cost_Register, Benefits and the bid.</t>
  </si>
  <si>
    <t>Resolve material zero values and variances before submission.</t>
  </si>
  <si>
    <t>Final certification</t>
  </si>
  <si>
    <t>Authorized representative</t>
  </si>
  <si>
    <t>Recommendation for bidders</t>
  </si>
  <si>
    <t>Confirm formula visibility, completeness, availability status, exclusions, dependencies, ownership, portability, exit treatment and validity.</t>
  </si>
  <si>
    <t>Submission is complete and ready for normalization.</t>
  </si>
  <si>
    <t>Retain workbook structure and calculation lineage.</t>
  </si>
  <si>
    <t>Certification</t>
  </si>
  <si>
    <t>3. INPUT AND CALCULATION CONVENTIONS</t>
  </si>
  <si>
    <t>Blue font / yellow fill</t>
  </si>
  <si>
    <t>Bidder-editable input requiring completion or a documented non-applicability statement.</t>
  </si>
  <si>
    <t>Green fill / black font</t>
  </si>
  <si>
    <t>Formula-driven or linked cell. Do not overwrite.</t>
  </si>
  <si>
    <t>Asterisk (*)</t>
  </si>
  <si>
    <t>Mandatory field for a completed row.</t>
  </si>
  <si>
    <t>Shared costs</t>
  </si>
  <si>
    <t>Use Agent ID / Shared = Shared and explain the allocation method.</t>
  </si>
  <si>
    <t>Headless agents</t>
  </si>
  <si>
    <t>Use the documented trigger or invocation unit. Do not automatically equate trigger, execution, run and LLM call.</t>
  </si>
  <si>
    <t>Demand formula</t>
  </si>
  <si>
    <t>Annual executions = eligible monthly volume × eligible % × adoption % × executions per eligible unit × 12, with documented adjustments only.</t>
  </si>
  <si>
    <t>Net unit rate</t>
  </si>
  <si>
    <t>Gross unit rate × (1 − discount %) × (1 + partner markup %).</t>
  </si>
  <si>
    <t>Five-year cost</t>
  </si>
  <si>
    <t>Each year cost = that year quantity × net unit rate; Five-Year Cost = sum of Years 1–5.</t>
  </si>
  <si>
    <t>State baseline, target, formula, validation source, confidence, commitment, dependencies and overlap control.</t>
  </si>
  <si>
    <t>Unit economics</t>
  </si>
  <si>
    <t>Use the same scenario population and period in the cost numerator and volume/outcome denominator.</t>
  </si>
  <si>
    <t>4. FINAL RECONCILIATION CHECKLIST</t>
  </si>
  <si>
    <t>Agent IDs reconcile across AI_Agent_Inventory, Demand_Scenarios, AI_Consumption, Cost_Register and Benefits.</t>
  </si>
  <si>
    <t>All five scenarios are complete and the PepsiCo standard assumptions are not altered.</t>
  </si>
  <si>
    <t>Cost_Register totals reconcile to Five_Year_TCO and the commercial proposal.</t>
  </si>
  <si>
    <t>Benefits reconcile to Five_Year_TCO and include explicit overlap and attribution controls.</t>
  </si>
  <si>
    <t>Unit_Costs, Infra_Sizing, Staffing and Cost_Register do not duplicate the same cost.</t>
  </si>
  <si>
    <t>Model_Monthly, Summary and Charts remain consistent with the normalized monthly model.</t>
  </si>
  <si>
    <t>Mandatory components, licenses, minimum commitments, markups, exclusions, dependencies and exit charges are fully disclosed.</t>
  </si>
  <si>
    <t>Prototype and roadmap items are clearly classified and are not presented as production-available.</t>
  </si>
  <si>
    <t>AMS RFP | AI Agent Inventory</t>
  </si>
  <si>
    <t>BIDDER INPUT: One row per proposed AI-enabled capability. Use the same unique Agent ID in all technical, cost, benefit and evidence sheets.</t>
  </si>
  <si>
    <t>Agent ID*</t>
  </si>
  <si>
    <t>Agent Name*</t>
  </si>
  <si>
    <t>Description*</t>
  </si>
  <si>
    <t>AMS Tower*</t>
  </si>
  <si>
    <t>Application Scope*</t>
  </si>
  <si>
    <t>Business Process</t>
  </si>
  <si>
    <t>Use-case Category</t>
  </si>
  <si>
    <t>Supported Languages</t>
  </si>
  <si>
    <t>Capability Status*</t>
  </si>
  <si>
    <t>Autonomy*</t>
  </si>
  <si>
    <t>User/Headless*</t>
  </si>
  <si>
    <t>Agent Pattern*</t>
  </si>
  <si>
    <t>Technology*</t>
  </si>
  <si>
    <t>Complexity*</t>
  </si>
  <si>
    <t>Logical Agents</t>
  </si>
  <si>
    <t>Deployed Instances</t>
  </si>
  <si>
    <t>Markets / BUs</t>
  </si>
  <si>
    <t>Environments</t>
  </si>
  <si>
    <t>Systems Updated</t>
  </si>
  <si>
    <t>Human Approval Gate</t>
  </si>
  <si>
    <t>Kill Switch</t>
  </si>
  <si>
    <t>Rollback / Override</t>
  </si>
  <si>
    <t>Code Owner</t>
  </si>
  <si>
    <t>Prompt / Workflow Owner</t>
  </si>
  <si>
    <t>Data / Logs Owner</t>
  </si>
  <si>
    <t>Hosting Model</t>
  </si>
  <si>
    <t>Evidence Reference</t>
  </si>
  <si>
    <t>Assumption Source*</t>
  </si>
  <si>
    <t>Notes</t>
  </si>
  <si>
    <t>AMS RFP | Demand, Workload &amp; Adoption</t>
  </si>
  <si>
    <t>BIDDER INPUT: Provide one row per Agent ID and required scenario. “Trigger Unit” may be incidents, requests, alerts, deployments, test cases, interactions or API runs.</t>
  </si>
  <si>
    <t>Scenario*</t>
  </si>
  <si>
    <t>Trigger Unit*</t>
  </si>
  <si>
    <t>Eligible Monthly Volume*</t>
  </si>
  <si>
    <t>Eligible %*</t>
  </si>
  <si>
    <t>Adoption %*</t>
  </si>
  <si>
    <t>Executions / Eligible Unit*</t>
  </si>
  <si>
    <t>Retry %</t>
  </si>
  <si>
    <t>Peak Multiplier</t>
  </si>
  <si>
    <t>Concurrency</t>
  </si>
  <si>
    <t>Avg Runtime (min)</t>
  </si>
  <si>
    <t>Seasonality Factor</t>
  </si>
  <si>
    <t>Rollout Start Month</t>
  </si>
  <si>
    <t>Input Source*</t>
  </si>
  <si>
    <t>AMS RFP | LLM &amp; AI Services Consumption</t>
  </si>
  <si>
    <t>BIDDER INPUT: One row per Agent ID, scenario and model/service. Capture routing, fallback, caching and contracted pricing. Do not duplicate retrieval/tool tokens.</t>
  </si>
  <si>
    <t>Provider*</t>
  </si>
  <si>
    <t>Model / Service Name*</t>
  </si>
  <si>
    <t>Version / SKU</t>
  </si>
  <si>
    <t>Model Class*</t>
  </si>
  <si>
    <t>Primary / Fallback</t>
  </si>
  <si>
    <t>Hosting / Deployment</t>
  </si>
  <si>
    <t>Calls per Execution*</t>
  </si>
  <si>
    <t>Input Tokens / Call*</t>
  </si>
  <si>
    <t>Output Tokens / Call*</t>
  </si>
  <si>
    <t>System Prompt Tokens</t>
  </si>
  <si>
    <t>Retrieval / Tool Tokens</t>
  </si>
  <si>
    <t>Agent-to-Agent Exchanges</t>
  </si>
  <si>
    <t>Cache Hit %</t>
  </si>
  <si>
    <t>Unit Price Input / 1M</t>
  </si>
  <si>
    <t>Unit Price Output / 1M</t>
  </si>
  <si>
    <t>Other Unit Price</t>
  </si>
  <si>
    <t>Other Unit of Measure</t>
  </si>
  <si>
    <t>Currency*</t>
  </si>
  <si>
    <t>Region</t>
  </si>
  <si>
    <t>Effective Date</t>
  </si>
  <si>
    <t>Enterprise Discount %</t>
  </si>
  <si>
    <t>Partner Markup %</t>
  </si>
  <si>
    <t>Minimum Commitment</t>
  </si>
  <si>
    <t>Pricing Source / Evidence*</t>
  </si>
  <si>
    <t>Partner Model For Agent Cost Estimation</t>
  </si>
  <si>
    <t>Pepsi Agentic Operations – 18‑Month Operating &amp; Cost Model (Azure + LLM)</t>
  </si>
  <si>
    <t>BIDDER INPUT: Complete blue/yellow cells for timeline, build/adoption, workload, LLM behavior, token sizing, and token prices. Values must reflect the proposed AMS solution and be evidence-based.</t>
  </si>
  <si>
    <t>Timeline &amp; Scope</t>
  </si>
  <si>
    <t>Build Plan (override optional)</t>
  </si>
  <si>
    <t>Model start month</t>
  </si>
  <si>
    <t>(Edit)</t>
  </si>
  <si>
    <t>Quarter</t>
  </si>
  <si>
    <t>Agents built</t>
  </si>
  <si>
    <t>Months</t>
  </si>
  <si>
    <t>Months modeled</t>
  </si>
  <si>
    <t>Q1</t>
  </si>
  <si>
    <t>Workdays per month (avg)</t>
  </si>
  <si>
    <t>Q2</t>
  </si>
  <si>
    <t>Region / currency</t>
  </si>
  <si>
    <t>Q3</t>
  </si>
  <si>
    <t>Q4</t>
  </si>
  <si>
    <t>Agent Build &amp; Adoption</t>
  </si>
  <si>
    <t>Q5</t>
  </si>
  <si>
    <t>Starting agents in production (existing)</t>
  </si>
  <si>
    <t>Q6</t>
  </si>
  <si>
    <t>Agents built per quarter (avg)</t>
  </si>
  <si>
    <t>Ramp‑up: % of new agents active in month 1</t>
  </si>
  <si>
    <t>Total built (plan)</t>
  </si>
  <si>
    <t>Ramp‑up: % active in month 2</t>
  </si>
  <si>
    <t>Ramp‑up: % active in month 3+</t>
  </si>
  <si>
    <t>Retirement / deprecation (% of installed base per month)</t>
  </si>
  <si>
    <t>Workload (Tickets &amp; Agent Behavior)</t>
  </si>
  <si>
    <t>Tickets handled per active agent per workday</t>
  </si>
  <si>
    <t>Percent of tickets that are ‘self‑healing / automated fix’</t>
  </si>
  <si>
    <t>Reopens / follow‑ups (% of tickets generating extra work)</t>
  </si>
  <si>
    <t>Avg. minutes of agent runtime per ticket (compute)</t>
  </si>
  <si>
    <t>LLM Usage (Foundry / Azure OpenAI style pricing)</t>
  </si>
  <si>
    <t>LLM calls per ticket (small model)</t>
  </si>
  <si>
    <t>LLM calls per ticket (large / reasoning model)</t>
  </si>
  <si>
    <t>Avg input tokens per small call</t>
  </si>
  <si>
    <t>Avg output tokens per small call</t>
  </si>
  <si>
    <t>Avg input tokens per large call</t>
  </si>
  <si>
    <t>Avg output tokens per large call</t>
  </si>
  <si>
    <t>Cache hit rate on input tokens (if supported)</t>
  </si>
  <si>
    <t>Retrieval / tool tokens overhead per ticket (extra input tokens)</t>
  </si>
  <si>
    <t>Unit price – small model input ($/1M tokens)</t>
  </si>
  <si>
    <t>Unit price – small model output ($/1M tokens)</t>
  </si>
  <si>
    <t>Unit price – large model input ($/1M tokens)</t>
  </si>
  <si>
    <t>Unit price – large model output ($/1M tokens)</t>
  </si>
  <si>
    <t>Platform Unit Costs</t>
  </si>
  <si>
    <t>All Azure / tools unit costs are in the Unit_Costs tab (editable).</t>
  </si>
  <si>
    <t>Unit Costs &amp; Licensing (Azure / Tools) – editable</t>
  </si>
  <si>
    <t>BIDDER INPUT: Replace placeholders with proposed unit rates using the stated units. Complete Notes / Source with currency, region, SKU/tier, effective date, and pricing basis.</t>
  </si>
  <si>
    <t>Azure platform unit costs (replace with enterprise rates)</t>
  </si>
  <si>
    <t>Item</t>
  </si>
  <si>
    <t>Value</t>
  </si>
  <si>
    <t>Units</t>
  </si>
  <si>
    <t>Notes / Source</t>
  </si>
  <si>
    <t>AKS node cost (blended)</t>
  </si>
  <si>
    <t>$/node/month</t>
  </si>
  <si>
    <t>AKS nodes per 10 active agents (baseline)</t>
  </si>
  <si>
    <t>nodes / 10 agents</t>
  </si>
  <si>
    <t>Azure Functions executions per ticket</t>
  </si>
  <si>
    <t>exec / ticket</t>
  </si>
  <si>
    <t>Avg GB‑seconds per Function execution</t>
  </si>
  <si>
    <t>GB‑s / exec</t>
  </si>
  <si>
    <t>Functions price</t>
  </si>
  <si>
    <t>$ / 1M exec</t>
  </si>
  <si>
    <t>$ / GB‑s</t>
  </si>
  <si>
    <t>Functions monthly free grant</t>
  </si>
  <si>
    <t>executions</t>
  </si>
  <si>
    <t>GB‑seconds</t>
  </si>
  <si>
    <t>ADLS storage cost</t>
  </si>
  <si>
    <t>$ / GB‑month</t>
  </si>
  <si>
    <t>Data lake growth</t>
  </si>
  <si>
    <t>GB / 1,000 tickets</t>
  </si>
  <si>
    <t>Postgres vCore cost (blended)</t>
  </si>
  <si>
    <t>$ / vCore‑hr</t>
  </si>
  <si>
    <t>Postgres storage cost</t>
  </si>
  <si>
    <t>Postgres baseline vCores (prod+nonprod)</t>
  </si>
  <si>
    <t>vCores</t>
  </si>
  <si>
    <t>Postgres baseline storage</t>
  </si>
  <si>
    <t>GB</t>
  </si>
  <si>
    <t>Observability log ingest</t>
  </si>
  <si>
    <t>Splunk / log platform cost</t>
  </si>
  <si>
    <t>$ / GB ingested</t>
  </si>
  <si>
    <t>Grafana / dashboards fixed</t>
  </si>
  <si>
    <t>$ / month</t>
  </si>
  <si>
    <t>Power BI Pro licenses</t>
  </si>
  <si>
    <t>users</t>
  </si>
  <si>
    <t>Power BI Pro cost</t>
  </si>
  <si>
    <t>$ / user‑month</t>
  </si>
  <si>
    <t>AMS RFP | Detailed AI Cost Register</t>
  </si>
  <si>
    <t>BIDDER INPUT: One row per cost component. Assign exactly one mandatory classification. Net rates and annual costs are formula-driven. Avoid costs already captured in the original Unit_Costs model.</t>
  </si>
  <si>
    <t>Cost Line ID*</t>
  </si>
  <si>
    <t>Agent ID / Shared*</t>
  </si>
  <si>
    <t>Cost Component*</t>
  </si>
  <si>
    <t>Cost Category*</t>
  </si>
  <si>
    <t>Mandatory Classification*</t>
  </si>
  <si>
    <t>Charging Basis*</t>
  </si>
  <si>
    <t>Provider</t>
  </si>
  <si>
    <t>SKU / Version</t>
  </si>
  <si>
    <t>Environment</t>
  </si>
  <si>
    <t>Quantity*</t>
  </si>
  <si>
    <t>Unit of Measure*</t>
  </si>
  <si>
    <t>Gross Unit Rate*</t>
  </si>
  <si>
    <t>Discount %</t>
  </si>
  <si>
    <t>Net Unit Rate</t>
  </si>
  <si>
    <t>Frequency*</t>
  </si>
  <si>
    <t>Term Months</t>
  </si>
  <si>
    <t>Escalation %</t>
  </si>
  <si>
    <t>Inclusion*</t>
  </si>
  <si>
    <t>Year 1 Quantity</t>
  </si>
  <si>
    <t>Year 2 Quantity</t>
  </si>
  <si>
    <t>Year 3 Quantity</t>
  </si>
  <si>
    <t>Year 4 Quantity</t>
  </si>
  <si>
    <t>Year 5 Quantity</t>
  </si>
  <si>
    <t>Year 1 Cost</t>
  </si>
  <si>
    <t>Year 2 Cost</t>
  </si>
  <si>
    <t>Year 3 Cost</t>
  </si>
  <si>
    <t>Year 4 Cost</t>
  </si>
  <si>
    <t>Year 5 Cost</t>
  </si>
  <si>
    <t>Five-Year Cost</t>
  </si>
  <si>
    <t>Evidence Reference*</t>
  </si>
  <si>
    <t>Notes / Exclusions</t>
  </si>
  <si>
    <t>Infrastructure Sizing &amp; Baseline Inputs</t>
  </si>
  <si>
    <t>BIDDER INPUT: Complete baseline capacity, fixed platform services, and networking/security overhead. Include only in-scope environments and avoid double counting.</t>
  </si>
  <si>
    <t>Baseline platform volumes (editable)</t>
  </si>
  <si>
    <t>ADLS baseline storage (GB)</t>
  </si>
  <si>
    <t>Postgres extra storage growth (GB per 1,000 tickets)</t>
  </si>
  <si>
    <t>Azure Container Registry + artifacts fixed $/month</t>
  </si>
  <si>
    <t>API Management / gateway fixed $/month</t>
  </si>
  <si>
    <t>Service Bus / Event Hubs fixed $/month</t>
  </si>
  <si>
    <t>Key Vault + secrets fixed $/month</t>
  </si>
  <si>
    <t>Azure Monitor / Log Analytics fixed $/month</t>
  </si>
  <si>
    <t>Networking &amp; security overhead (% of Azure compute+data)</t>
  </si>
  <si>
    <t>Derived sizing (read‑only)</t>
  </si>
  <si>
    <t>AKS nodes needed (from monthly model)</t>
  </si>
  <si>
    <t>Staffing (Optional) – Operator Team</t>
  </si>
  <si>
    <t>BIDDER INPUT IF IN SCOPE: Enter total operator FTEs, loaded annual cost, and pod allocation. If staffing is excluded, keep cost at zero and document the exclusion.</t>
  </si>
  <si>
    <t>Team structure (editable)</t>
  </si>
  <si>
    <t>Total operator FTEs</t>
  </si>
  <si>
    <t>Loaded cost per FTE per year ($)</t>
  </si>
  <si>
    <t>Pod</t>
  </si>
  <si>
    <t>FTEs</t>
  </si>
  <si>
    <t>Role focus</t>
  </si>
  <si>
    <t>AI &amp; Agent Ops</t>
  </si>
  <si>
    <t>Agent runtime, prompt/skill ops, safe-guarding</t>
  </si>
  <si>
    <t>Automation</t>
  </si>
  <si>
    <t>Scripted automations, runbooks, orchestration</t>
  </si>
  <si>
    <t>Observability</t>
  </si>
  <si>
    <t>Dashboards, logging, alerting, SRE practices</t>
  </si>
  <si>
    <t>ServiceNow</t>
  </si>
  <si>
    <t>Incident/request flows, catalog, knowledge mgmt</t>
  </si>
  <si>
    <t>Total</t>
  </si>
  <si>
    <t>Derived cost (read‑only)</t>
  </si>
  <si>
    <t>Monthly staffing cost</t>
  </si>
  <si>
    <t>AMS RFP | Business Value &amp; Productivity</t>
  </si>
  <si>
    <t>BIDDER INPUT: One row per Agent ID, scenario and measurable outcome. Document baseline, formula, dependencies and evidence. Do not double count overlapping benefits.</t>
  </si>
  <si>
    <t>Benefit ID*</t>
  </si>
  <si>
    <t>KPI / Outcome*</t>
  </si>
  <si>
    <t>Baseline Value*</t>
  </si>
  <si>
    <t>Baseline Unit*</t>
  </si>
  <si>
    <t>Baseline Date / Source*</t>
  </si>
  <si>
    <t>Target Value*</t>
  </si>
  <si>
    <t>Target Unit*</t>
  </si>
  <si>
    <t>Benefit Formula / Method*</t>
  </si>
  <si>
    <t>Monthly Volume</t>
  </si>
  <si>
    <t>Hours Released</t>
  </si>
  <si>
    <t>Capacity Avoided (FTE)</t>
  </si>
  <si>
    <t>Cashable Savings Y1</t>
  </si>
  <si>
    <t>Noncashable Productivity Y1</t>
  </si>
  <si>
    <t>Cost Avoidance Y1</t>
  </si>
  <si>
    <t>One-time Benefit</t>
  </si>
  <si>
    <t>Recurring Benefit Y1</t>
  </si>
  <si>
    <t>Confidence*</t>
  </si>
  <si>
    <t>Commitment Level*</t>
  </si>
  <si>
    <t>Measurement System*</t>
  </si>
  <si>
    <t>Accountable Owner*</t>
  </si>
  <si>
    <t>Acceptance Threshold</t>
  </si>
  <si>
    <t>Dependency / PepsiCo Action</t>
  </si>
  <si>
    <t>Overlap / Attribution Control</t>
  </si>
  <si>
    <t>LLM Usage &amp; Cost Calculator (linked to monthly model)</t>
  </si>
  <si>
    <t>REVIEW ONLY: Formula-driven LLM usage and cost view. Do not overwrite. Confirm selected-month outputs align with Assumptions and Model_Monthly.</t>
  </si>
  <si>
    <t>Per‑ticket assumptions (from Assumptions tab)</t>
  </si>
  <si>
    <t>Small calls per ticket</t>
  </si>
  <si>
    <t>Large calls per ticket</t>
  </si>
  <si>
    <t>Small input tokens per call</t>
  </si>
  <si>
    <t>Small output tokens per call</t>
  </si>
  <si>
    <t>Large input tokens per call</t>
  </si>
  <si>
    <t>Large output tokens per call</t>
  </si>
  <si>
    <t>Cache hit rate</t>
  </si>
  <si>
    <t>Retrieval/tool overhead per ticket (input tokens)</t>
  </si>
  <si>
    <t>Small input price ($/1M)</t>
  </si>
  <si>
    <t>Small output price ($/1M)</t>
  </si>
  <si>
    <t>Large input price ($/1M)</t>
  </si>
  <si>
    <t>Large output price ($/1M)</t>
  </si>
  <si>
    <t>Monthly totals (from Model_Monthly)</t>
  </si>
  <si>
    <t>Metric</t>
  </si>
  <si>
    <t>Month 1</t>
  </si>
  <si>
    <t>Month 6</t>
  </si>
  <si>
    <t>Month 12</t>
  </si>
  <si>
    <t>Month 18</t>
  </si>
  <si>
    <t>Tickets (incl reopens)</t>
  </si>
  <si>
    <t>#</t>
  </si>
  <si>
    <t>Small model tokens (in+out)</t>
  </si>
  <si>
    <t>tokens</t>
  </si>
  <si>
    <t>Large model tokens (in+out)</t>
  </si>
  <si>
    <t>Total LLM cost</t>
  </si>
  <si>
    <t>$</t>
  </si>
  <si>
    <t>Avg LLM cost per ticket</t>
  </si>
  <si>
    <t>$ / ticket</t>
  </si>
  <si>
    <t>Observability, Dashboarding &amp; Tools (linked to model)</t>
  </si>
  <si>
    <t>REVIEW ONLY: Formula-driven observability and BI costs. Do not overwrite. Confirm outputs reconcile to Unit_Costs and monthly demand.</t>
  </si>
  <si>
    <t>Unit assumptions (from Assumptions tab)</t>
  </si>
  <si>
    <t>Splunk/log cost ($/GB ingested)</t>
  </si>
  <si>
    <t>Grafana fixed ($/month)</t>
  </si>
  <si>
    <t>Power BI Pro users</t>
  </si>
  <si>
    <t>Power BI Pro $/user/month</t>
  </si>
  <si>
    <t>Monthly costs (selected months)</t>
  </si>
  <si>
    <t>M1</t>
  </si>
  <si>
    <t>M6</t>
  </si>
  <si>
    <t>M12</t>
  </si>
  <si>
    <t>M18</t>
  </si>
  <si>
    <t>Logs ingested</t>
  </si>
  <si>
    <t>Splunk/log cost</t>
  </si>
  <si>
    <t>Grafana fixed</t>
  </si>
  <si>
    <t>Power BI</t>
  </si>
  <si>
    <t>Total obs &amp; BI</t>
  </si>
  <si>
    <t>PEP DEVX Model For Agent Cost Estimation</t>
  </si>
  <si>
    <t>Agents &amp; Ticket Volumes</t>
  </si>
  <si>
    <t>Year1</t>
  </si>
  <si>
    <t>Y</t>
  </si>
  <si>
    <t>Year 2</t>
  </si>
  <si>
    <t>Year 3</t>
  </si>
  <si>
    <t>Year 4</t>
  </si>
  <si>
    <t>Year 5</t>
  </si>
  <si>
    <t>New agents built (this month)</t>
  </si>
  <si>
    <t>Installed agents (end of month)</t>
  </si>
  <si>
    <t>Active agents (effective)</t>
  </si>
  <si>
    <t>Tickets handled (base)</t>
  </si>
  <si>
    <t>Tickets incl. reopens/follow‑ups</t>
  </si>
  <si>
    <t>Tickets that are self‑healing (subset)</t>
  </si>
  <si>
    <t>LLM calls – small model</t>
  </si>
  <si>
    <t>LLM calls – large/reasoning model</t>
  </si>
  <si>
    <t>LLM Tokens</t>
  </si>
  <si>
    <t>Small model input tokens</t>
  </si>
  <si>
    <t>Small model output tokens</t>
  </si>
  <si>
    <t>Large model input tokens</t>
  </si>
  <si>
    <t>Large model output tokens</t>
  </si>
  <si>
    <t>Total tokens (all models)</t>
  </si>
  <si>
    <t>Translated to yearly estimation</t>
  </si>
  <si>
    <t>Assumption</t>
  </si>
  <si>
    <t>Approximation of ticket hanlded per month</t>
  </si>
  <si>
    <t>as this are headless agents, number of tickets handled would be equivalent to agent invocation not necessarily runs</t>
  </si>
  <si>
    <t>AISP Infra (monthly)</t>
  </si>
  <si>
    <t>Preferred Deployment Model</t>
  </si>
  <si>
    <t>Hybrid</t>
  </si>
  <si>
    <t>Foundation Support Level</t>
  </si>
  <si>
    <t>High</t>
  </si>
  <si>
    <t>Monthly Premium Support run cost</t>
  </si>
  <si>
    <t>Token consumption (LLM and Usage) (Monthly)</t>
  </si>
  <si>
    <t>Estimation of LLM call per month based on ticket trigger</t>
  </si>
  <si>
    <t>Per agent 15 LLM calls</t>
  </si>
  <si>
    <t>Average Queries(LLM calls) Per Day Per User</t>
  </si>
  <si>
    <t>LLM calls per day = queries per day as ticket would be invoking agent (Estimation of LLM calls/30)</t>
  </si>
  <si>
    <t>Average Number of Users Per Day</t>
  </si>
  <si>
    <t>we can assume 1 as we have covered everything in queries</t>
  </si>
  <si>
    <t>Average Input Tokens Per Query</t>
  </si>
  <si>
    <t>Average Output Tokens Per Response</t>
  </si>
  <si>
    <t xml:space="preserve">System Prompt Tokens per call </t>
  </si>
  <si>
    <t>Monthly Token consumption Run cost</t>
  </si>
  <si>
    <t>Knowledge Base (Monthly)</t>
  </si>
  <si>
    <t>Size of Knowledge base</t>
  </si>
  <si>
    <t>\]</t>
  </si>
  <si>
    <t>10GB</t>
  </si>
  <si>
    <t>Context token per query</t>
  </si>
  <si>
    <t>Removed web search cost as this is for only SOP embeddings</t>
  </si>
  <si>
    <t>Monthly KB Run cost</t>
  </si>
  <si>
    <t>Multimedia Processing (Monthly)</t>
  </si>
  <si>
    <t>No MM processing</t>
  </si>
  <si>
    <t>Agentic Features (Monthly)</t>
  </si>
  <si>
    <t>Number of Monthly Domain Agent Runs</t>
  </si>
  <si>
    <t>Assumption every ticket would need 3 runs</t>
  </si>
  <si>
    <t>Average Agent Interactions per Query</t>
  </si>
  <si>
    <t>Average Input Tokens (System prompt, Context, User Prompt)</t>
  </si>
  <si>
    <t>Total token consumption/workflow runs</t>
  </si>
  <si>
    <t>Average Output Tokens</t>
  </si>
  <si>
    <t>Run cost (monthly)</t>
  </si>
  <si>
    <t>Total run cost Monthly</t>
  </si>
  <si>
    <t>LLM Cost</t>
  </si>
  <si>
    <t>Small model cost</t>
  </si>
  <si>
    <t>Large model cost</t>
  </si>
  <si>
    <t>Compute &amp; Data Platform</t>
  </si>
  <si>
    <t>Indicative AKS cost</t>
  </si>
  <si>
    <t>AKS nodes (estimated)</t>
  </si>
  <si>
    <t>AKS cost</t>
  </si>
  <si>
    <t>Functions executions</t>
  </si>
  <si>
    <t>Functions GB‑seconds</t>
  </si>
  <si>
    <t>GB‑s</t>
  </si>
  <si>
    <t>Functions cost</t>
  </si>
  <si>
    <t>ADLS storage (end of month)</t>
  </si>
  <si>
    <t>Postgres vCore‑hours</t>
  </si>
  <si>
    <t>vCore‑hrs</t>
  </si>
  <si>
    <t>Postgres compute cost</t>
  </si>
  <si>
    <t>Postgres storage (end of month)</t>
  </si>
  <si>
    <t>Other Azure fixed services</t>
  </si>
  <si>
    <t>Networking &amp; security overhead</t>
  </si>
  <si>
    <t>Observability &amp; BI</t>
  </si>
  <si>
    <t>Logs ingested (GB)</t>
  </si>
  <si>
    <t>Power BI licenses cost</t>
  </si>
  <si>
    <t>Total observability &amp; BI</t>
  </si>
  <si>
    <t>Totals</t>
  </si>
  <si>
    <t>Total platform cost (ex‑labor)</t>
  </si>
  <si>
    <t>Staffing cost (optional)</t>
  </si>
  <si>
    <t>Total incl. staffing</t>
  </si>
  <si>
    <t>PRIMARY SUMMARY | REVIEW ONLY: This sheet must be populated by formulas from Assumptions, Unit_Costs, Infra_Sizing, Staffing, and supporting calculations. Do not manually enter values in calculated cells.</t>
  </si>
  <si>
    <t>Charts</t>
  </si>
  <si>
    <t>REVIEW ONLY: Charts are linked to Summary. Do not change source ranges or manually overwrite linked data.</t>
  </si>
  <si>
    <t>Charts are linked to the Summary sheet.</t>
  </si>
  <si>
    <t>Executive Summary (Monthly)</t>
  </si>
  <si>
    <t>EXECUTIVE REVIEW ONLY: Simplified output linked to Model_Monthly. Do not overwrite formulas. Confirm monthly totals reconcile to the primary summary.</t>
  </si>
  <si>
    <t>Month</t>
  </si>
  <si>
    <t>Active agents</t>
  </si>
  <si>
    <t>Tickets</t>
  </si>
  <si>
    <t>LLM cost</t>
  </si>
  <si>
    <t>ADLS cost</t>
  </si>
  <si>
    <t>Postgres cost</t>
  </si>
  <si>
    <t>Obs &amp; BI</t>
  </si>
  <si>
    <t>Other+Overhead</t>
  </si>
  <si>
    <t>Platform ex-labor</t>
  </si>
  <si>
    <t>Total incl staffing</t>
  </si>
  <si>
    <t>AMS RFP | Five-Year TCO &amp; Value Summary</t>
  </si>
  <si>
    <t>FORMULA-DRIVEN REVIEW: Consolidates the AI Cost Register and Benefits by required scenario and mandatory classification. Do not overwrite formula cells.</t>
  </si>
  <si>
    <t>Scenario</t>
  </si>
  <si>
    <t>Cost Classification</t>
  </si>
  <si>
    <t>Year 1</t>
  </si>
  <si>
    <t>Five-Year TCO</t>
  </si>
  <si>
    <t>Y1 Benefit</t>
  </si>
  <si>
    <t>Five-Year Benefit</t>
  </si>
  <si>
    <t>Net Benefit</t>
  </si>
  <si>
    <t>Variance vs PepsiCo Standard</t>
  </si>
  <si>
    <t>Minimum adoption</t>
  </si>
  <si>
    <t>One-time</t>
  </si>
  <si>
    <t>Recurring fixed</t>
  </si>
  <si>
    <t>Recurring variable</t>
  </si>
  <si>
    <t>Pass-through</t>
  </si>
  <si>
    <t>Optional</t>
  </si>
  <si>
    <t>PepsiCo-funded</t>
  </si>
  <si>
    <t>Change/lifecycle</t>
  </si>
  <si>
    <t>Exit-related</t>
  </si>
  <si>
    <t>TOTAL</t>
  </si>
  <si>
    <t>Expected case</t>
  </si>
  <si>
    <t>High adoption</t>
  </si>
  <si>
    <t>Peak/stress case</t>
  </si>
  <si>
    <t>PepsiCo standard</t>
  </si>
  <si>
    <t>AgentStatus</t>
  </si>
  <si>
    <t>Autonomy</t>
  </si>
  <si>
    <t>SolutionType</t>
  </si>
  <si>
    <t>AgentPattern</t>
  </si>
  <si>
    <t>Technology</t>
  </si>
  <si>
    <t>Complexity</t>
  </si>
  <si>
    <t>YesNo</t>
  </si>
  <si>
    <t>InputSource</t>
  </si>
  <si>
    <t>CostClass</t>
  </si>
  <si>
    <t>ChargingBasis</t>
  </si>
  <si>
    <t>Frequency</t>
  </si>
  <si>
    <t>Inclusion</t>
  </si>
  <si>
    <t>Confidence</t>
  </si>
  <si>
    <t>EvidenceType</t>
  </si>
  <si>
    <t>Currency</t>
  </si>
  <si>
    <t>Hosting</t>
  </si>
  <si>
    <t>ModelClass</t>
  </si>
  <si>
    <t>Owner</t>
  </si>
  <si>
    <t>ValidationStatus</t>
  </si>
  <si>
    <t>Production-proven</t>
  </si>
  <si>
    <t>Assistive</t>
  </si>
  <si>
    <t>User-facing</t>
  </si>
  <si>
    <t>Single-agent</t>
  </si>
  <si>
    <t>Deterministic automation</t>
  </si>
  <si>
    <t>Simple</t>
  </si>
  <si>
    <t>Yes</t>
  </si>
  <si>
    <t>PepsiCo-provided</t>
  </si>
  <si>
    <t>Included in AMS fee</t>
  </si>
  <si>
    <t>Included in base AMS fee</t>
  </si>
  <si>
    <t>Actual</t>
  </si>
  <si>
    <t>Architecture</t>
  </si>
  <si>
    <t>USD</t>
  </si>
  <si>
    <t>Development</t>
  </si>
  <si>
    <t>PepsiCo-hosted</t>
  </si>
  <si>
    <t>Small</t>
  </si>
  <si>
    <t>PepsiCo</t>
  </si>
  <si>
    <t>Not started</t>
  </si>
  <si>
    <t>Configurable existing capability</t>
  </si>
  <si>
    <t>Recommendation-based</t>
  </si>
  <si>
    <t>Headless</t>
  </si>
  <si>
    <t>Multi-agent</t>
  </si>
  <si>
    <t>GenAI</t>
  </si>
  <si>
    <t>Medium</t>
  </si>
  <si>
    <t>No</t>
  </si>
  <si>
    <t>Partner-estimated</t>
  </si>
  <si>
    <t>Per agent</t>
  </si>
  <si>
    <t>Monthly</t>
  </si>
  <si>
    <t>Separately priced</t>
  </si>
  <si>
    <t>Production reference</t>
  </si>
  <si>
    <t>Commercial evidence</t>
  </si>
  <si>
    <t>MXN</t>
  </si>
  <si>
    <t>Test</t>
  </si>
  <si>
    <t>Partner-hosted</t>
  </si>
  <si>
    <t>Large</t>
  </si>
  <si>
    <t>Partner</t>
  </si>
  <si>
    <t>In progress</t>
  </si>
  <si>
    <t>Reusable accelerator</t>
  </si>
  <si>
    <t>Human-approved execution</t>
  </si>
  <si>
    <t>Domain agent</t>
  </si>
  <si>
    <t>Agentic AI</t>
  </si>
  <si>
    <t>Complex</t>
  </si>
  <si>
    <t>N/A</t>
  </si>
  <si>
    <t>Benchmark-based</t>
  </si>
  <si>
    <t>Per sprint</t>
  </si>
  <si>
    <t>Quarterly</t>
  </si>
  <si>
    <t>Benchmark</t>
  </si>
  <si>
    <t>Delivery evidence</t>
  </si>
  <si>
    <t>EUR</t>
  </si>
  <si>
    <t>QA</t>
  </si>
  <si>
    <t>SaaS</t>
  </si>
  <si>
    <t>Reasoning</t>
  </si>
  <si>
    <t>Third party</t>
  </si>
  <si>
    <t>Complete</t>
  </si>
  <si>
    <t>Net-new build</t>
  </si>
  <si>
    <t>Bounded autonomous execution</t>
  </si>
  <si>
    <t>Supervisor agent</t>
  </si>
  <si>
    <t>Blended</t>
  </si>
  <si>
    <t>Highly complex</t>
  </si>
  <si>
    <t>Contract rate</t>
  </si>
  <si>
    <t>Per change</t>
  </si>
  <si>
    <t>Annual</t>
  </si>
  <si>
    <t>Estimated</t>
  </si>
  <si>
    <t>Control evidence</t>
  </si>
  <si>
    <t>GBP</t>
  </si>
  <si>
    <t>Staging</t>
  </si>
  <si>
    <t>Embedding</t>
  </si>
  <si>
    <t>Joint</t>
  </si>
  <si>
    <t>Exception</t>
  </si>
  <si>
    <t>Optional item</t>
  </si>
  <si>
    <t>Autonomous within defined controls</t>
  </si>
  <si>
    <t>Orchestration agent</t>
  </si>
  <si>
    <t>List price</t>
  </si>
  <si>
    <t>Per hour</t>
  </si>
  <si>
    <t>Usage-based</t>
  </si>
  <si>
    <t>Targeted</t>
  </si>
  <si>
    <t>Operations evidence</t>
  </si>
  <si>
    <t>INR</t>
  </si>
  <si>
    <t>Production</t>
  </si>
  <si>
    <t>Reranking</t>
  </si>
  <si>
    <t>To be determined</t>
  </si>
  <si>
    <t>Prototype</t>
  </si>
  <si>
    <t>Utility agent</t>
  </si>
  <si>
    <t>Assumption requiring validation</t>
  </si>
  <si>
    <t>Consumption-based</t>
  </si>
  <si>
    <t>Contractually committed</t>
  </si>
  <si>
    <t>Boundary evidence</t>
  </si>
  <si>
    <t>BRL</t>
  </si>
  <si>
    <t>DR</t>
  </si>
  <si>
    <t>Multimodal</t>
  </si>
  <si>
    <t>Roadmap feature</t>
  </si>
  <si>
    <t>Separate project</t>
  </si>
  <si>
    <t>CAD</t>
  </si>
  <si>
    <t>Shared</t>
  </si>
  <si>
    <t>Monthly Growth % *</t>
  </si>
  <si>
    <t>Human Escalation % *</t>
  </si>
  <si>
    <t>Autonomous Resolution % *</t>
  </si>
  <si>
    <t>Success % *</t>
  </si>
  <si>
    <t>Retry % *</t>
  </si>
  <si>
    <t>Other(s)</t>
  </si>
  <si>
    <t>USD | US benchmark; validate Azure region and enterprise agreement</t>
  </si>
  <si>
    <t>AIA-001</t>
  </si>
  <si>
    <t>Incident Triage Copilot</t>
  </si>
  <si>
    <t>Classifies, enriches and routes incidents using service context and knowledge.</t>
  </si>
  <si>
    <t>Service Desk</t>
  </si>
  <si>
    <t>Enterprise applications</t>
  </si>
  <si>
    <t>Incident management</t>
  </si>
  <si>
    <t>Triage and routing</t>
  </si>
  <si>
    <t>English, French, Spanish</t>
  </si>
  <si>
    <t>UK, EMEA, India</t>
  </si>
  <si>
    <t>Development, Test, Production</t>
  </si>
  <si>
    <t>Assignment group override</t>
  </si>
  <si>
    <t>Architecture Pack AP-01; Control Matrix CM-01</t>
  </si>
  <si>
    <t>Human approval required for priority and resolver changes.</t>
  </si>
  <si>
    <t>AIA-002</t>
  </si>
  <si>
    <t>Safe Auto-Remediation Agent</t>
  </si>
  <si>
    <t>Executes approved runbooks for repeatable infrastructure and application faults.</t>
  </si>
  <si>
    <t>Cloud &amp; Infrastructure</t>
  </si>
  <si>
    <t>Azure and hosted applications</t>
  </si>
  <si>
    <t>Incident resolution</t>
  </si>
  <si>
    <t>Self-healing</t>
  </si>
  <si>
    <t>English</t>
  </si>
  <si>
    <t>Development, Test, Production, DR</t>
  </si>
  <si>
    <t>Azure, ServiceNow</t>
  </si>
  <si>
    <t>Runbook rollback and manual stop</t>
  </si>
  <si>
    <t>Architecture Pack AP-02; Runbook Catalogue RC-01</t>
  </si>
  <si>
    <t>Only allow-listed actions; privileged access via managed identity.</t>
  </si>
  <si>
    <t>AIA-003</t>
  </si>
  <si>
    <t>Knowledge Resolution Copilot</t>
  </si>
  <si>
    <t>Retrieves governed knowledge and drafts resolution guidance with citations.</t>
  </si>
  <si>
    <t>Knowledge management</t>
  </si>
  <si>
    <t>Knowledge search and answer</t>
  </si>
  <si>
    <t>ServiceNow, SharePoint</t>
  </si>
  <si>
    <t>Discard response and use standard search</t>
  </si>
  <si>
    <t>Architecture Pack AP-03; Knowledge Evaluation KE-01</t>
  </si>
  <si>
    <t>Answers restricted to approved indexed sources.</t>
  </si>
  <si>
    <t>AIA-004</t>
  </si>
  <si>
    <t>Service Request Fulfilment Agent</t>
  </si>
  <si>
    <t>Validates standard requests and orchestrates approved fulfilment workflows.</t>
  </si>
  <si>
    <t>Service catalog</t>
  </si>
  <si>
    <t>Request fulfilment</t>
  </si>
  <si>
    <t>Workflow fulfilment</t>
  </si>
  <si>
    <t>Test, Production</t>
  </si>
  <si>
    <t>ServiceNow, Entra ID</t>
  </si>
  <si>
    <t>Cancel workflow and restore prior state</t>
  </si>
  <si>
    <t>Architecture Pack AP-04; Workflow Catalogue WC-01</t>
  </si>
  <si>
    <t>Approval retained for access, spend and data changes.</t>
  </si>
  <si>
    <t>AIA-005</t>
  </si>
  <si>
    <t>Problem Trend Analyst</t>
  </si>
  <si>
    <t>Correlates recurring incidents and proposes problem records and known errors.</t>
  </si>
  <si>
    <t>Service Management</t>
  </si>
  <si>
    <t>Problem management</t>
  </si>
  <si>
    <t>Trend and root-cause analysis</t>
  </si>
  <si>
    <t>ServiceNow, Log Analytics</t>
  </si>
  <si>
    <t>Analyst rejects candidate problem</t>
  </si>
  <si>
    <t>Architecture Pack AP-05; Evaluation Report ER-01</t>
  </si>
  <si>
    <t>Correlation is advisory; problem manager owns publication.</t>
  </si>
  <si>
    <t>AIA-006</t>
  </si>
  <si>
    <t>Change Risk Advisor</t>
  </si>
  <si>
    <t>Scores change risk using history, dependencies, conflicts and test evidence.</t>
  </si>
  <si>
    <t>Change &amp; Release</t>
  </si>
  <si>
    <t>Change enablement</t>
  </si>
  <si>
    <t>Risk assessment</t>
  </si>
  <si>
    <t>ServiceNow, Azure DevOps</t>
  </si>
  <si>
    <t>CAB override with rationale</t>
  </si>
  <si>
    <t>Architecture Pack AP-06; Risk Model RM-01</t>
  </si>
  <si>
    <t>No autonomous approval; CAB remains accountable.</t>
  </si>
  <si>
    <t>AIA-007</t>
  </si>
  <si>
    <t>Test Case Generation Copilot</t>
  </si>
  <si>
    <t>Generates traceable regression tests from requirements and change records.</t>
  </si>
  <si>
    <t>Application Engineering</t>
  </si>
  <si>
    <t>Retail and CPG applications</t>
  </si>
  <si>
    <t>Testing</t>
  </si>
  <si>
    <t>Test generation</t>
  </si>
  <si>
    <t>Development, Test</t>
  </si>
  <si>
    <t>Azure DevOps</t>
  </si>
  <si>
    <t>Reviewer edits or rejects generated tests</t>
  </si>
  <si>
    <t>Architecture Pack AP-07; Quality Benchmark QB-01</t>
  </si>
  <si>
    <t>Generated tests require engineering review before execution.</t>
  </si>
  <si>
    <t>AIA-008</t>
  </si>
  <si>
    <t>Release Validation Agent</t>
  </si>
  <si>
    <t>Checks release evidence, deployment health and rollback readiness.</t>
  </si>
  <si>
    <t>Release management</t>
  </si>
  <si>
    <t>Release assurance</t>
  </si>
  <si>
    <t>Azure DevOps, ServiceNow</t>
  </si>
  <si>
    <t>Stop deployment and invoke rollback</t>
  </si>
  <si>
    <t>Architecture Pack AP-08; Release Control RC-02</t>
  </si>
  <si>
    <t>Deployment gates remain deterministic and auditable.</t>
  </si>
  <si>
    <t>AIA-009</t>
  </si>
  <si>
    <t>Event Correlation Agent</t>
  </si>
  <si>
    <t>Clusters alerts, suppresses duplicates and opens enriched incidents.</t>
  </si>
  <si>
    <t>Event management</t>
  </si>
  <si>
    <t>Alert correlation</t>
  </si>
  <si>
    <t>Production, DR</t>
  </si>
  <si>
    <t>Azure Monitor, Splunk, ServiceNow</t>
  </si>
  <si>
    <t>Disable correlation rule and replay events</t>
  </si>
  <si>
    <t>Architecture Pack AP-09; Operations Evidence OE-01</t>
  </si>
  <si>
    <t>Auto-creation limited by confidence and severity thresholds.</t>
  </si>
  <si>
    <t>AIA-010</t>
  </si>
  <si>
    <t>Access Request Assistant</t>
  </si>
  <si>
    <t>Guides users, validates entitlements and prepares access requests.</t>
  </si>
  <si>
    <t>Identity &amp; Access</t>
  </si>
  <si>
    <t>Access management</t>
  </si>
  <si>
    <t>Request assistance</t>
  </si>
  <si>
    <t>Approver rejects; workflow revokes on error</t>
  </si>
  <si>
    <t>Architecture Pack AP-10; IAM Control IC-01</t>
  </si>
  <si>
    <t>No direct privileged access grant without owner approval.</t>
  </si>
  <si>
    <t>incidents</t>
  </si>
  <si>
    <t>Demand Model DM-01; workload workshop pending</t>
  </si>
  <si>
    <t>eligible incidents</t>
  </si>
  <si>
    <t>knowledge interactions</t>
  </si>
  <si>
    <t>service requests</t>
  </si>
  <si>
    <t>incident clusters</t>
  </si>
  <si>
    <t>changes</t>
  </si>
  <si>
    <t>requirements</t>
  </si>
  <si>
    <t>releases</t>
  </si>
  <si>
    <t>alerts</t>
  </si>
  <si>
    <t>access requests</t>
  </si>
  <si>
    <t>Microsoft Azure</t>
  </si>
  <si>
    <t>GPT-4.1 mini</t>
  </si>
  <si>
    <t>Primary</t>
  </si>
  <si>
    <t>Azure AI Foundry</t>
  </si>
  <si>
    <t>US benchmark</t>
  </si>
  <si>
    <t>OpenAI public API pricing benchmark; validate Azure AI Foundry enterprise rate</t>
  </si>
  <si>
    <t xml:space="preserve">GPT-4.1 </t>
  </si>
  <si>
    <t>CL-001</t>
  </si>
  <si>
    <t>Agent discovery, design and onboarding</t>
  </si>
  <si>
    <t>Implementation</t>
  </si>
  <si>
    <t>Implementation package</t>
  </si>
  <si>
    <t>agents</t>
  </si>
  <si>
    <t>CL-002</t>
  </si>
  <si>
    <t>Managed AI and Agent Operations</t>
  </si>
  <si>
    <t>Managed service</t>
  </si>
  <si>
    <t>Blended delivery team</t>
  </si>
  <si>
    <t>hours</t>
  </si>
  <si>
    <t>CL-003</t>
  </si>
  <si>
    <t>Azure platform shared services</t>
  </si>
  <si>
    <t>Platform</t>
  </si>
  <si>
    <t>AKS, data and integration bundle</t>
  </si>
  <si>
    <t>months</t>
  </si>
  <si>
    <t>CL-004</t>
  </si>
  <si>
    <t>LLM inference consumption</t>
  </si>
  <si>
    <t>AI services</t>
  </si>
  <si>
    <t>GPT-4.1 / GPT-4.1 mini blend</t>
  </si>
  <si>
    <t>million tokens</t>
  </si>
  <si>
    <t>CL-005</t>
  </si>
  <si>
    <t>Observability, dashboards and reporting</t>
  </si>
  <si>
    <t>Partner / Microsoft</t>
  </si>
  <si>
    <t>Managed observability bundle</t>
  </si>
  <si>
    <t>CL-006</t>
  </si>
  <si>
    <t>Exit transition and knowledge transfer</t>
  </si>
  <si>
    <t>Exit</t>
  </si>
  <si>
    <t>Exit package</t>
  </si>
  <si>
    <t>package</t>
  </si>
  <si>
    <t>CL-007</t>
  </si>
  <si>
    <t>CL-008</t>
  </si>
  <si>
    <t>CL-009</t>
  </si>
  <si>
    <t>CL-010</t>
  </si>
  <si>
    <t>CL-011</t>
  </si>
  <si>
    <t>CL-012</t>
  </si>
  <si>
    <t>CL-013</t>
  </si>
  <si>
    <t>CL-014</t>
  </si>
  <si>
    <t>CL-015</t>
  </si>
  <si>
    <t>CL-016</t>
  </si>
  <si>
    <t>CL-017</t>
  </si>
  <si>
    <t>CL-018</t>
  </si>
  <si>
    <t>CL-019</t>
  </si>
  <si>
    <t>CL-020</t>
  </si>
  <si>
    <t>CL-021</t>
  </si>
  <si>
    <t>CL-022</t>
  </si>
  <si>
    <t>CL-023</t>
  </si>
  <si>
    <t>CL-024</t>
  </si>
  <si>
    <t>CL-025</t>
  </si>
  <si>
    <t>CL-026</t>
  </si>
  <si>
    <t>CL-027</t>
  </si>
  <si>
    <t>CL-028</t>
  </si>
  <si>
    <t>CL-029</t>
  </si>
  <si>
    <t>CL-030</t>
  </si>
  <si>
    <t>Commercial Workbook CW-01; Statement of Work pending</t>
  </si>
  <si>
    <t>Staffing model SM-01; rate card pending</t>
  </si>
  <si>
    <t>Architecture Pack AP-00; Azure estimate pending</t>
  </si>
  <si>
    <t>OpenAI public API pricing benchmark; Azure rate pending</t>
  </si>
  <si>
    <t>Operations Model OM-01; license validation pending</t>
  </si>
  <si>
    <t>Exit Plan EP-01 pending</t>
  </si>
  <si>
    <t>BEN-001</t>
  </si>
  <si>
    <t>Incident handling time</t>
  </si>
  <si>
    <t>minutes per unit</t>
  </si>
  <si>
    <t>Partner benchmark; baseline validation pending</t>
  </si>
  <si>
    <t>Annual hours = monthly in-scope volume × (baseline minutes − target minutes) ÷ 60 × 12</t>
  </si>
  <si>
    <t>Target</t>
  </si>
  <si>
    <t>Source-system timestamps</t>
  </si>
  <si>
    <t>Target ≤ 12 minutes after 3 stable months</t>
  </si>
  <si>
    <t>PepsiCo to provide 12 months of clean volume and timestamp history</t>
  </si>
  <si>
    <t>One benefit owner per Agent ID; exclude overlapping incident, problem and staffing claims</t>
  </si>
  <si>
    <t>Benefit Model BM-01; source-system extract pending</t>
  </si>
  <si>
    <t>Non-cashable productivity only until finance validates redeployment or avoided hiring.</t>
  </si>
  <si>
    <t>BEN-002</t>
  </si>
  <si>
    <t>BEN-003</t>
  </si>
  <si>
    <t>BEN-004</t>
  </si>
  <si>
    <t>BEN-005</t>
  </si>
  <si>
    <t>BEN-006</t>
  </si>
  <si>
    <t>Remediation elapsed time</t>
  </si>
  <si>
    <t>Target ≤ 25 minutes after 3 stable months</t>
  </si>
  <si>
    <t>BEN-007</t>
  </si>
  <si>
    <t>BEN-008</t>
  </si>
  <si>
    <t>BEN-009</t>
  </si>
  <si>
    <t>BEN-010</t>
  </si>
  <si>
    <t>BEN-011</t>
  </si>
  <si>
    <t>Knowledge resolution time</t>
  </si>
  <si>
    <t>Target ≤ 7 minutes after 3 stable months</t>
  </si>
  <si>
    <t>BEN-012</t>
  </si>
  <si>
    <t>BEN-013</t>
  </si>
  <si>
    <t>BEN-014</t>
  </si>
  <si>
    <t>BEN-015</t>
  </si>
  <si>
    <t>BEN-016</t>
  </si>
  <si>
    <t>Request fulfilment handling time</t>
  </si>
  <si>
    <t>Target ≤ 20 minutes after 3 stable months</t>
  </si>
  <si>
    <t>BEN-017</t>
  </si>
  <si>
    <t>BEN-018</t>
  </si>
  <si>
    <t>BEN-019</t>
  </si>
  <si>
    <t>BEN-020</t>
  </si>
  <si>
    <t>BEN-021</t>
  </si>
  <si>
    <t>Problem analysis effort</t>
  </si>
  <si>
    <t>Target ≤ 90 minutes after 3 stable months</t>
  </si>
  <si>
    <t>BEN-022</t>
  </si>
  <si>
    <t>BEN-023</t>
  </si>
  <si>
    <t>BEN-024</t>
  </si>
  <si>
    <t>BEN-025</t>
  </si>
  <si>
    <t>BEN-026</t>
  </si>
  <si>
    <t>Change risk assessment effort</t>
  </si>
  <si>
    <t>Target ≤ 60 minutes after 3 stable months</t>
  </si>
  <si>
    <t>BEN-027</t>
  </si>
  <si>
    <t>BEN-028</t>
  </si>
  <si>
    <t>BEN-029</t>
  </si>
  <si>
    <t>BEN-030</t>
  </si>
  <si>
    <t>BEN-031</t>
  </si>
  <si>
    <t>Regression test design effort</t>
  </si>
  <si>
    <t>BEN-032</t>
  </si>
  <si>
    <t>BEN-033</t>
  </si>
  <si>
    <t>BEN-034</t>
  </si>
  <si>
    <t>BEN-035</t>
  </si>
  <si>
    <t>BEN-036</t>
  </si>
  <si>
    <t>Release validation effort</t>
  </si>
  <si>
    <t>Target ≤ 120 minutes after 3 stable months</t>
  </si>
  <si>
    <t>BEN-037</t>
  </si>
  <si>
    <t>BEN-038</t>
  </si>
  <si>
    <t>BEN-039</t>
  </si>
  <si>
    <t>BEN-040</t>
  </si>
  <si>
    <t>BEN-041</t>
  </si>
  <si>
    <t>Alert triage effort</t>
  </si>
  <si>
    <t>Target ≤ 3 minutes after 3 stable months</t>
  </si>
  <si>
    <t>BEN-042</t>
  </si>
  <si>
    <t>BEN-043</t>
  </si>
  <si>
    <t>BEN-044</t>
  </si>
  <si>
    <t>BEN-045</t>
  </si>
  <si>
    <t>BEN-046</t>
  </si>
  <si>
    <t>Access request handling time</t>
  </si>
  <si>
    <t>Target ≤ 15 minutes after 3 stable months</t>
  </si>
  <si>
    <t>BEN-047</t>
  </si>
  <si>
    <t>BEN-048</t>
  </si>
  <si>
    <t>BEN-049</t>
  </si>
  <si>
    <t>BEN-050</t>
  </si>
  <si>
    <t>gpt-4.1-mini-2025-04-14</t>
  </si>
  <si>
    <t>gpt-4.1-2025-04-14</t>
  </si>
  <si>
    <t>☑</t>
  </si>
  <si>
    <t>AMS RFP | Final Reconciliation Validation &amp; Attestation</t>
  </si>
  <si>
    <t>Conditional internal attestation: workbook controls passed; external evidence, contracted rates, PepsiCo baselines and authorized representative approval remain pending.</t>
  </si>
  <si>
    <t>Validation date</t>
  </si>
  <si>
    <t>Overall status</t>
  </si>
  <si>
    <t>CONDITIONALLY ATTESTED</t>
  </si>
  <si>
    <t>Model scope</t>
  </si>
  <si>
    <t>10 agents | 5 scenarios | 30 cost lines | 50 benefit records</t>
  </si>
  <si>
    <t>Pending bidder appointment and signature</t>
  </si>
  <si>
    <t>Ref</t>
  </si>
  <si>
    <t>Checklist control</t>
  </si>
  <si>
    <t>Attestation status</t>
  </si>
  <si>
    <t>Validation evidence</t>
  </si>
  <si>
    <t>Result</t>
  </si>
  <si>
    <t>Accountable owner</t>
  </si>
  <si>
    <t>Qualification / dependency</t>
  </si>
  <si>
    <t>Agent IDs reconcile across linked sheets</t>
  </si>
  <si>
    <t>ATTESTED</t>
  </si>
  <si>
    <t>10 unique Agent IDs; no orphan or duplicate IDs; Shared used only for shared costs.</t>
  </si>
  <si>
    <t>PASS</t>
  </si>
  <si>
    <t>Internal workbook control</t>
  </si>
  <si>
    <t>All five scenarios complete; PepsiCo standard preserved</t>
  </si>
  <si>
    <t>ATTESTED WITH DEPENDENCY</t>
  </si>
  <si>
    <t>Each of 10 agents has all five demand, consumption and benefit scenarios.</t>
  </si>
  <si>
    <t>PepsiCo + bidder</t>
  </si>
  <si>
    <t>PepsiCo standard values are explicitly marked as assumptions requiring validation.</t>
  </si>
  <si>
    <t>Cost Register reconciles to Five-Year TCO and offer</t>
  </si>
  <si>
    <t>Commercial proposal and contracted rate-card confirmation remain external dependencies.</t>
  </si>
  <si>
    <t>Benefits reconcile and prevent overlap</t>
  </si>
  <si>
    <t>50 benefit records reconcile to Five_Year_TCO; every row contains dependency and overlap controls.</t>
  </si>
  <si>
    <t>Benefits remain non-cashable until Finance validates redeployment or avoided hiring.</t>
  </si>
  <si>
    <t>No cost duplication across supporting models</t>
  </si>
  <si>
    <t>No duplicate cost components within scenario/classification; Cost_Register notes identify sole labor line and supporting-detail boundaries.</t>
  </si>
  <si>
    <t>FinOps + delivery</t>
  </si>
  <si>
    <t>Bidder to confirm invoice boundaries during commercial sign-off.</t>
  </si>
  <si>
    <t>Monthly model, summary and charts are consistent</t>
  </si>
  <si>
    <t>Normalized monthly view is separate from the five-year commercial register.</t>
  </si>
  <si>
    <t>Mandatory charges, exclusions and exit treatment disclosed</t>
  </si>
  <si>
    <t>30 cost lines include classification, basis, term, escalation, inclusion, currency, evidence and exclusions; optional exit package is identified.</t>
  </si>
  <si>
    <t>Commercial lead</t>
  </si>
  <si>
    <t>Enterprise discounts, Azure region/SKUs, E5 entitlements and supplied evidence packs require confirmation.</t>
  </si>
  <si>
    <t>Prototype and roadmap items correctly classified</t>
  </si>
  <si>
    <t>ATTESTED — N/A</t>
  </si>
  <si>
    <t>No capability is classified as Prototype or Roadmap feature; all recorded statuses are explicitly stated.</t>
  </si>
  <si>
    <t>Reassess if optional roadmap capabilities are added later.</t>
  </si>
  <si>
    <t>Certification statement</t>
  </si>
  <si>
    <t>Prepared / validated by</t>
  </si>
  <si>
    <t>Copilot workbook validation</t>
  </si>
  <si>
    <t>Bidder authorized representative</t>
  </si>
  <si>
    <t>Pending</t>
  </si>
  <si>
    <t>Signature</t>
  </si>
  <si>
    <t>Date</t>
  </si>
  <si>
    <t>Final run cost (annualized, incl. staffing)</t>
  </si>
  <si>
    <t>$ / year</t>
  </si>
  <si>
    <t>Approx. cost per active agent (annual)</t>
  </si>
  <si>
    <t>$ / active agent / year</t>
  </si>
  <si>
    <t>Approx. Cost / Agent (Annual)</t>
  </si>
  <si>
    <t>Avg Annual Cost / Execution</t>
  </si>
  <si>
    <t>Avg Annual Cost / Successful Outcome</t>
  </si>
  <si>
    <t>Annualized Final Run Cost</t>
  </si>
  <si>
    <t>Annual Cost / Active Agent</t>
  </si>
  <si>
    <t>Five scenario TCO totals reconcile exactly to Cost_Register; annual per-agent and execution metrics now use a consistent annual period.</t>
  </si>
  <si>
    <t>Model_Monthly final run cost annualizes total including staffing; Charts use corrected annual run cost and annual cost per active agent; no formula errors.</t>
  </si>
  <si>
    <t>The Section 4 reconciliation controls were revalidated after correcting Model_Monthly final run cost, chart sources, and Five_Year_TCO annual unit economics. All eight controls pass the workbook audit. This remains an internal model-quality attestation and does not replace bidder commercial approval, PepsiCo data validation, evidence delivery, or signature by an authorized representative.</t>
  </si>
  <si>
    <t>Complete Workbook Validation Register — 03 October 2026</t>
  </si>
  <si>
    <t>Worksheet</t>
  </si>
  <si>
    <t>Scope tested</t>
  </si>
  <si>
    <t>Evidence / result</t>
  </si>
  <si>
    <t>Dependency or exception</t>
  </si>
  <si>
    <t>Owner / next action</t>
  </si>
  <si>
    <t>Attestation</t>
  </si>
  <si>
    <t>Instructions</t>
  </si>
  <si>
    <t>Submission rules and Section 4 checklist</t>
  </si>
  <si>
    <t>All eight final-reconciliation checks marked and supported by audit evidence.</t>
  </si>
  <si>
    <t>Formal authorized signature remains pending.</t>
  </si>
  <si>
    <t>Identity, mandatory fields, controls, ownership and evidence</t>
  </si>
  <si>
    <t>10 unique agents; no duplicate IDs; required fields complete; controls and owners documented.</t>
  </si>
  <si>
    <t>Architecture evidence packs must be supplied/approved.</t>
  </si>
  <si>
    <t>Five-scenario coverage, rates, volumes and rollout</t>
  </si>
  <si>
    <t>50 populated records; exactly five scenarios for every agent; percentage and numeric bounds valid.</t>
  </si>
  <si>
    <t>PepsiCo must validate 12 months of source volumes and standard assumptions.</t>
  </si>
  <si>
    <t>Model routing, token sizing, caching, retry and pricing</t>
  </si>
  <si>
    <t>50 populated records; IDs/scenarios reconcile; USD pricing, SKU and effective dates disclosed.</t>
  </si>
  <si>
    <t>Azure enterprise rate, region and data-residency treatment require confirmation.</t>
  </si>
  <si>
    <t>Timeline, rollout, workload, LLM behavior and prices</t>
  </si>
  <si>
    <t>18-month model; 2 starting agents plus 8 planned builds; formulas and rates valid.</t>
  </si>
  <si>
    <t>Planning assumptions require PepsiCo and commercial validation.</t>
  </si>
  <si>
    <t>Platform, data, observability and licensing rates</t>
  </si>
  <si>
    <t>All listed unit inputs populated with units and source notes; non-zero log-ingest assumption documented.</t>
  </si>
  <si>
    <t>Replace benchmarks with contracted enterprise rates and confirmed entitlements.</t>
  </si>
  <si>
    <t>Mandatory fields, classifications, formulas and five-year cost</t>
  </si>
  <si>
    <t>30 cost lines; no duplicate scenario/component/classification; net-rate and annual-cost formulas intact.</t>
  </si>
  <si>
    <t>Commercial offer and rate card remain external approvals.</t>
  </si>
  <si>
    <t>Baseline capacity and fixed/shared services</t>
  </si>
  <si>
    <t>All baseline inputs populated; derived AKS requirement calculates to 2 nodes.</t>
  </si>
  <si>
    <t>Architecture/SKU sizing requires technical validation.</t>
  </si>
  <si>
    <t>FTE allocation and loaded cost</t>
  </si>
  <si>
    <t>Pod allocation reconciles to 7.5 FTE; monthly staffing cost calculates to $75,000.</t>
  </si>
  <si>
    <t>Delivery model and loaded rate require commercial approval.</t>
  </si>
  <si>
    <t>Outcomes, formulas, measurement, dependencies and overlap</t>
  </si>
  <si>
    <t>50 records; formula columns protected visually; every record has dependency, evidence and attribution control.</t>
  </si>
  <si>
    <t>Benefits remain non-cashable until Finance validates baselines and realization.</t>
  </si>
  <si>
    <t>LLM_Calc</t>
  </si>
  <si>
    <t>Selected-month tokens and LLM costs</t>
  </si>
  <si>
    <t>Month 1, 6, 12 and 18 outputs reconcile to Model_Monthly; no calculation errors.</t>
  </si>
  <si>
    <t>Depends on validated demand, token usage and contracted prices.</t>
  </si>
  <si>
    <t>Estimator / reviewer</t>
  </si>
  <si>
    <t>Logging, dashboards and BI outputs</t>
  </si>
  <si>
    <t>Selected-month costs reconcile to Model_Monthly and Unit_Costs; no calculation errors.</t>
  </si>
  <si>
    <t>Retention, sampling, Splunk contract and Power BI entitlement require validation.</t>
  </si>
  <si>
    <t>FinOps / operations</t>
  </si>
  <si>
    <t>Model_Monthly</t>
  </si>
  <si>
    <t>18-month workload, platform, staffing and unit economics</t>
  </si>
  <si>
    <t>Final run cost annualizes total including staffing; month 18 = $959,733 and $110,787 per active agent.</t>
  </si>
  <si>
    <t>Normalized operating view; not a substitute for five-year commercial pricing.</t>
  </si>
  <si>
    <t>Chart source integrity and readability</t>
  </si>
  <si>
    <t>Three live charts: five-year TCO, annualized final run cost, and annual cost per active agent.</t>
  </si>
  <si>
    <t>Charts update with their linked formula ranges.</t>
  </si>
  <si>
    <t>Summary</t>
  </si>
  <si>
    <t>18-month executive output</t>
  </si>
  <si>
    <t>All 18 months link to Model_Monthly; total incl. staffing = $1,436,196 across the modeled period.</t>
  </si>
  <si>
    <t>Subject to underlying assumption updates.</t>
  </si>
  <si>
    <t>Scenario TCO, benefits, net value and annual unit economics</t>
  </si>
  <si>
    <t>All five scenario totals reconcile exactly to Cost_Register and Benefits; periods are consistent.</t>
  </si>
  <si>
    <t>PepsiCo standard and commercial offer require external confirmation.</t>
  </si>
  <si>
    <t>Validation_Attestation</t>
  </si>
  <si>
    <t>Section 4 and complete-workbook evidence</t>
  </si>
  <si>
    <t>Eight checklist controls and this 19-sheet register document scope, evidence and qualifications.</t>
  </si>
  <si>
    <t>Authorized representative signature pending.</t>
  </si>
  <si>
    <t>_Lists</t>
  </si>
  <si>
    <t>PASS — PROTECTED</t>
  </si>
  <si>
    <t>Controlled validation lists and visibility</t>
  </si>
  <si>
    <t>Sheet remains hidden; no recent change-history entries found for the protected list sheet.</t>
  </si>
  <si>
    <t>Do not modify.</t>
  </si>
  <si>
    <t>Workbook custodian</t>
  </si>
  <si>
    <t>Chart Data</t>
  </si>
  <si>
    <t>Hidden chart-helper formulas</t>
  </si>
  <si>
    <t>59 formulas resolve without errors; monthly and TCO chart sources reconcile to presentation sheets.</t>
  </si>
  <si>
    <t>Keep hidden; do not delete while charts depend on it.</t>
  </si>
  <si>
    <t>Overall conclusion</t>
  </si>
  <si>
    <t>All 19 worksheets were reviewed against the Instructions sheet. Workbook structure, mandatory inputs, five-scenario coverage, calculation lineage, reconciliations, monthly outputs, chart sources and protected helper sheets pass the model-quality audit. The submission remains CONDITIONALLY ATTESTED until PepsiCo baselines, enterprise prices, supporting evidence and an authorized representative signature are provided.</t>
  </si>
  <si>
    <t>Scenario-scaled partner estimate; validate against 12 months of source-system history. Demand executions exclude retry attempts; retry is applied once in AI consumption sizing.</t>
  </si>
  <si>
    <t>Placeholder standard case pending PepsiCo volume validation. Demand executions exclude retry attempts; retry is applied once in AI consumption sizing.</t>
  </si>
  <si>
    <t>No discount or markup assumed; regional Azure pricing and data-residency uplift require validation. Demand executions exclude retries; the Retry % here is the single consumption uplift. No minimum commitment assumed; pricing validity is unconfirmed pending the contracted Azure rate card.</t>
  </si>
  <si>
    <t>Partner benchmark: blended AKS VM, disk and load balancer; validate Azure SKU/region | USD | US benchmark | effective 03-Oct-2026 | planning basis only | pricing validity unconfirmed; replace with contracted rate before submission.</t>
  </si>
  <si>
    <t>Sizing assumption: 1.5 nodes per 10 active agents incl. resilience | USD | US benchmark | effective 03-Oct-2026 | planning basis only | pricing validity unconfirmed; replace with contracted rate before submission.</t>
  </si>
  <si>
    <t>Partner architecture estimate: orchestration and tool calls | USD | US benchmark | effective 03-Oct-2026 | planning basis only | pricing validity unconfirmed; replace with contracted rate before submission.</t>
  </si>
  <si>
    <t>0.5 GB memory for 0.5 second average execution | USD | US benchmark | effective 03-Oct-2026 | planning basis only | pricing validity unconfirmed; replace with contracted rate before submission.</t>
  </si>
  <si>
    <t>Azure Functions Consumption list price; official Microsoft pricing | USD | US benchmark | effective 03-Oct-2026 | planning basis only | pricing validity unconfirmed; replace with contracted rate before submission.</t>
  </si>
  <si>
    <t>Azure Functions Consumption monthly free grant | USD | US benchmark | effective 03-Oct-2026 | planning basis only | pricing validity unconfirmed; replace with contracted rate before submission.</t>
  </si>
  <si>
    <t>Partner benchmark for hot/cool storage blend; validate redundancy tier | USD | US benchmark | effective 03-Oct-2026 | planning basis only | pricing validity unconfirmed; replace with contracted rate before submission.</t>
  </si>
  <si>
    <t>Prompt, trace and artifact retention assumption | USD | US benchmark | effective 03-Oct-2026 | planning basis only | pricing validity unconfirmed; replace with contracted rate before submission.</t>
  </si>
  <si>
    <t>Partner benchmark for Flexible Server blended compute; validate tier and HA | USD | US benchmark | effective 03-Oct-2026 | planning basis only | pricing validity unconfirmed; replace with contracted rate before submission.</t>
  </si>
  <si>
    <t>Partner benchmark for PostgreSQL storage; validate region and redundancy | USD | US benchmark | effective 03-Oct-2026 | planning basis only | pricing validity unconfirmed; replace with contracted rate before submission.</t>
  </si>
  <si>
    <t>Baseline prod + nonprod provisioned capacity | USD | US benchmark | effective 03-Oct-2026 | planning basis only | pricing validity unconfirmed; replace with contracted rate before submission.</t>
  </si>
  <si>
    <t>Baseline prod + nonprod storage | USD | US benchmark | effective 03-Oct-2026 | planning basis only | pricing validity unconfirmed; replace with contracted rate before submission.</t>
  </si>
  <si>
    <t>0.25 GB per 1,000 tickets planning estimate; non-zero trace volume, validate retention and sampling with PepsiCo | USD | US benchmark | effective 03-Oct-2026 | planning basis only | pricing validity unconfirmed; replace with contracted rate before submission.</t>
  </si>
  <si>
    <t>Partner benchmark pending PepsiCo Splunk contract validation | USD | US benchmark | effective 03-Oct-2026 | planning basis only | pricing validity unconfirmed; replace with contracted rate before submission.</t>
  </si>
  <si>
    <t>Partner estimate for managed dashboards | USD | US benchmark | effective 03-Oct-2026 | planning basis only | pricing validity unconfirmed; replace with contracted rate before submission.</t>
  </si>
  <si>
    <t>Operator and stakeholder users | USD | US benchmark | effective 03-Oct-2026 | planning basis only | pricing validity unconfirmed; replace with contracted rate before submission.</t>
  </si>
  <si>
    <t>Microsoft Power BI Pro public list price, paid yearly; check existing E5 entitlement | USD | US benchmark | effective 03-Oct-2026 | planning basis only | pricing validity unconfirmed; replace with contracted rate before submission.</t>
  </si>
  <si>
    <t>One charge per deployed agent; excludes third-party licenses and customer remediation work. Shared allocation: quantity equals agents deployed in the scenario. Pricing validity: planning benchmark only; commercial proposal and contracted terms pending.</t>
  </si>
  <si>
    <t>7.5-FTE expected-case baseline; annual quantity includes 3% escalation and is the sole labor cost line. Shared allocation: operator hours scale with the scenario workload factor. Pricing validity: planning benchmark only; commercial proposal and contracted terms pending.</t>
  </si>
  <si>
    <t>Shared platform allocation by scenario load; Unit_Costs is supporting detail, not an additional charge. Shared allocation: monthly shared platform charge scales with scenario load. Pricing validity: planning benchmark only; commercial proposal and contracted terms pending.</t>
  </si>
  <si>
    <t>Blended token rate for planning only; replace with Azure AI Foundry contracted rates and measured routing mix. Shared allocation: token quantity scales with scenario AI consumption. Pricing validity: planning benchmark only; commercial proposal and contracted terms pending.</t>
  </si>
  <si>
    <t>Includes dashboard operations; Power BI licenses assumed available separately where already entitled. Shared allocation: managed observability charge scales with scenario load. Pricing validity: planning benchmark only; commercial proposal and contracted terms pending.</t>
  </si>
  <si>
    <t>Optional year-5 transition package; excludes extraordinary data migration or third-party termination fees. Shared allocation: one portfolio exit package in Year 5. Pricing validity: planning benchmark only; commercial proposal and contracted terms pending.</t>
  </si>
  <si>
    <t>Normalized monthly view uses portfolio-level tickets per active agent and blended LLM behavior. Demand_Scenarios uses agent-specific trigger populations and adoption; Five_Year_TCO uses those detailed scenario populations. Differences are intentional and must be revalidated with PepsiCo source data.</t>
  </si>
  <si>
    <t>Legacy annual support run-cost view (period markers only; excluded from normalized final run cost)</t>
  </si>
  <si>
    <t>Legacy custom-agent comparison (excluded from normalized final run cost)</t>
  </si>
  <si>
    <t>Legacy ServiceNow token comparison (excluded from normalized final run cost)</t>
  </si>
  <si>
    <t>CONDITIONALLY ATTESTED — PDF exceptions documented</t>
  </si>
  <si>
    <t>PDF Bidder User Guide Validation — Version 1.0, 28 September 2026</t>
  </si>
  <si>
    <t>Source: AMS_RFP_AI_Cost_Estimation_Framework_Bidder_User_Guide.pdf | Final checklist: PDF page 15 | Workbook formulas and RFP instructions remain controlling.</t>
  </si>
  <si>
    <t>PDF #</t>
  </si>
  <si>
    <t>Certification check</t>
  </si>
  <si>
    <t>Workbook evidence</t>
  </si>
  <si>
    <t>Exception / qualification</t>
  </si>
  <si>
    <t>Required owner action</t>
  </si>
  <si>
    <t>All remaining worksheets present with original names</t>
  </si>
  <si>
    <t>All original worksheets remain present with their names unchanged.</t>
  </si>
  <si>
    <t>PASS WITH EXCEPTION</t>
  </si>
  <si>
    <t>Validation_Attestation and Chart Data were added as support sheets; no original sheet was removed or renamed.</t>
  </si>
  <si>
    <t>Workbook custodian to approve the two support sheets or migrate their content before formal submission.</t>
  </si>
  <si>
    <t>ATTESTED — EXCEPTION NOTED</t>
  </si>
  <si>
    <t>Every required input completed or documented</t>
  </si>
  <si>
    <t>All mandatory fields are complete for 10 agents, 50 demand rows, 50 consumption rows, 30 cost rows and 50 benefit rows.</t>
  </si>
  <si>
    <t>Unused template-capacity rows remain blank by design and are not completed records.</t>
  </si>
  <si>
    <t>Owners to maintain completeness if further rows are added.</t>
  </si>
  <si>
    <t>Agent IDs reconcile across sheets</t>
  </si>
  <si>
    <t>10 unique Agent IDs; no duplicates or orphan IDs across Inventory, Demand, Consumption and Benefits; cost lines use Shared.</t>
  </si>
  <si>
    <t>None.</t>
  </si>
  <si>
    <t>AI / solution lead to retain stable IDs.</t>
  </si>
  <si>
    <t>Five scenarios complete for each priced capability</t>
  </si>
  <si>
    <t>Every agent has Minimum, Expected, High, Peak/stress and PepsiCo standard rows in Demand, Consumption and Benefits.</t>
  </si>
  <si>
    <t>PASS WITH DEPENDENCY</t>
  </si>
  <si>
    <t>PepsiCo standard values are planning assumptions requiring PepsiCo confirmation.</t>
  </si>
  <si>
    <t>PepsiCo and bidder demand owners to validate the standard case.</t>
  </si>
  <si>
    <t>Percentages and dates use valid Excel values</t>
  </si>
  <si>
    <t>All tested rates are stored between 0 and 1; pricing effective dates are valid Excel dates displayed as 03-Oct-2026.</t>
  </si>
  <si>
    <t>Input owners to preserve percentage/date formats.</t>
  </si>
  <si>
    <t>Commercial dimensions fully disclosed</t>
  </si>
  <si>
    <t>USD, US benchmark region, SKU/version, effective date, zero discount/markup, term, escalation, basis and unconfirmed validity are disclosed.</t>
  </si>
  <si>
    <t>Values are planning benchmarks, not contracted enterprise rates.</t>
  </si>
  <si>
    <t>Commercial / FinOps to replace benchmarks with approved Azure and supplier rates.</t>
  </si>
  <si>
    <t>Each cost entered once; shared allocation explained</t>
  </si>
  <si>
    <t>30 unique scenario/component/classification lines; shared allocation method is now explicit in each Cost_Register note.</t>
  </si>
  <si>
    <t>Supporting Unit_Costs inputs are calculation drivers, not additional commercial charges.</t>
  </si>
  <si>
    <t>FinOps to confirm invoice boundaries during bid approval.</t>
  </si>
  <si>
    <t>Cost Register reconciles to TCO and proposal</t>
  </si>
  <si>
    <t>All five scenario totals reconcile exactly between Cost_Register and Five_Year_TCO.</t>
  </si>
  <si>
    <t>The external commercial proposal was not supplied in this review.</t>
  </si>
  <si>
    <t>Commercial lead to reconcile the final proposal and attach evidence.</t>
  </si>
  <si>
    <t>ATTESTED — EXTERNAL EXCEPTION</t>
  </si>
  <si>
    <t>Benefits measurable, evidenced and overlap-controlled</t>
  </si>
  <si>
    <t>50 benefit rows include baseline, target, formula, measurement system, dependency and attribution control; TCO benefits reconcile.</t>
  </si>
  <si>
    <t>Referenced baseline extracts and benchmark artifacts were not supplied; benefits remain non-cashable pending Finance validation.</t>
  </si>
  <si>
    <t>Value lead and PepsiCo Finance to validate baselines and evidence.</t>
  </si>
  <si>
    <t>Prototype and roadmap status accurate</t>
  </si>
  <si>
    <t>No capability is classified as Prototype or Roadmap feature; recorded production-readiness statuses are explicit.</t>
  </si>
  <si>
    <t>PASS — N/A</t>
  </si>
  <si>
    <t>Reassessment required if roadmap items are added.</t>
  </si>
  <si>
    <t>AI / solution lead to maintain status accuracy.</t>
  </si>
  <si>
    <t>Formula-driven sheets logical and unoverwritten</t>
  </si>
  <si>
    <t>No formula errors; LLM_Calc, Observability, Model_Monthly, Summary, Charts and Five_Year_TCO reconcile to source inputs.</t>
  </si>
  <si>
    <t>Formula cells use review-only formatting; normalized annual run-cost and unit economics were corrected and retested.</t>
  </si>
  <si>
    <t>Estimator to protect calculation lineage.</t>
  </si>
  <si>
    <t>No material zero, blank or commercial condition unexplained</t>
  </si>
  <si>
    <t>Retry convention, normalized-demand differences, minimum commitment, benchmark validity, shared allocation and legacy comparison rows are documented.</t>
  </si>
  <si>
    <t>Commercial exclusions and final minimum commitments remain subject to the signed proposal.</t>
  </si>
  <si>
    <t>Commercial owner to confirm final exclusions, commitments and exit terms.</t>
  </si>
  <si>
    <t>External evidence references resolve</t>
  </si>
  <si>
    <t>Evidence fields contain named architecture, control, demand, commercial and benefit artifacts or authoritative pricing source descriptions.</t>
  </si>
  <si>
    <t>EXCEPTION</t>
  </si>
  <si>
    <t>The referenced evidence packs, rate cards and source-system extracts were not attached; resolution cannot be verified from this workbook and PDF alone.</t>
  </si>
  <si>
    <t>Bidder to supply artifacts or accessible authoritative references before submission.</t>
  </si>
  <si>
    <t>ATTESTED — OPEN EXCEPTION</t>
  </si>
  <si>
    <t>Authorized representative certification completed</t>
  </si>
  <si>
    <t>Validation_Attestation records the model-quality review and accountable owners.</t>
  </si>
  <si>
    <t>Authorized bidder representative and signature are still pending.</t>
  </si>
  <si>
    <t>Authorized representative to sign and date the final certification.</t>
  </si>
  <si>
    <t>ATTESTED — SIGNATURE PENDING</t>
  </si>
  <si>
    <t>PDF validation conclusion</t>
  </si>
  <si>
    <t>The workbook passes all internal model-integrity and reconciliation tests in the Bidder User Guide. The Section 4 workbook checklist is attested. Formal submission readiness remains conditional because the commercial proposal, contracted enterprise prices, referenced supporting artifacts and authorized representative signature are external items not available in the workbook/PDF review. The two added support sheets are also recorded as a structure exception for custodian approval.</t>
  </si>
  <si>
    <t>Final all-sheet assurance</t>
  </si>
  <si>
    <t>PASS — 19 sheets recalculated and reconciled on 03-Oct-2026</t>
  </si>
  <si>
    <t>Subagents</t>
  </si>
  <si>
    <t>15 proposed-agent entries: Triage Agent [POC Completed]; Categorization of Incident [In Prod]; Incident-copilot Agent [POC Completed]; Isummarizer BOT [Pilot]; Intake Agent [POC Completed]; Ticket Hygiene Agent [POC Completed]; Incident-copilot Agent WM [POC Completed]; Triage Agent WM [POC Completed]; MIM Agent [Pilot]; Agent Sherlock (L3 Triage Agent) [Pilot]; Communication Agent [POC Completed]; Ticket Creation Automation Agent [In Prod]; Email Processing Agent [In Prod]; Outlook Inbox Automation Agent [POC Completed]; Intelligent Incident Agent [Pilot]</t>
  </si>
  <si>
    <t>27 proposed-agent entries: Data Management Agent [POC Completed]; Nexthink Automation Agent [In Prod]; Intelligent Ticket Resolution [POC Completed]; PR Deletion – Old Purchase Requisition Deletions [In Prod]; Auto log Analyzer and Resolution Agent [In Prod]; Moveit Service - Start and Stop Services [In Prod]; Cross Reference Manager Agent [POC Completed]; Ticket Update Automation Agent [In Prod]; Sales order completed still demand showing in MD04 [In Prod]; PFNA Data Sync issue fixer &amp; Reconciliation Agent [To be custom built for PepsiCo]; DataQualitySentinel [To be custom built for PepsiCo]; PFNA Alerts Remediation Agent [To be custom built for PepsiCo]; PACE- Invoice Reconciler and Reprocesseser [To be custom built for PepsiCo]; GTMS_EXCEPTION_LOG_SYNC_AGENT [To be custom built for PepsiCo]; WMS- Stock Integrity Agent [To be custom built for PepsiCo]; PACE- DataQualitySentinel [To be custom built for PepsiCo]; PACE- Stock Integrity Agent [To be custom built for PepsiCo]; PEPSICOSELL_MASTER_CONFIG_AGENT [To be custom built for PepsiCo]; PEPSICOSELL_DATASYNC_AGENT [To be custom built for PepsiCo]; DELIVERSMARTR_DATASYNC_AGENT [To be custom built for PepsiCo]; PACE- RA-VAN Integrity Agent [To be custom built for PepsiCo]; PACE- Visit Exception Resolution Agent [To be custom built for PepsiCo]; PEPSICONNECT_DATASYNC_RECONCILIATION_AGENT [To be custom built for PepsiCo]; PEPSICONNECT_REWARD_ID_VERIFICATION_AGENT [To be custom built for PepsiCo]; PEPSICONNECT_DATA_SYNC_RECONCILIATION_AGENT [To be custom built for PepsiCo]; AMESA- Skelta WF Task Transfer [To be custom built for PepsiCo]; PBNA_STAR2_DATAFIX_AGENT [To be custom built for PepsiCo]</t>
  </si>
  <si>
    <t>15 proposed-agent entries: SOP Execution Agent [POC Completed]; MoMo Integration Chatbot [Pilot]; Support Assistant [Pilot]; Content Writer Agent [In Prod]; Knowledge Base (KB) Search with Guided Probing Agent [In Prod]; IRR - Incident Resolution Recommender [POC Completed]; AI Support Assistant [Pilot]; Intelligent Support Assistant [Pilot]; Resolution Notes Agent [In Prod]; Ask me Agent for business users [In Prod]; Snap.IO : Virtual Assistant [POC Completed]; DataGuard Agent [Pilot]; Rev-EAGLE [Pilot]; Knowledge Base Agent [POC Completed]; PEPSICONNECT_CONTENT_CONFIG_AGENT [To be custom built for PepsiCo]</t>
  </si>
  <si>
    <t>31 proposed-agent entries: TOMI [Pilot]; Intra-day Business KPI Reporting (Tapestry) [In Prod]; Scout Agent: [In Prod]; Rev-PULSE [Pilot]; Ticket Status Retrieval Agent [In Prod]; Service Request Creation Agent [In Prod]; Voice Channel Agent [In Prod]; Envision [In Prod]; Manufacturing Copilot [In Prod]; APAD [Pilot]; Forward a PO for Approval [In Prod]; Salesforce Agentforce(standard Query Data Capability) Agent [In Prod]; Email verfication and Delivery Agent [In Prod]; Accounts Payable Auto Invoice Generation Agent [In Prod]; Document Classification Agent [Pilot]; ABBYY_PO_ANALYZER_AGENT [To be custom built for PepsiCo]; TradeEdge-DiscountLens [To be custom built for PepsiCo]; PEPSICOSELL_Master_DATA_ROUTE_AGENT [To be custom built for PepsiCo]; FREEWEIGH_INSTALLISSUE_AGENT [To be custom built for PepsiCo]; PEPSICONNECT_SALES_TARGET_VALIDATION_AGENT [To be custom built for PepsiCo]; PEPSICONNECT_ORDER_FLOW_AGENT [To be custom built for PepsiCo]; PEPSICONNECT_INVOICE_PROCESS_VALIDATION_AGENT [To be custom built for PepsiCo]; PEPSICONNECT_MASTER_DATA_VALIDATION_AGENT [To be custom built for PepsiCo]; PEPSICONNECT_PROMOTION_PRODUCT_ENRICHMENT_AGENT [To be custom built for PepsiCo]; PEPSICONNECT_POINTS_TRANSFER_AGENT [To be custom built for PepsiCo]; PACE- Data Report Generator [To be custom built for PepsiCo]; PBNA_MODERENREPORT_DATAPULL_AGENT [To be custom built for PepsiCo]; PBNA_DELIVERY_DATAPULL_AGENT [To be custom built for PepsiCo]; PBNA_TPM_DATAPULL_AGENT [To be custom built for PepsiCo]; PBNA_TPM_ACCESS_AGENT [To be custom built for PepsiCo]; PBNA_STAR2_DATAPULL_AGENT [To be custom built for PepsiCo]</t>
  </si>
  <si>
    <t>7 proposed-agent entries: RCA Agent [In Prod]; SNOW Incident Pattern Analyzer [POC Completed]; RCA finder for Incident [POC Completed]; Incident Triage and RCA Agent [POC Completed]; Issue Predictor &amp; Root Cause Identifier [In Prod]; Root Cause Identifier Agent [In Prod]; PACE- Issue analyser [To be custom built for PepsiCo]</t>
  </si>
  <si>
    <t>4 proposed-agent entries: Code Scanner Agent [POC Completed]; Supply Chain Trade Compliance Agent [In Prod]; SDLC Lifecycle Agents - Review Agent [Pilot]; PACE- EOT Compliance Agent [To be custom built for PepsiCo]</t>
  </si>
  <si>
    <t>4 proposed-agent entries: Agent based UI Automation – QA [POC Completed]; AgentQ - Test Case Generator [POC Completed]; SDLC Lifecycle Agents - TST Agent [Pilot]; PACE- Smoke Test executor [To be custom built for PepsiCo]</t>
  </si>
  <si>
    <t>12 proposed-agent entries: SDLC Lifecycle Agents [Pilot]; Product Lifecycle Management Agent [Pilot] ×2; Job Scheduler Migration Agent [POC Completed]; SDLC Lifecycle Agents - Dev Agent [Pilot]; SDLC Lifecycle Agents - DB Agent [Pilot]; SDLC Lifecycle Agents - API Agent [Pilot]; SDLC Lifecycle Agents - FE Agent [Pilot]; SDLC Lifecycle Agents - Doc Agent [Pilot]; SDLC Lifecycle Agents - Orchestrator Agent [Pilot]; NA- Application Enhachement [To be custom built for PepsiCo]; PBNA_DELIVERY_CODEFIX_AGENT [To be custom built for PepsiCo]</t>
  </si>
  <si>
    <t>17 proposed-agent entries: Incident Management Agent [POC Completed]; Alert Verification System Agent [Pilot]; Observability Dashboard Agent [Pilot]; Incident Management Dashboard Agent [Pilot]; Observability Assistant [POC Completed]; Incident Intelligence Agent [Pilot]; Log Analyser Agent [Pilot]; Performance and Capacity Management [POC Completed]; Batch Health Analyzer [In Prod]; OCC Agent [POC Completed]; DigitalOpsAgent [In Prod]; Long Running Process Watchdog [POC Completed]; Execution Log Analyzer Agent [POC Completed]; High Volume Analyzer Agent [POC Completed]; ART Alert Insight Agent [Pilot]; GTMS_ALERT_OPTIMIZER_AGENT [To be custom built for PepsiCo]; PFNA Anomaly Detection Agent [To be custom built for PepsiCo]</t>
  </si>
  <si>
    <t>13 proposed-agent entries: Intelli Access Agent [Pilot]; Password reset &amp; Incorrect intent recognition using ServiceNow NLU [In Prod]; User Access Agent Assist [In Prod]; SAVVY_USERPROFILE_AGENT [To be custom built for PepsiCo]; SAVVY_ACCESS_AGENT [To be custom built for PepsiCo]; DELIVERSMARTR_ACCESS_AGENT [To be custom built for PepsiCo]; PEPSICONNECT_PROFILE_MANAGEMENT_AGENT [To be custom built for PepsiCo]; AMESA- DB Role Configurator [To be custom built for PepsiCo]; PACE- User Activation &amp; deactivation [To be custom built for PepsiCo]; FinOps- User Activation &amp; deactivation [To be custom built for PepsiCo]; AMESA- App Dromant Users [To be custom built for PepsiCo]; PBNA_MODERENReport_ACCESS_AGENT [To be custom built for PepsiCo]; PBNA_DELIVERY_ACCESS_AGENT [To be custom built for PepsiCo]</t>
  </si>
  <si>
    <t>APP SUPER AGENT DEPLOYMENT GANTT</t>
  </si>
  <si>
    <t>26-Q3</t>
  </si>
  <si>
    <t>26-Q4</t>
  </si>
  <si>
    <t>27-Q1</t>
  </si>
  <si>
    <t>27-Q2</t>
  </si>
  <si>
    <t>Super Agent</t>
  </si>
  <si>
    <t>Start</t>
  </si>
  <si>
    <t>26-Q3 Days</t>
  </si>
  <si>
    <t>26-Q4 Days</t>
  </si>
  <si>
    <t>27-Q1 Days</t>
  </si>
  <si>
    <t>27-Q2 Days</t>
  </si>
  <si>
    <t>26-Q3 Cases</t>
  </si>
  <si>
    <t>26-Q4 Cases</t>
  </si>
  <si>
    <t>27-Q1 Cases</t>
  </si>
  <si>
    <t>27-Q2 Cases</t>
  </si>
  <si>
    <t>Filtered from '194 Automation opportunities_SH' where App/Infra = App | Schedule based on Quarter; impact based on Annual Incident Count</t>
  </si>
  <si>
    <t>Jul–Sep 2026</t>
  </si>
  <si>
    <t>Oct–Dec 2026</t>
  </si>
  <si>
    <t>Jan–Mar 2027</t>
  </si>
  <si>
    <t>Apr–Jun 2027</t>
  </si>
  <si>
    <t>App records</t>
  </si>
  <si>
    <t>Super Agents</t>
  </si>
  <si>
    <t>Total annual incidents</t>
  </si>
  <si>
    <t>Start Quarter</t>
  </si>
  <si>
    <t>End Quarter</t>
  </si>
  <si>
    <t>Start Date</t>
  </si>
  <si>
    <t>End Date</t>
  </si>
  <si>
    <t>Duration (Days)</t>
  </si>
  <si>
    <t>Annual Incidents</t>
  </si>
  <si>
    <t>NUMBER OF USE CASES</t>
  </si>
  <si>
    <t>Active Quarters</t>
  </si>
  <si>
    <t>Event Correlation &amp; Alert Intelligence Agent</t>
  </si>
  <si>
    <t>Business Data Integrity &amp; Reconciliation Agent</t>
  </si>
  <si>
    <t>Workforce &amp; Customer Identity Lifecycle Assistant</t>
  </si>
  <si>
    <t>Problem &amp; Root-Cause Analyst</t>
  </si>
  <si>
    <t>Incident Triage &amp; Major Incident Copilot</t>
  </si>
  <si>
    <t>Enterprise Document Intelligence &amp; Compliance Agent</t>
  </si>
  <si>
    <t>Operations Reporting &amp; Insights Agent</t>
  </si>
  <si>
    <t>Release Quality &amp; Validation Agent</t>
  </si>
  <si>
    <t>Knowledge &amp; Resolution Copilot</t>
  </si>
  <si>
    <t>Service Desk Intake &amp; Interaction Orchestrator</t>
  </si>
  <si>
    <t>Service Request &amp; Standard Data Extract Fulfilment Agent</t>
  </si>
  <si>
    <t>AIA-011</t>
  </si>
  <si>
    <t>AIA-012</t>
  </si>
  <si>
    <t>AIA-013</t>
  </si>
  <si>
    <t>Agent ID</t>
  </si>
  <si>
    <t>Agent Name</t>
  </si>
  <si>
    <t>Description</t>
  </si>
  <si>
    <t xml:space="preserve">AIA-001 </t>
  </si>
  <si>
    <t xml:space="preserve"> Incident Triage &amp; Major Incident Copilot</t>
  </si>
  <si>
    <t>Classifies, enriches, prioritizes and routes incidents using service context and knowledge. It also supports initial diagnostics, next-best-action recommendations and human-supervised major-incident coordination; priority and resolver changes remain approval-controlled.</t>
  </si>
  <si>
    <t xml:space="preserve">AIA-002 </t>
  </si>
  <si>
    <t xml:space="preserve"> Safe Auto-Remediation Agent</t>
  </si>
  <si>
    <t>Executes approved, allow-listed runbooks for repeatable infrastructure and application faults, such as service recovery, patching and job hold or release. Actions require bounded permissions, monitoring, a kill switch and rollback or manual override.</t>
  </si>
  <si>
    <t xml:space="preserve">AIA-003 </t>
  </si>
  <si>
    <t xml:space="preserve"> Knowledge &amp; Resolution Copilot</t>
  </si>
  <si>
    <t>Retrieves governed knowledge, matches incidents to SOPs and provides cited, step-by-step resolution guidance. It also supports application-specific guided diagnostics and drafts resolution notes, while corrective execution is handed to the relevant fulfilment, remediation or data-integrity agent.</t>
  </si>
  <si>
    <t xml:space="preserve">AIA-004 </t>
  </si>
  <si>
    <t xml:space="preserve"> Service Request &amp; Standard Data Extract Fulfilment Agent</t>
  </si>
  <si>
    <t>Validates standard service requests and orchestrates approved catalogue fulfilment, including routine tasks and governed, read-only data extracts. Requests outside the approved catalogue or involving data correction are handed to the appropriate specialist agent.</t>
  </si>
  <si>
    <t xml:space="preserve">AIA-005 </t>
  </si>
  <si>
    <t xml:space="preserve"> Problem &amp; Root-Cause Analyst</t>
  </si>
  <si>
    <t>Analyzes logs and incident history to identify root causes, recurring patterns, known errors and problem records. It supports both individual incident diagnosis and broader problem-trend analysis but does not perform uncontrolled production remediation.</t>
  </si>
  <si>
    <t xml:space="preserve">AIA-006 </t>
  </si>
  <si>
    <t xml:space="preserve"> Change Risk Advisor (IT &amp; Business Configuration)</t>
  </si>
  <si>
    <t>Assesses the risk of IT and business-configuration changes using history, dependencies, conflicts, test evidence and implementation plans. It recommends approval conditions and safeguards while independent change governance retains the final decision.</t>
  </si>
  <si>
    <t xml:space="preserve">AIA-007 </t>
  </si>
  <si>
    <t xml:space="preserve"> Test Case Generation Copilot</t>
  </si>
  <si>
    <t>Generates traceable functional, regression and negative test cases from requirements, defects and change records. It supports quality engineering but does not own software development or final release approval.</t>
  </si>
  <si>
    <t xml:space="preserve">AIA-008 </t>
  </si>
  <si>
    <t xml:space="preserve"> Release Quality &amp; Validation Agent</t>
  </si>
  <si>
    <t>Validates release evidence, code-quality checks, deployment health, test completion and rollback readiness before and after release. It acts as an independent quality gate rather than the engineering team that creates the change.</t>
  </si>
  <si>
    <t xml:space="preserve">AIA-009 </t>
  </si>
  <si>
    <t xml:space="preserve"> Event Correlation &amp; Alert Intelligence Agent</t>
  </si>
  <si>
    <t>Ingests and correlates events, suppresses duplicate alerts, identifies probable impact and produces explainable alert insights. It enriches or opens incidents and recommends responses, while remediation is handed to AIA-002 or the responsible tower agent.</t>
  </si>
  <si>
    <t xml:space="preserve">AIA-010 </t>
  </si>
  <si>
    <t xml:space="preserve"> Workforce &amp; Customer Identity Lifecycle Assistant</t>
  </si>
  <si>
    <t>Supports workforce and customer identity journeys, including access requests, entitlement validation, registration, login diagnostics, OTP checks and profile prerequisites. Workforce and customer identity use separate approval, privacy and fraud-control paths.</t>
  </si>
  <si>
    <t xml:space="preserve">AIA-011 </t>
  </si>
  <si>
    <t xml:space="preserve"> Business Data Integrity &amp; Reconciliation Agent</t>
  </si>
  <si>
    <t>Detects, diagnoses, reconciles and corrects business-transaction and master-data inconsistencies across enterprise applications. Read-only analysis and write actions use separate control tiers, with data-owner approval, before-and-after evidence, duplicate prevention and rollback for changes.</t>
  </si>
  <si>
    <t xml:space="preserve">AIA-012 </t>
  </si>
  <si>
    <t xml:space="preserve"> Service Desk Intake &amp; Interaction Orchestrator</t>
  </si>
  <si>
    <t>Provides the service desk’s omnichannel front door across chat, email, voice and shared mailboxes. It creates, updates and checks tickets and sends routine communications, then hands off triage, knowledge, fulfilment and access work to the appropriate super agent.</t>
  </si>
  <si>
    <t xml:space="preserve">AIA-013 </t>
  </si>
  <si>
    <t xml:space="preserve"> Operations Reporting &amp; Insights Agent</t>
  </si>
  <si>
    <t>Produces governed operational dashboards, incident summaries, performance and capacity forecasts, and high-volume execution insights. It is read-only and advisory, using approved KPI definitions and data lineage while source agents retain correlation and remediation ownership.</t>
  </si>
  <si>
    <t xml:space="preserve">AIA-014 </t>
  </si>
  <si>
    <t xml:space="preserve"> SDLC Engineering &amp; Enhancement Orchestrator</t>
  </si>
  <si>
    <t>Coordinates human-supervised software engineering across development, database, API, front-end, code review, technical documentation and approved AMS enhancements. All work follows branch, test, change, release and rollback controls with no self-approval.</t>
  </si>
  <si>
    <t xml:space="preserve">AIA-015 </t>
  </si>
  <si>
    <t xml:space="preserve"> Commercial Intelligence &amp; Sales Enablement Copilot</t>
  </si>
  <si>
    <t>Provides governed commercial research, pricing and rate insights, and CRM or Salesforce business queries to support sales decisions. It remains advisory and cannot autonomously set prices, make customer commitments or use unapproved information sources.</t>
  </si>
  <si>
    <t xml:space="preserve">AIA-016 </t>
  </si>
  <si>
    <t xml:space="preserve"> Customer Order Operations Orchestrator</t>
  </si>
  <si>
    <t>Coordinates routine customer-order operations such as order entry, validation, status progression and approved exception handling. Data-quality exceptions are handed to AIA-011, while financial approvals and controls remain with the relevant finance process.</t>
  </si>
  <si>
    <t xml:space="preserve">AIA-017 </t>
  </si>
  <si>
    <t xml:space="preserve"> Business Analytics &amp; Data Query Copilot</t>
  </si>
  <si>
    <t>Enables governed business KPI reporting, natural-language or text-to-SQL queries and dashboard generation over certified datasets. It enforces semantic definitions, row-level security and data-owner controls and is distinct from AMS operational reporting.</t>
  </si>
  <si>
    <t xml:space="preserve">AIA-018 </t>
  </si>
  <si>
    <t xml:space="preserve"> Finance &amp; Accounts Payable Automation Agent</t>
  </si>
  <si>
    <t>Automates controlled finance and accounts-payable activities such as invoice extraction or generation, validation, matching and workflow preparation. Duplicate, tax and PO checks, segregation of duties and finance approval are required before posting.</t>
  </si>
  <si>
    <t xml:space="preserve">AIA-019 </t>
  </si>
  <si>
    <t xml:space="preserve"> Enterprise Document Intelligence &amp; Compliance Agent</t>
  </si>
  <si>
    <t>Ingests, classifies and extracts information from enterprise documents and prepares evidence for downstream workflows and compliance review. It applies document taxonomy, confidence thresholds, PII and retention controls, while regulated decisions remain human-owned.</t>
  </si>
  <si>
    <t xml:space="preserve">AIA-020 </t>
  </si>
  <si>
    <t xml:space="preserve"> Product Lifecycle Management Copilot</t>
  </si>
  <si>
    <t>Supports governed product-lifecycle activities, product records and PLM workflows under a product-engineering owner. It is used for confirmed PLM run-support capabilities and remains separate from major transformation or net-new product-development programs.</t>
  </si>
  <si>
    <t>Incidents &amp; Requests</t>
  </si>
  <si>
    <t>AIA-015</t>
  </si>
  <si>
    <t>AIA-016</t>
  </si>
  <si>
    <t>AIA-017</t>
  </si>
  <si>
    <t>AIA-014</t>
  </si>
  <si>
    <t>Provides governed commercial research, pricing and rate insights, and CRM or Salesforce business queries to support sales decisions. Tickets to IT team can be provided</t>
  </si>
  <si>
    <t xml:space="preserve">Coordinates routine customer-order operations such as order entry, validation, status progression and approved exception handling. </t>
  </si>
  <si>
    <t>Interaction Orchestrator</t>
  </si>
  <si>
    <t>Provides omnichannel front door across chat, email, voice and shared mailboxes. It creates, updates and checks tickets and sends routine communications, then hands off triage, knowledge, fulfilment and access work to the appropriate super agent.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</si>
</sst>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64" formatCode="_-* #,##0.00_-;\-* #,##0.00_-;_-* &quot;-&quot;??_-;_-@_-"/>
    <numFmt numFmtId="165" formatCode="#,##0_);[Red]\(#,##0\);&quot;-&quot;_);@"/>
    <numFmt numFmtId="166" formatCode="\$#,##0_);[Red]\(\$#,##0\);&quot;-&quot;_);@"/>
    <numFmt numFmtId="167" formatCode="0.0%"/>
    <numFmt numFmtId="168" formatCode="#,##0.00_);[Red]\(#,##0.00\);&quot;-&quot;_);@"/>
    <numFmt numFmtId="169" formatCode="_(* #,##0_);_(* \(#,##0\);_(* &quot;-&quot;??_);_(@_)"/>
    <numFmt numFmtId="170" formatCode="\$#,##0.00;[Red]\(\$#,##0.00\);\-"/>
    <numFmt numFmtId="171" formatCode="\$#,##0;[Red]\(\$#,##0\);\-"/>
    <numFmt numFmtId="172" formatCode="0.0"/>
    <numFmt numFmtId="173" formatCode="0.000000"/>
    <numFmt numFmtId="174" formatCode="0.000"/>
    <numFmt numFmtId="175" formatCode="#,##0.0"/>
    <numFmt numFmtId="176" formatCode="[$$-409]#,##0"/>
    <numFmt numFmtId="177" formatCode="dd/mmm/yyyy"/>
    <numFmt numFmtId="178" formatCode="[$$-409]0.00"/>
    <numFmt numFmtId="179" formatCode="mmm\ yyyy"/>
  </numFmts>
  <fonts count="57" x14ac:knownFonts="1">
    <font>
      <sz val="11"/>
      <color theme="1"/>
      <name val="Calibri"/>
      <family val="2"/>
      <scheme val="minor"/>
    </font>
    <font>
      <b/>
      <sz val="16"/>
      <color rgb="FFFFFFFF"/>
      <name val="Calibri"/>
      <family val="2"/>
    </font>
    <font>
      <b/>
      <sz val="11"/>
      <color rgb="FF1F4E79"/>
      <name val="Calibri"/>
      <family val="2"/>
    </font>
    <font>
      <sz val="11"/>
      <color rgb="FF0000FF"/>
      <name val="Calibri"/>
      <family val="2"/>
    </font>
    <font>
      <b/>
      <sz val="11"/>
      <name val="Calibri"/>
      <family val="2"/>
    </font>
    <font>
      <sz val="11"/>
      <color rgb="FF404040"/>
      <name val="Calibri"/>
      <family val="2"/>
    </font>
    <font>
      <b/>
      <sz val="11"/>
      <color rgb="FFFFFFFF"/>
      <name val="Calibri"/>
      <family val="2"/>
    </font>
    <font>
      <sz val="11"/>
      <color rgb="FF000000"/>
      <name val="Calibri"/>
      <family val="2"/>
    </font>
    <font>
      <b/>
      <sz val="11"/>
      <color rgb="FF000000"/>
      <name val="Calibri"/>
      <family val="2"/>
    </font>
    <font>
      <sz val="11"/>
      <color rgb="FF008000"/>
      <name val="Calibri"/>
      <family val="2"/>
    </font>
    <font>
      <i/>
      <sz val="11"/>
      <color rgb="FF404040"/>
      <name val="Calibri"/>
      <family val="2"/>
    </font>
    <font>
      <sz val="11"/>
      <color theme="1"/>
      <name val="Calibri"/>
      <family val="2"/>
      <scheme val="minor"/>
    </font>
    <font>
      <b/>
      <sz val="20"/>
      <color theme="0"/>
      <name val="Calibri"/>
      <family val="2"/>
      <scheme val="minor"/>
    </font>
    <font>
      <b/>
      <sz val="20"/>
      <color rgb="FFFFFFFF"/>
      <name val="Calibri"/>
      <family val="2"/>
    </font>
    <font>
      <b/>
      <sz val="20"/>
      <color rgb="FFFFFFFF"/>
      <name val="Calibri"/>
      <family val="2"/>
      <scheme val="minor"/>
    </font>
    <font>
      <b/>
      <sz val="12"/>
      <color theme="1"/>
      <name val="Calibri"/>
      <family val="2"/>
      <scheme val="minor"/>
    </font>
    <font>
      <sz val="11"/>
      <color theme="1"/>
      <name val="Calibri"/>
      <family val="2"/>
    </font>
    <font>
      <b/>
      <sz val="12"/>
      <color rgb="FF000000"/>
      <name val="Calibri"/>
      <family val="2"/>
    </font>
    <font>
      <sz val="11"/>
      <color rgb="FFFF0000"/>
      <name val="Calibri"/>
      <family val="2"/>
    </font>
    <font>
      <b/>
      <sz val="11"/>
      <color theme="1"/>
      <name val="Calibri"/>
      <family val="2"/>
      <scheme val="minor"/>
    </font>
    <font>
      <sz val="11"/>
      <color rgb="FF000000"/>
      <name val="Calibri"/>
      <family val="2"/>
      <scheme val="minor"/>
    </font>
    <font>
      <b/>
      <sz val="14"/>
      <color rgb="FF1F4E79"/>
      <name val="Calibri"/>
      <family val="2"/>
      <scheme val="minor"/>
    </font>
    <font>
      <sz val="11"/>
      <color theme="0"/>
      <name val="Calibri"/>
      <family val="2"/>
    </font>
    <font>
      <sz val="11"/>
      <color theme="0"/>
      <name val="Calibri"/>
      <family val="2"/>
      <scheme val="minor"/>
    </font>
    <font>
      <b/>
      <sz val="12"/>
      <color rgb="FF1F4E79"/>
      <name val="Calibri"/>
      <family val="2"/>
      <scheme val="minor"/>
    </font>
    <font>
      <b/>
      <sz val="11"/>
      <color theme="0"/>
      <name val="Calibri"/>
      <family val="2"/>
    </font>
    <font>
      <sz val="8"/>
      <color theme="0"/>
      <name val="Calibri"/>
      <family val="2"/>
    </font>
    <font>
      <b/>
      <sz val="11"/>
      <color rgb="FFFFFFFF"/>
      <name val="Calibri"/>
      <family val="2"/>
    </font>
    <font>
      <b/>
      <sz val="11"/>
      <color rgb="FF17365D"/>
      <name val="Calibri"/>
      <family val="2"/>
    </font>
    <font>
      <sz val="11"/>
      <color rgb="FF0000FF"/>
      <name val="Calibri"/>
      <family val="2"/>
    </font>
    <font>
      <b/>
      <sz val="11"/>
      <color rgb="FF0000FF"/>
      <name val="Calibri"/>
      <family val="2"/>
    </font>
    <font>
      <b/>
      <sz val="16"/>
      <color rgb="FFFFFFFF"/>
      <name val="Calibri"/>
      <family val="2"/>
    </font>
    <font>
      <i/>
      <sz val="11"/>
      <color rgb="FF666666"/>
      <name val="Calibri"/>
      <family val="2"/>
    </font>
    <font>
      <sz val="11"/>
      <color rgb="FF0070C0"/>
      <name val="Calibri"/>
      <family val="2"/>
    </font>
    <font>
      <sz val="11"/>
      <color rgb="FF000000"/>
      <name val="Calibri"/>
      <family val="2"/>
    </font>
    <font>
      <b/>
      <sz val="11"/>
      <name val="Calibri"/>
      <family val="2"/>
    </font>
    <font>
      <b/>
      <sz val="11"/>
      <color rgb="FF0070C0"/>
      <name val="Calibri"/>
      <family val="2"/>
    </font>
    <font>
      <sz val="11"/>
      <color rgb="FF0070C0"/>
      <name val="Calibri"/>
      <family val="2"/>
    </font>
    <font>
      <sz val="11"/>
      <color rgb="FF00B050"/>
      <name val="Calibri"/>
      <family val="2"/>
    </font>
    <font>
      <sz val="11"/>
      <color rgb="FF00B050"/>
      <name val="Calibri"/>
      <family val="2"/>
      <scheme val="minor"/>
    </font>
    <font>
      <sz val="11"/>
      <name val="Calibri"/>
      <family val="2"/>
    </font>
    <font>
      <b/>
      <sz val="11"/>
      <color rgb="FF006100"/>
      <name val="Calibri"/>
      <family val="2"/>
      <scheme val="minor"/>
    </font>
    <font>
      <b/>
      <sz val="11"/>
      <color rgb="FFFFFFFF"/>
      <name val="Calibri"/>
      <family val="2"/>
      <scheme val="minor"/>
    </font>
    <font>
      <b/>
      <sz val="16"/>
      <color rgb="FFFFFFFF"/>
      <name val="Calibri"/>
      <family val="2"/>
      <scheme val="minor"/>
    </font>
    <font>
      <sz val="11"/>
      <color rgb="FF1F1F1F"/>
      <name val="Calibri"/>
      <family val="2"/>
      <scheme val="minor"/>
    </font>
    <font>
      <b/>
      <sz val="8"/>
      <color rgb="FF000000"/>
      <name val="Calibri"/>
      <family val="2"/>
    </font>
    <font>
      <b/>
      <sz val="14"/>
      <color rgb="FFFFFFFF"/>
      <name val="Calibri"/>
      <family val="2"/>
      <scheme val="minor"/>
    </font>
    <font>
      <sz val="11"/>
      <color rgb="FF7F6000"/>
      <name val="Calibri"/>
      <family val="2"/>
      <scheme val="minor"/>
    </font>
    <font>
      <sz val="11"/>
      <color rgb="FF404040"/>
      <name val="Calibri"/>
      <family val="2"/>
    </font>
    <font>
      <sz val="8"/>
      <color rgb="FF0070C0"/>
      <name val="Calibri"/>
      <family val="2"/>
      <scheme val="minor"/>
    </font>
    <font>
      <b/>
      <sz val="11"/>
      <color rgb="FFFF0000"/>
      <name val="Calibri"/>
      <family val="2"/>
    </font>
    <font>
      <b/>
      <sz val="18"/>
      <color rgb="FFFFFFFF"/>
      <name val="Aptos"/>
      <family val="2"/>
    </font>
    <font>
      <i/>
      <sz val="11"/>
      <color rgb="FF566573"/>
      <name val="Aptos"/>
      <family val="2"/>
    </font>
    <font>
      <sz val="11"/>
      <color theme="1"/>
      <name val="Aptos"/>
      <family val="2"/>
    </font>
    <font>
      <b/>
      <sz val="11"/>
      <color theme="1"/>
      <name val="Aptos"/>
      <family val="2"/>
    </font>
    <font>
      <b/>
      <sz val="11"/>
      <color rgb="FFFFFFFF"/>
      <name val="Aptos"/>
      <family val="2"/>
    </font>
    <font>
      <b/>
      <sz val="11"/>
      <color rgb="FF9C5700"/>
      <name val="Aptos"/>
      <family val="2"/>
    </font>
  </fonts>
  <fills count="30">
    <fill>
      <patternFill patternType="none"/>
    </fill>
    <fill>
      <patternFill patternType="gray125"/>
    </fill>
    <fill>
      <patternFill patternType="solid">
        <fgColor rgb="FF1F4E79"/>
      </patternFill>
    </fill>
    <fill>
      <patternFill patternType="solid">
        <fgColor rgb="FFD9E1F2"/>
      </patternFill>
    </fill>
    <fill>
      <patternFill patternType="solid">
        <fgColor rgb="FFE7E6E6"/>
      </patternFill>
    </fill>
    <fill>
      <patternFill patternType="solid">
        <fgColor rgb="FFFFFFFF"/>
      </patternFill>
    </fill>
    <fill>
      <patternFill patternType="solid">
        <fgColor rgb="FF1F4E79"/>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theme="4" tint="-0.499984740745262"/>
        <bgColor indexed="64"/>
      </patternFill>
    </fill>
    <fill>
      <patternFill patternType="solid">
        <fgColor rgb="FF17365D"/>
      </patternFill>
    </fill>
    <fill>
      <patternFill patternType="solid">
        <fgColor rgb="FFFFF2CC"/>
      </patternFill>
    </fill>
    <fill>
      <patternFill patternType="solid">
        <fgColor rgb="FFE2F0D9"/>
      </patternFill>
    </fill>
    <fill>
      <patternFill patternType="solid">
        <fgColor rgb="FFDDEBF7"/>
      </patternFill>
    </fill>
    <fill>
      <patternFill patternType="solid">
        <fgColor rgb="FF00A6A6"/>
      </patternFill>
    </fill>
    <fill>
      <patternFill patternType="solid">
        <fgColor rgb="FFD9EAF7"/>
      </patternFill>
    </fill>
    <fill>
      <patternFill patternType="solid">
        <fgColor rgb="FFFCE4D6"/>
      </patternFill>
    </fill>
    <fill>
      <patternFill patternType="solid">
        <fgColor rgb="FFFFF8C1"/>
        <bgColor indexed="64"/>
      </patternFill>
    </fill>
    <fill>
      <patternFill patternType="solid">
        <fgColor rgb="FFE2F0D9"/>
        <bgColor indexed="64"/>
      </patternFill>
    </fill>
    <fill>
      <patternFill patternType="solid">
        <fgColor rgb="FF17365D"/>
        <bgColor indexed="64"/>
      </patternFill>
    </fill>
    <fill>
      <patternFill patternType="solid">
        <fgColor rgb="FFD9EAF7"/>
        <bgColor indexed="64"/>
      </patternFill>
    </fill>
    <fill>
      <patternFill patternType="solid">
        <fgColor rgb="FF4472C4"/>
        <bgColor indexed="64"/>
      </patternFill>
    </fill>
    <fill>
      <patternFill patternType="solid">
        <fgColor rgb="FFD9EAD3"/>
        <bgColor indexed="64"/>
      </patternFill>
    </fill>
    <fill>
      <patternFill patternType="solid">
        <fgColor rgb="FFEAF2F8"/>
        <bgColor indexed="64"/>
      </patternFill>
    </fill>
    <fill>
      <patternFill patternType="solid">
        <fgColor rgb="FFFFF2CC"/>
        <bgColor indexed="64"/>
      </patternFill>
    </fill>
    <fill>
      <patternFill patternType="solid">
        <fgColor rgb="FFED7D31"/>
        <bgColor indexed="64"/>
      </patternFill>
    </fill>
    <fill>
      <patternFill patternType="solid">
        <fgColor rgb="FF70AD47"/>
        <bgColor indexed="64"/>
      </patternFill>
    </fill>
    <fill>
      <patternFill patternType="solid">
        <fgColor rgb="FF8064A2"/>
        <bgColor indexed="64"/>
      </patternFill>
    </fill>
    <fill>
      <patternFill patternType="solid">
        <fgColor rgb="FF2F75B5"/>
        <bgColor indexed="64"/>
      </patternFill>
    </fill>
    <fill>
      <patternFill patternType="solid">
        <fgColor rgb="FF002060"/>
        <bgColor indexed="64"/>
      </patternFill>
    </fill>
  </fills>
  <borders count="9">
    <border>
      <left/>
      <right/>
      <top/>
      <bottom/>
      <diagonal/>
    </border>
    <border>
      <left style="thin">
        <color rgb="FFD0D0D0"/>
      </left>
      <right style="thin">
        <color rgb="FFD0D0D0"/>
      </right>
      <top style="thin">
        <color rgb="FFD0D0D0"/>
      </top>
      <bottom style="thin">
        <color rgb="FFD0D0D0"/>
      </bottom>
      <diagonal/>
    </border>
    <border>
      <left/>
      <right/>
      <top style="thin">
        <color rgb="FFD0D0D0"/>
      </top>
      <bottom style="thin">
        <color rgb="FFD0D0D0"/>
      </bottom>
      <diagonal/>
    </border>
    <border>
      <left/>
      <right style="thin">
        <color rgb="FFD0D0D0"/>
      </right>
      <top style="thin">
        <color rgb="FFD0D0D0"/>
      </top>
      <bottom style="thin">
        <color rgb="FFD0D0D0"/>
      </bottom>
      <diagonal/>
    </border>
    <border>
      <left/>
      <right/>
      <top/>
      <bottom style="thin">
        <color rgb="FFB7B7B7"/>
      </bottom>
      <diagonal/>
    </border>
    <border>
      <left style="thin">
        <color rgb="FFD0D0D0"/>
      </left>
      <right/>
      <top/>
      <bottom/>
      <diagonal/>
    </border>
    <border>
      <left style="thin">
        <color rgb="FFED7D31"/>
      </left>
      <right style="thin">
        <color rgb="FFED7D31"/>
      </right>
      <top/>
      <bottom/>
      <diagonal/>
    </border>
    <border>
      <left/>
      <right/>
      <top/>
      <bottom style="thin">
        <color rgb="FFD9E2F3"/>
      </bottom>
      <diagonal/>
    </border>
    <border>
      <left style="thin">
        <color rgb="FFED7D31"/>
      </left>
      <right style="thin">
        <color rgb="FFED7D31"/>
      </right>
      <top/>
      <bottom style="thin">
        <color rgb="FFD9E2F3"/>
      </bottom>
      <diagonal/>
    </border>
  </borders>
  <cellStyleXfs count="3">
    <xf numFmtId="0" fontId="0" fillId="0" borderId="0"/>
    <xf numFmtId="164" fontId="11" fillId="0" borderId="0"/>
    <xf numFmtId="164" fontId="11" fillId="0" borderId="0"/>
  </cellStyleXfs>
  <cellXfs count="206">
    <xf numFmtId="0" fontId="0" fillId="0" borderId="0" xfId="0"/>
    <xf numFmtId="0" fontId="2" fillId="3" borderId="1" xfId="0" applyFont="1" applyFill="1" applyBorder="1" applyAlignment="1">
      <alignment horizontal="left" vertical="center" wrapText="1"/>
    </xf>
    <xf numFmtId="0" fontId="0" fillId="0" borderId="1" xfId="0" applyBorder="1"/>
    <xf numFmtId="0" fontId="0" fillId="0" borderId="1" xfId="0" applyBorder="1" applyAlignment="1">
      <alignment horizontal="left" vertical="center" wrapText="1"/>
    </xf>
    <xf numFmtId="0" fontId="3" fillId="0" borderId="1" xfId="0" applyFont="1" applyBorder="1" applyAlignment="1">
      <alignment horizontal="left" vertical="center" wrapText="1"/>
    </xf>
    <xf numFmtId="0" fontId="6" fillId="2" borderId="1" xfId="0" applyFont="1" applyFill="1" applyBorder="1" applyAlignment="1">
      <alignment horizontal="center" vertical="center" wrapText="1"/>
    </xf>
    <xf numFmtId="0" fontId="0" fillId="0" borderId="1" xfId="0" applyBorder="1" applyAlignment="1">
      <alignment horizontal="center" vertical="center" wrapText="1"/>
    </xf>
    <xf numFmtId="0" fontId="4" fillId="0" borderId="1" xfId="0" applyFont="1" applyBorder="1" applyAlignment="1">
      <alignment horizontal="left" vertical="center" wrapText="1"/>
    </xf>
    <xf numFmtId="0" fontId="2" fillId="3" borderId="1" xfId="0" applyFont="1" applyFill="1" applyBorder="1" applyAlignment="1">
      <alignment horizontal="center" vertical="center" wrapText="1"/>
    </xf>
    <xf numFmtId="0" fontId="0" fillId="3" borderId="1" xfId="0" applyFill="1" applyBorder="1"/>
    <xf numFmtId="0" fontId="7" fillId="0" borderId="1" xfId="0" applyFont="1" applyBorder="1" applyAlignment="1">
      <alignment horizontal="left" vertical="center" wrapText="1"/>
    </xf>
    <xf numFmtId="0" fontId="7" fillId="0" borderId="1" xfId="0" applyFont="1" applyBorder="1" applyAlignment="1">
      <alignment horizontal="center" vertical="center" wrapText="1"/>
    </xf>
    <xf numFmtId="165" fontId="0" fillId="0" borderId="1" xfId="0" applyNumberFormat="1" applyBorder="1" applyAlignment="1">
      <alignment horizontal="right" vertical="center" wrapText="1"/>
    </xf>
    <xf numFmtId="166" fontId="0" fillId="0" borderId="1" xfId="0" applyNumberFormat="1" applyBorder="1" applyAlignment="1">
      <alignment horizontal="right" vertical="center" wrapText="1"/>
    </xf>
    <xf numFmtId="165" fontId="9" fillId="4" borderId="1" xfId="0" applyNumberFormat="1" applyFont="1" applyFill="1" applyBorder="1"/>
    <xf numFmtId="167" fontId="9" fillId="4" borderId="1" xfId="0" applyNumberFormat="1" applyFont="1" applyFill="1" applyBorder="1"/>
    <xf numFmtId="168" fontId="9" fillId="4" borderId="1" xfId="0" applyNumberFormat="1" applyFont="1" applyFill="1" applyBorder="1"/>
    <xf numFmtId="165" fontId="9" fillId="4" borderId="1" xfId="0" applyNumberFormat="1" applyFont="1" applyFill="1" applyBorder="1" applyAlignment="1">
      <alignment horizontal="right" vertical="center" wrapText="1"/>
    </xf>
    <xf numFmtId="166" fontId="9" fillId="4" borderId="1" xfId="0" applyNumberFormat="1" applyFont="1" applyFill="1" applyBorder="1" applyAlignment="1">
      <alignment horizontal="right" vertical="center" wrapText="1"/>
    </xf>
    <xf numFmtId="0" fontId="4" fillId="5" borderId="1" xfId="0" applyFont="1" applyFill="1" applyBorder="1" applyAlignment="1">
      <alignment horizontal="left" vertical="center" wrapText="1"/>
    </xf>
    <xf numFmtId="0" fontId="4" fillId="5" borderId="1" xfId="0" applyFont="1" applyFill="1" applyBorder="1" applyAlignment="1">
      <alignment horizontal="center" vertical="center" wrapText="1"/>
    </xf>
    <xf numFmtId="168" fontId="9" fillId="4" borderId="1" xfId="0" applyNumberFormat="1" applyFont="1" applyFill="1" applyBorder="1" applyAlignment="1">
      <alignment horizontal="right" vertical="center" wrapText="1"/>
    </xf>
    <xf numFmtId="17" fontId="0" fillId="0" borderId="1" xfId="0" applyNumberFormat="1" applyBorder="1" applyAlignment="1">
      <alignment horizontal="center" vertical="center" wrapText="1"/>
    </xf>
    <xf numFmtId="0" fontId="10" fillId="0" borderId="0" xfId="0" applyFont="1"/>
    <xf numFmtId="0" fontId="0" fillId="5" borderId="1" xfId="0" applyFill="1" applyBorder="1"/>
    <xf numFmtId="0" fontId="5" fillId="0" borderId="1" xfId="0" applyFont="1" applyBorder="1" applyAlignment="1">
      <alignment horizontal="left" vertical="top" wrapText="1"/>
    </xf>
    <xf numFmtId="0" fontId="12" fillId="6" borderId="0" xfId="0" applyFont="1" applyFill="1" applyAlignment="1">
      <alignment horizontal="center"/>
    </xf>
    <xf numFmtId="0" fontId="18" fillId="0" borderId="1" xfId="0" applyFont="1" applyBorder="1" applyAlignment="1">
      <alignment horizontal="center" vertical="center" wrapText="1"/>
    </xf>
    <xf numFmtId="165" fontId="0" fillId="0" borderId="1" xfId="0" quotePrefix="1" applyNumberFormat="1" applyBorder="1" applyAlignment="1">
      <alignment horizontal="right" vertical="center" wrapText="1"/>
    </xf>
    <xf numFmtId="0" fontId="20" fillId="0" borderId="0" xfId="0" applyFont="1"/>
    <xf numFmtId="0" fontId="20" fillId="0" borderId="0" xfId="0" applyFont="1" applyAlignment="1">
      <alignment wrapText="1"/>
    </xf>
    <xf numFmtId="0" fontId="21" fillId="3" borderId="1" xfId="0" applyFont="1" applyFill="1" applyBorder="1" applyAlignment="1">
      <alignment horizontal="left" vertical="center" wrapText="1"/>
    </xf>
    <xf numFmtId="0" fontId="17" fillId="7" borderId="1" xfId="0" applyFont="1" applyFill="1" applyBorder="1" applyAlignment="1">
      <alignment horizontal="left" vertical="center" wrapText="1"/>
    </xf>
    <xf numFmtId="0" fontId="8" fillId="8" borderId="1" xfId="0" applyFont="1" applyFill="1" applyBorder="1" applyAlignment="1">
      <alignment horizontal="left" vertical="center" wrapText="1"/>
    </xf>
    <xf numFmtId="0" fontId="8" fillId="8" borderId="1" xfId="0" applyFont="1" applyFill="1" applyBorder="1" applyAlignment="1">
      <alignment horizontal="center" vertical="center" wrapText="1"/>
    </xf>
    <xf numFmtId="165" fontId="19" fillId="8" borderId="1" xfId="0" applyNumberFormat="1" applyFont="1" applyFill="1" applyBorder="1" applyAlignment="1">
      <alignment horizontal="right" vertical="center" wrapText="1"/>
    </xf>
    <xf numFmtId="0" fontId="22" fillId="9" borderId="1" xfId="0" applyFont="1" applyFill="1" applyBorder="1" applyAlignment="1">
      <alignment horizontal="left" vertical="center" wrapText="1"/>
    </xf>
    <xf numFmtId="165" fontId="0" fillId="0" borderId="1" xfId="0" applyNumberFormat="1" applyBorder="1" applyAlignment="1">
      <alignment horizontal="center" vertical="center" wrapText="1"/>
    </xf>
    <xf numFmtId="165" fontId="19" fillId="8" borderId="1" xfId="0" applyNumberFormat="1" applyFont="1" applyFill="1" applyBorder="1" applyAlignment="1">
      <alignment horizontal="center" vertical="center" wrapText="1"/>
    </xf>
    <xf numFmtId="0" fontId="16" fillId="0" borderId="1" xfId="0" applyFont="1" applyBorder="1" applyAlignment="1">
      <alignment horizontal="left" vertical="center" wrapText="1"/>
    </xf>
    <xf numFmtId="0" fontId="16" fillId="0" borderId="1" xfId="0" applyFont="1" applyBorder="1" applyAlignment="1">
      <alignment horizontal="center" vertical="center" wrapText="1"/>
    </xf>
    <xf numFmtId="0" fontId="0" fillId="0" borderId="0" xfId="0" applyAlignment="1">
      <alignment wrapText="1"/>
    </xf>
    <xf numFmtId="0" fontId="23" fillId="0" borderId="0" xfId="0" applyFont="1" applyAlignment="1">
      <alignment wrapText="1"/>
    </xf>
    <xf numFmtId="3" fontId="0" fillId="0" borderId="0" xfId="0" applyNumberFormat="1" applyAlignment="1">
      <alignment wrapText="1"/>
    </xf>
    <xf numFmtId="0" fontId="24" fillId="3" borderId="1" xfId="0" applyFont="1" applyFill="1" applyBorder="1" applyAlignment="1">
      <alignment horizontal="center" vertical="center" wrapText="1"/>
    </xf>
    <xf numFmtId="0" fontId="15" fillId="3" borderId="1" xfId="0" applyFont="1" applyFill="1" applyBorder="1"/>
    <xf numFmtId="0" fontId="15" fillId="3" borderId="1" xfId="0" applyFont="1" applyFill="1" applyBorder="1" applyAlignment="1">
      <alignment horizontal="center"/>
    </xf>
    <xf numFmtId="0" fontId="25" fillId="9" borderId="1" xfId="0" applyFont="1" applyFill="1" applyBorder="1" applyAlignment="1">
      <alignment horizontal="left" vertical="center" wrapText="1"/>
    </xf>
    <xf numFmtId="0" fontId="26" fillId="9" borderId="1" xfId="0" applyFont="1" applyFill="1" applyBorder="1" applyAlignment="1">
      <alignment horizontal="left" vertical="center" wrapText="1"/>
    </xf>
    <xf numFmtId="0" fontId="30" fillId="3" borderId="1" xfId="0" applyFont="1" applyFill="1" applyBorder="1" applyAlignment="1">
      <alignment horizontal="center" vertical="center" wrapText="1"/>
    </xf>
    <xf numFmtId="0" fontId="33" fillId="11" borderId="0" xfId="0" applyFont="1" applyFill="1" applyAlignment="1">
      <alignment vertical="top" wrapText="1"/>
    </xf>
    <xf numFmtId="167" fontId="33" fillId="11" borderId="0" xfId="0" applyNumberFormat="1" applyFont="1" applyFill="1" applyAlignment="1">
      <alignment vertical="top" wrapText="1"/>
    </xf>
    <xf numFmtId="170" fontId="33" fillId="11" borderId="0" xfId="0" applyNumberFormat="1" applyFont="1" applyFill="1" applyAlignment="1">
      <alignment vertical="top" wrapText="1"/>
    </xf>
    <xf numFmtId="170" fontId="34" fillId="12" borderId="0" xfId="0" applyNumberFormat="1" applyFont="1" applyFill="1" applyAlignment="1">
      <alignment vertical="top" wrapText="1"/>
    </xf>
    <xf numFmtId="171" fontId="33" fillId="11" borderId="0" xfId="0" applyNumberFormat="1" applyFont="1" applyFill="1" applyAlignment="1">
      <alignment vertical="top" wrapText="1"/>
    </xf>
    <xf numFmtId="0" fontId="35" fillId="13" borderId="0" xfId="0" applyFont="1" applyFill="1"/>
    <xf numFmtId="0" fontId="0" fillId="0" borderId="4" xfId="0" applyBorder="1" applyAlignment="1">
      <alignment vertical="top" wrapText="1"/>
    </xf>
    <xf numFmtId="0" fontId="36" fillId="11" borderId="4" xfId="0" applyFont="1" applyFill="1" applyBorder="1" applyAlignment="1">
      <alignment vertical="top" wrapText="1"/>
    </xf>
    <xf numFmtId="0" fontId="35" fillId="12" borderId="4" xfId="0" applyFont="1" applyFill="1" applyBorder="1" applyAlignment="1">
      <alignment vertical="top" wrapText="1"/>
    </xf>
    <xf numFmtId="0" fontId="35" fillId="16" borderId="4" xfId="0" applyFont="1" applyFill="1" applyBorder="1" applyAlignment="1">
      <alignment vertical="top" wrapText="1"/>
    </xf>
    <xf numFmtId="0" fontId="28" fillId="0" borderId="0" xfId="0" applyFont="1"/>
    <xf numFmtId="0" fontId="28" fillId="15" borderId="4" xfId="0" applyFont="1" applyFill="1" applyBorder="1" applyAlignment="1">
      <alignment vertical="center" wrapText="1"/>
    </xf>
    <xf numFmtId="0" fontId="27" fillId="10" borderId="4" xfId="0" applyFont="1" applyFill="1" applyBorder="1" applyAlignment="1">
      <alignment vertical="center" wrapText="1"/>
    </xf>
    <xf numFmtId="17" fontId="29" fillId="11" borderId="1" xfId="0" applyNumberFormat="1" applyFont="1" applyFill="1" applyBorder="1" applyAlignment="1">
      <alignment horizontal="left" vertical="center" wrapText="1"/>
    </xf>
    <xf numFmtId="0" fontId="29" fillId="11" borderId="1" xfId="0" applyFont="1" applyFill="1" applyBorder="1" applyAlignment="1">
      <alignment horizontal="left" vertical="center" wrapText="1"/>
    </xf>
    <xf numFmtId="0" fontId="29" fillId="11" borderId="1" xfId="0" applyFont="1" applyFill="1" applyBorder="1"/>
    <xf numFmtId="165" fontId="29" fillId="11" borderId="1" xfId="0" applyNumberFormat="1" applyFont="1" applyFill="1" applyBorder="1" applyAlignment="1">
      <alignment horizontal="center" vertical="center" wrapText="1"/>
    </xf>
    <xf numFmtId="167" fontId="29" fillId="11" borderId="1" xfId="0" applyNumberFormat="1" applyFont="1" applyFill="1" applyBorder="1" applyAlignment="1">
      <alignment horizontal="left" vertical="center" wrapText="1"/>
    </xf>
    <xf numFmtId="0" fontId="4" fillId="16" borderId="1" xfId="0" applyFont="1" applyFill="1" applyBorder="1"/>
    <xf numFmtId="0" fontId="0" fillId="16" borderId="1" xfId="0" applyFill="1" applyBorder="1"/>
    <xf numFmtId="168" fontId="29" fillId="11" borderId="1" xfId="0" applyNumberFormat="1" applyFont="1" applyFill="1" applyBorder="1" applyAlignment="1">
      <alignment horizontal="left" vertical="center" wrapText="1"/>
    </xf>
    <xf numFmtId="166" fontId="29" fillId="11" borderId="1" xfId="0" applyNumberFormat="1" applyFont="1" applyFill="1" applyBorder="1" applyAlignment="1">
      <alignment horizontal="center" vertical="center" wrapText="1"/>
    </xf>
    <xf numFmtId="172" fontId="29" fillId="11" borderId="1" xfId="0" applyNumberFormat="1" applyFont="1" applyFill="1" applyBorder="1" applyAlignment="1">
      <alignment horizontal="center" vertical="center" wrapText="1"/>
    </xf>
    <xf numFmtId="2" fontId="29" fillId="11" borderId="1" xfId="0" applyNumberFormat="1" applyFont="1" applyFill="1" applyBorder="1" applyAlignment="1">
      <alignment horizontal="center" vertical="center" wrapText="1"/>
    </xf>
    <xf numFmtId="173" fontId="29" fillId="11" borderId="1" xfId="0" applyNumberFormat="1" applyFont="1" applyFill="1" applyBorder="1" applyAlignment="1">
      <alignment horizontal="center" vertical="center" wrapText="1"/>
    </xf>
    <xf numFmtId="174" fontId="29" fillId="11" borderId="1" xfId="0" applyNumberFormat="1" applyFont="1" applyFill="1" applyBorder="1" applyAlignment="1">
      <alignment horizontal="center" vertical="center" wrapText="1"/>
    </xf>
    <xf numFmtId="165" fontId="29" fillId="11" borderId="1" xfId="0" applyNumberFormat="1" applyFont="1" applyFill="1" applyBorder="1"/>
    <xf numFmtId="168" fontId="29" fillId="11" borderId="1" xfId="0" applyNumberFormat="1" applyFont="1" applyFill="1" applyBorder="1"/>
    <xf numFmtId="166" fontId="29" fillId="11" borderId="1" xfId="0" applyNumberFormat="1" applyFont="1" applyFill="1" applyBorder="1"/>
    <xf numFmtId="0" fontId="4" fillId="16" borderId="1" xfId="0" applyFont="1" applyFill="1" applyBorder="1" applyAlignment="1">
      <alignment horizontal="left" vertical="center" wrapText="1"/>
    </xf>
    <xf numFmtId="0" fontId="8" fillId="16" borderId="1" xfId="0" applyFont="1" applyFill="1" applyBorder="1" applyAlignment="1">
      <alignment horizontal="left" vertical="center" wrapText="1"/>
    </xf>
    <xf numFmtId="0" fontId="8" fillId="16" borderId="1" xfId="0" applyFont="1" applyFill="1" applyBorder="1" applyAlignment="1">
      <alignment horizontal="center" vertical="center" wrapText="1"/>
    </xf>
    <xf numFmtId="166" fontId="8" fillId="16" borderId="1" xfId="0" applyNumberFormat="1" applyFont="1" applyFill="1" applyBorder="1" applyAlignment="1">
      <alignment horizontal="right" vertical="center" wrapText="1"/>
    </xf>
    <xf numFmtId="166" fontId="4" fillId="16" borderId="1" xfId="0" applyNumberFormat="1" applyFont="1" applyFill="1" applyBorder="1" applyAlignment="1">
      <alignment horizontal="right" vertical="center" wrapText="1"/>
    </xf>
    <xf numFmtId="0" fontId="0" fillId="0" borderId="4" xfId="0" applyBorder="1" applyAlignment="1">
      <alignment horizontal="center" vertical="center" wrapText="1"/>
    </xf>
    <xf numFmtId="0" fontId="0" fillId="0" borderId="0" xfId="0" applyAlignment="1">
      <alignment vertical="top" wrapText="1"/>
    </xf>
    <xf numFmtId="0" fontId="25" fillId="2" borderId="1" xfId="0" applyFont="1" applyFill="1" applyBorder="1" applyAlignment="1">
      <alignment horizontal="center" vertical="center" wrapText="1"/>
    </xf>
    <xf numFmtId="168" fontId="38" fillId="4" borderId="1" xfId="0" applyNumberFormat="1" applyFont="1" applyFill="1" applyBorder="1"/>
    <xf numFmtId="166" fontId="38" fillId="4" borderId="1" xfId="0" applyNumberFormat="1" applyFont="1" applyFill="1" applyBorder="1"/>
    <xf numFmtId="165" fontId="38" fillId="4" borderId="1" xfId="0" applyNumberFormat="1" applyFont="1" applyFill="1" applyBorder="1"/>
    <xf numFmtId="165" fontId="38" fillId="4" borderId="1" xfId="0" applyNumberFormat="1" applyFont="1" applyFill="1" applyBorder="1" applyAlignment="1">
      <alignment horizontal="right" vertical="center" wrapText="1"/>
    </xf>
    <xf numFmtId="166" fontId="38" fillId="4" borderId="1" xfId="0" applyNumberFormat="1" applyFont="1" applyFill="1" applyBorder="1" applyAlignment="1">
      <alignment horizontal="right" vertical="center" wrapText="1"/>
    </xf>
    <xf numFmtId="165" fontId="39" fillId="7" borderId="1" xfId="0" applyNumberFormat="1" applyFont="1" applyFill="1" applyBorder="1" applyAlignment="1">
      <alignment horizontal="right" vertical="center" wrapText="1"/>
    </xf>
    <xf numFmtId="165" fontId="0" fillId="7" borderId="1" xfId="0" applyNumberFormat="1" applyFill="1" applyBorder="1" applyAlignment="1">
      <alignment horizontal="center" vertical="center" wrapText="1"/>
    </xf>
    <xf numFmtId="165" fontId="39" fillId="7" borderId="1" xfId="0" applyNumberFormat="1" applyFont="1" applyFill="1" applyBorder="1" applyAlignment="1">
      <alignment horizontal="center" vertical="center" wrapText="1"/>
    </xf>
    <xf numFmtId="165" fontId="0" fillId="17" borderId="1" xfId="0" applyNumberFormat="1" applyFill="1" applyBorder="1" applyAlignment="1">
      <alignment horizontal="center" vertical="center" wrapText="1"/>
    </xf>
    <xf numFmtId="165" fontId="19" fillId="17" borderId="1" xfId="0" applyNumberFormat="1" applyFont="1" applyFill="1" applyBorder="1" applyAlignment="1">
      <alignment horizontal="center" vertical="center" wrapText="1"/>
    </xf>
    <xf numFmtId="3" fontId="16" fillId="7" borderId="1" xfId="0" applyNumberFormat="1" applyFont="1" applyFill="1" applyBorder="1" applyAlignment="1">
      <alignment horizontal="center" vertical="center" wrapText="1"/>
    </xf>
    <xf numFmtId="3" fontId="40" fillId="7" borderId="1" xfId="0" applyNumberFormat="1" applyFont="1" applyFill="1" applyBorder="1" applyAlignment="1">
      <alignment horizontal="center" vertical="center" wrapText="1"/>
    </xf>
    <xf numFmtId="166" fontId="0" fillId="7" borderId="1" xfId="0" applyNumberFormat="1" applyFill="1" applyBorder="1" applyAlignment="1">
      <alignment horizontal="right" vertical="center" wrapText="1"/>
    </xf>
    <xf numFmtId="169" fontId="0" fillId="7" borderId="1" xfId="1" applyNumberFormat="1" applyFont="1" applyFill="1" applyBorder="1" applyAlignment="1">
      <alignment horizontal="right" vertical="center" wrapText="1"/>
    </xf>
    <xf numFmtId="166" fontId="8" fillId="7" borderId="1" xfId="0" applyNumberFormat="1" applyFont="1" applyFill="1" applyBorder="1" applyAlignment="1">
      <alignment horizontal="right" vertical="center" wrapText="1"/>
    </xf>
    <xf numFmtId="164" fontId="8" fillId="7" borderId="1" xfId="1" applyFont="1" applyFill="1" applyBorder="1" applyAlignment="1">
      <alignment horizontal="right" vertical="center" wrapText="1"/>
    </xf>
    <xf numFmtId="165" fontId="0" fillId="7" borderId="1" xfId="0" applyNumberFormat="1" applyFill="1" applyBorder="1" applyAlignment="1">
      <alignment horizontal="right" vertical="center" wrapText="1"/>
    </xf>
    <xf numFmtId="3" fontId="22" fillId="17" borderId="1" xfId="0" applyNumberFormat="1" applyFont="1" applyFill="1" applyBorder="1" applyAlignment="1">
      <alignment horizontal="center" vertical="center" wrapText="1"/>
    </xf>
    <xf numFmtId="165" fontId="4" fillId="7" borderId="1" xfId="0" applyNumberFormat="1" applyFont="1" applyFill="1" applyBorder="1" applyAlignment="1">
      <alignment horizontal="right" vertical="center" wrapText="1"/>
    </xf>
    <xf numFmtId="166" fontId="4" fillId="7" borderId="1" xfId="0" applyNumberFormat="1" applyFont="1" applyFill="1" applyBorder="1" applyAlignment="1">
      <alignment horizontal="right" vertical="center" wrapText="1"/>
    </xf>
    <xf numFmtId="170" fontId="34" fillId="7" borderId="0" xfId="0" applyNumberFormat="1" applyFont="1" applyFill="1"/>
    <xf numFmtId="167" fontId="0" fillId="7" borderId="0" xfId="0" applyNumberFormat="1" applyFill="1"/>
    <xf numFmtId="167" fontId="35" fillId="7" borderId="0" xfId="0" applyNumberFormat="1" applyFont="1" applyFill="1"/>
    <xf numFmtId="0" fontId="6" fillId="10" borderId="4" xfId="0" applyFont="1" applyFill="1" applyBorder="1" applyAlignment="1">
      <alignment vertical="center" wrapText="1"/>
    </xf>
    <xf numFmtId="9" fontId="29" fillId="11" borderId="1" xfId="0" applyNumberFormat="1" applyFont="1" applyFill="1" applyBorder="1" applyAlignment="1">
      <alignment horizontal="left" vertical="center" wrapText="1"/>
    </xf>
    <xf numFmtId="9" fontId="29" fillId="11" borderId="1" xfId="0" applyNumberFormat="1" applyFont="1" applyFill="1" applyBorder="1"/>
    <xf numFmtId="172" fontId="29" fillId="11" borderId="1" xfId="0" applyNumberFormat="1" applyFont="1" applyFill="1" applyBorder="1"/>
    <xf numFmtId="9" fontId="33" fillId="11" borderId="0" xfId="0" applyNumberFormat="1" applyFont="1" applyFill="1" applyAlignment="1">
      <alignment vertical="top" wrapText="1"/>
    </xf>
    <xf numFmtId="2" fontId="33" fillId="11" borderId="0" xfId="0" applyNumberFormat="1" applyFont="1" applyFill="1" applyAlignment="1">
      <alignment vertical="top" wrapText="1"/>
    </xf>
    <xf numFmtId="9" fontId="37" fillId="11" borderId="0" xfId="0" applyNumberFormat="1" applyFont="1" applyFill="1" applyAlignment="1">
      <alignment vertical="top" wrapText="1"/>
    </xf>
    <xf numFmtId="172" fontId="33" fillId="11" borderId="0" xfId="0" applyNumberFormat="1" applyFont="1" applyFill="1" applyAlignment="1">
      <alignment vertical="top" wrapText="1"/>
    </xf>
    <xf numFmtId="175" fontId="33" fillId="11" borderId="0" xfId="0" applyNumberFormat="1" applyFont="1" applyFill="1" applyAlignment="1">
      <alignment vertical="top" wrapText="1"/>
    </xf>
    <xf numFmtId="176" fontId="29" fillId="11" borderId="1" xfId="0" applyNumberFormat="1" applyFont="1" applyFill="1" applyBorder="1"/>
    <xf numFmtId="0" fontId="29" fillId="11" borderId="1" xfId="0" applyFont="1" applyFill="1" applyBorder="1" applyAlignment="1">
      <alignment horizontal="center" vertical="center" wrapText="1"/>
    </xf>
    <xf numFmtId="176" fontId="33" fillId="11" borderId="0" xfId="0" applyNumberFormat="1" applyFont="1" applyFill="1" applyAlignment="1">
      <alignment vertical="top" wrapText="1"/>
    </xf>
    <xf numFmtId="176" fontId="0" fillId="0" borderId="0" xfId="0" applyNumberFormat="1"/>
    <xf numFmtId="49" fontId="33" fillId="11" borderId="0" xfId="0" applyNumberFormat="1" applyFont="1" applyFill="1" applyAlignment="1">
      <alignment vertical="top" wrapText="1"/>
    </xf>
    <xf numFmtId="177" fontId="33" fillId="11" borderId="0" xfId="0" applyNumberFormat="1" applyFont="1" applyFill="1" applyAlignment="1">
      <alignment vertical="top" wrapText="1"/>
    </xf>
    <xf numFmtId="0" fontId="41" fillId="18" borderId="0" xfId="0" applyFont="1" applyFill="1"/>
    <xf numFmtId="0" fontId="42" fillId="21" borderId="0" xfId="0" applyFont="1" applyFill="1"/>
    <xf numFmtId="0" fontId="41" fillId="18" borderId="0" xfId="0" applyFont="1" applyFill="1" applyAlignment="1">
      <alignment vertical="top" wrapText="1"/>
    </xf>
    <xf numFmtId="177" fontId="0" fillId="0" borderId="0" xfId="0" applyNumberFormat="1"/>
    <xf numFmtId="0" fontId="19" fillId="23" borderId="0" xfId="0" applyFont="1" applyFill="1"/>
    <xf numFmtId="176" fontId="19" fillId="23" borderId="0" xfId="0" applyNumberFormat="1" applyFont="1" applyFill="1"/>
    <xf numFmtId="176" fontId="34" fillId="7" borderId="0" xfId="0" applyNumberFormat="1" applyFont="1" applyFill="1"/>
    <xf numFmtId="178" fontId="34" fillId="7" borderId="0" xfId="0" applyNumberFormat="1" applyFont="1" applyFill="1"/>
    <xf numFmtId="179" fontId="0" fillId="0" borderId="0" xfId="0" applyNumberFormat="1"/>
    <xf numFmtId="175" fontId="7" fillId="18" borderId="0" xfId="0" applyNumberFormat="1" applyFont="1" applyFill="1" applyAlignment="1">
      <alignment vertical="top" wrapText="1"/>
    </xf>
    <xf numFmtId="2" fontId="7" fillId="18" borderId="0" xfId="0" applyNumberFormat="1" applyFont="1" applyFill="1" applyAlignment="1">
      <alignment vertical="top" wrapText="1"/>
    </xf>
    <xf numFmtId="0" fontId="7" fillId="18" borderId="0" xfId="0" applyFont="1" applyFill="1" applyAlignment="1">
      <alignment vertical="top" wrapText="1"/>
    </xf>
    <xf numFmtId="176" fontId="7" fillId="18" borderId="0" xfId="0" applyNumberFormat="1" applyFont="1" applyFill="1" applyAlignment="1">
      <alignment vertical="top" wrapText="1"/>
    </xf>
    <xf numFmtId="171" fontId="7" fillId="18" borderId="0" xfId="0" applyNumberFormat="1" applyFont="1" applyFill="1" applyAlignment="1">
      <alignment vertical="top" wrapText="1"/>
    </xf>
    <xf numFmtId="165" fontId="8" fillId="18" borderId="1" xfId="0" applyNumberFormat="1" applyFont="1" applyFill="1" applyBorder="1"/>
    <xf numFmtId="0" fontId="20" fillId="18" borderId="1" xfId="0" applyFont="1" applyFill="1" applyBorder="1" applyAlignment="1">
      <alignment horizontal="left" vertical="center" wrapText="1"/>
    </xf>
    <xf numFmtId="165" fontId="7" fillId="18" borderId="1" xfId="0" applyNumberFormat="1" applyFont="1" applyFill="1" applyBorder="1" applyAlignment="1">
      <alignment horizontal="right" vertical="center" wrapText="1"/>
    </xf>
    <xf numFmtId="0" fontId="8" fillId="18" borderId="1" xfId="0" applyFont="1" applyFill="1" applyBorder="1" applyAlignment="1">
      <alignment horizontal="center" vertical="center" wrapText="1"/>
    </xf>
    <xf numFmtId="176" fontId="7" fillId="18" borderId="1" xfId="0" applyNumberFormat="1" applyFont="1" applyFill="1" applyBorder="1"/>
    <xf numFmtId="0" fontId="8" fillId="18" borderId="1" xfId="0" applyFont="1" applyFill="1" applyBorder="1" applyAlignment="1">
      <alignment horizontal="left" vertical="center" wrapText="1"/>
    </xf>
    <xf numFmtId="0" fontId="45" fillId="18" borderId="1" xfId="0" applyFont="1" applyFill="1" applyBorder="1" applyAlignment="1">
      <alignment horizontal="left" vertical="center" wrapText="1"/>
    </xf>
    <xf numFmtId="176" fontId="8" fillId="18" borderId="1" xfId="0" applyNumberFormat="1" applyFont="1" applyFill="1" applyBorder="1" applyAlignment="1">
      <alignment horizontal="left" vertical="center" wrapText="1"/>
    </xf>
    <xf numFmtId="176" fontId="8" fillId="18" borderId="1" xfId="0" applyNumberFormat="1" applyFont="1" applyFill="1" applyBorder="1" applyAlignment="1">
      <alignment horizontal="center" vertical="center" wrapText="1"/>
    </xf>
    <xf numFmtId="0" fontId="47" fillId="24" borderId="0" xfId="0" applyFont="1" applyFill="1" applyAlignment="1">
      <alignment vertical="top" wrapText="1"/>
    </xf>
    <xf numFmtId="0" fontId="19" fillId="18" borderId="0" xfId="0" applyFont="1" applyFill="1" applyAlignment="1">
      <alignment vertical="top" wrapText="1"/>
    </xf>
    <xf numFmtId="0" fontId="27" fillId="10" borderId="4" xfId="0" applyFont="1" applyFill="1" applyBorder="1" applyAlignment="1">
      <alignment vertical="center"/>
    </xf>
    <xf numFmtId="0" fontId="6" fillId="10" borderId="4" xfId="0" applyFont="1" applyFill="1" applyBorder="1" applyAlignment="1">
      <alignment vertical="center"/>
    </xf>
    <xf numFmtId="0" fontId="33" fillId="11" borderId="0" xfId="0" applyFont="1" applyFill="1" applyAlignment="1">
      <alignment vertical="top"/>
    </xf>
    <xf numFmtId="0" fontId="49" fillId="24" borderId="0" xfId="0" applyFont="1" applyFill="1" applyAlignment="1">
      <alignment vertical="top"/>
    </xf>
    <xf numFmtId="0" fontId="50" fillId="10" borderId="4" xfId="0" applyFont="1" applyFill="1" applyBorder="1" applyAlignment="1">
      <alignment vertical="center"/>
    </xf>
    <xf numFmtId="0" fontId="18" fillId="11" borderId="0" xfId="0" applyFont="1" applyFill="1" applyAlignment="1">
      <alignment vertical="top"/>
    </xf>
    <xf numFmtId="0" fontId="50" fillId="10" borderId="4" xfId="0" applyFont="1" applyFill="1" applyBorder="1" applyAlignment="1">
      <alignment vertical="center" wrapText="1"/>
    </xf>
    <xf numFmtId="0" fontId="18" fillId="11" borderId="0" xfId="0" applyFont="1" applyFill="1" applyAlignment="1">
      <alignment vertical="top" wrapText="1"/>
    </xf>
    <xf numFmtId="0" fontId="42" fillId="21" borderId="0" xfId="0" applyFont="1" applyFill="1" applyAlignment="1">
      <alignment horizontal="center"/>
    </xf>
    <xf numFmtId="0" fontId="42" fillId="25" borderId="0" xfId="0" applyFont="1" applyFill="1" applyAlignment="1">
      <alignment horizontal="center"/>
    </xf>
    <xf numFmtId="0" fontId="42" fillId="26" borderId="0" xfId="0" applyFont="1" applyFill="1" applyAlignment="1">
      <alignment horizontal="center"/>
    </xf>
    <xf numFmtId="0" fontId="42" fillId="27" borderId="0" xfId="0" applyFont="1" applyFill="1" applyAlignment="1">
      <alignment horizontal="center"/>
    </xf>
    <xf numFmtId="0" fontId="0" fillId="0" borderId="0" xfId="0" applyAlignment="1">
      <alignment horizontal="center"/>
    </xf>
    <xf numFmtId="15" fontId="0" fillId="0" borderId="0" xfId="0" applyNumberFormat="1"/>
    <xf numFmtId="0" fontId="53" fillId="20" borderId="0" xfId="0" applyFont="1" applyFill="1"/>
    <xf numFmtId="0" fontId="54" fillId="20" borderId="0" xfId="0" applyFont="1" applyFill="1"/>
    <xf numFmtId="0" fontId="53" fillId="0" borderId="0" xfId="0" applyFont="1"/>
    <xf numFmtId="3" fontId="54" fillId="20" borderId="0" xfId="0" applyNumberFormat="1" applyFont="1" applyFill="1"/>
    <xf numFmtId="0" fontId="55" fillId="28" borderId="0" xfId="0" applyFont="1" applyFill="1"/>
    <xf numFmtId="0" fontId="55" fillId="19" borderId="0" xfId="0" applyFont="1" applyFill="1"/>
    <xf numFmtId="15" fontId="53" fillId="0" borderId="0" xfId="0" applyNumberFormat="1" applyFont="1"/>
    <xf numFmtId="3" fontId="53" fillId="0" borderId="0" xfId="0" applyNumberFormat="1" applyFont="1"/>
    <xf numFmtId="1" fontId="56" fillId="24" borderId="6" xfId="0" applyNumberFormat="1" applyFont="1" applyFill="1" applyBorder="1" applyAlignment="1">
      <alignment horizontal="center"/>
    </xf>
    <xf numFmtId="0" fontId="53" fillId="0" borderId="7" xfId="0" applyFont="1" applyBorder="1"/>
    <xf numFmtId="15" fontId="53" fillId="0" borderId="7" xfId="0" applyNumberFormat="1" applyFont="1" applyBorder="1"/>
    <xf numFmtId="3" fontId="53" fillId="0" borderId="7" xfId="0" applyNumberFormat="1" applyFont="1" applyBorder="1"/>
    <xf numFmtId="1" fontId="56" fillId="24" borderId="8" xfId="0" applyNumberFormat="1" applyFont="1" applyFill="1" applyBorder="1" applyAlignment="1">
      <alignment horizontal="center"/>
    </xf>
    <xf numFmtId="0" fontId="23" fillId="29" borderId="0" xfId="0" applyFont="1" applyFill="1"/>
    <xf numFmtId="0" fontId="51" fillId="19" borderId="0" xfId="0" applyFont="1" applyFill="1"/>
    <xf numFmtId="0" fontId="52" fillId="0" borderId="0" xfId="0" applyFont="1"/>
    <xf numFmtId="0" fontId="31" fillId="10" borderId="0" xfId="0" applyFont="1" applyFill="1" applyAlignment="1">
      <alignment vertical="center"/>
    </xf>
    <xf numFmtId="0" fontId="0" fillId="0" borderId="0" xfId="0"/>
    <xf numFmtId="0" fontId="0" fillId="0" borderId="0" xfId="0" applyAlignment="1">
      <alignment vertical="top" wrapText="1"/>
    </xf>
    <xf numFmtId="0" fontId="32" fillId="0" borderId="0" xfId="0" applyFont="1" applyAlignment="1">
      <alignment vertical="top" wrapText="1"/>
    </xf>
    <xf numFmtId="0" fontId="27" fillId="10" borderId="0" xfId="0" applyFont="1" applyFill="1"/>
    <xf numFmtId="0" fontId="27" fillId="14" borderId="0" xfId="0" applyFont="1" applyFill="1"/>
    <xf numFmtId="0" fontId="32" fillId="0" borderId="0" xfId="0" applyFont="1"/>
    <xf numFmtId="0" fontId="32" fillId="0" borderId="0" xfId="0" applyFont="1" applyAlignment="1">
      <alignment wrapText="1"/>
    </xf>
    <xf numFmtId="0" fontId="28" fillId="11" borderId="0" xfId="0" applyFont="1" applyFill="1" applyAlignment="1">
      <alignment vertical="center" wrapText="1"/>
    </xf>
    <xf numFmtId="0" fontId="13" fillId="2" borderId="0" xfId="0" applyFont="1" applyFill="1" applyAlignment="1">
      <alignment horizontal="center" vertical="center"/>
    </xf>
    <xf numFmtId="0" fontId="10" fillId="0" borderId="1" xfId="0" applyFont="1" applyBorder="1" applyAlignment="1">
      <alignment horizontal="left" vertical="center" wrapText="1"/>
    </xf>
    <xf numFmtId="0" fontId="0" fillId="0" borderId="2" xfId="0" applyBorder="1"/>
    <xf numFmtId="0" fontId="0" fillId="0" borderId="3" xfId="0" applyBorder="1"/>
    <xf numFmtId="0" fontId="1" fillId="2" borderId="0" xfId="0" applyFont="1" applyFill="1" applyAlignment="1">
      <alignment horizontal="left" vertical="center"/>
    </xf>
    <xf numFmtId="0" fontId="2" fillId="3" borderId="1" xfId="0" applyFont="1" applyFill="1" applyBorder="1" applyAlignment="1">
      <alignment horizontal="left" vertical="center" wrapText="1"/>
    </xf>
    <xf numFmtId="0" fontId="5" fillId="5" borderId="5" xfId="0" applyFont="1" applyFill="1" applyBorder="1" applyAlignment="1">
      <alignment horizontal="left" vertical="top" wrapText="1"/>
    </xf>
    <xf numFmtId="0" fontId="48" fillId="5" borderId="0" xfId="0" applyFont="1" applyFill="1" applyAlignment="1">
      <alignment horizontal="left" vertical="top" wrapText="1"/>
    </xf>
    <xf numFmtId="0" fontId="48" fillId="5" borderId="5" xfId="0" applyFont="1" applyFill="1" applyBorder="1" applyAlignment="1">
      <alignment horizontal="left" vertical="top" wrapText="1"/>
    </xf>
    <xf numFmtId="0" fontId="14" fillId="2" borderId="0" xfId="0" applyFont="1" applyFill="1" applyAlignment="1">
      <alignment horizontal="center" vertical="center"/>
    </xf>
    <xf numFmtId="0" fontId="12" fillId="6" borderId="0" xfId="0" applyFont="1" applyFill="1" applyAlignment="1">
      <alignment horizontal="center"/>
    </xf>
    <xf numFmtId="0" fontId="46" fillId="19" borderId="0" xfId="0" applyFont="1" applyFill="1"/>
    <xf numFmtId="0" fontId="0" fillId="20" borderId="0" xfId="0" applyFill="1" applyAlignment="1">
      <alignment wrapText="1"/>
    </xf>
    <xf numFmtId="0" fontId="19" fillId="22" borderId="0" xfId="0" applyFont="1" applyFill="1"/>
    <xf numFmtId="0" fontId="0" fillId="0" borderId="0" xfId="0" applyAlignment="1">
      <alignment wrapText="1"/>
    </xf>
    <xf numFmtId="0" fontId="43" fillId="19" borderId="0" xfId="0" applyFont="1" applyFill="1"/>
    <xf numFmtId="0" fontId="44" fillId="20" borderId="0" xfId="0" applyFont="1" applyFill="1" applyAlignment="1">
      <alignment wrapText="1"/>
    </xf>
  </cellXfs>
  <cellStyles count="3">
    <cellStyle name="Comma" xfId="1" builtinId="3"/>
    <cellStyle name="Comma 2" xfId="2" xr:uid="{C30FBC8E-70D5-4025-87A6-F8CDDBED19BE}"/>
    <cellStyle name="Normal" xfId="0" builtinId="0"/>
  </cellStyles>
  <dxfs count="38">
    <dxf>
      <fill>
        <patternFill patternType="solid">
          <fgColor rgb="FFDDEBF7"/>
          <bgColor rgb="FFFFFFFF"/>
        </patternFill>
      </fill>
    </dxf>
    <dxf>
      <font>
        <color rgb="FF000000"/>
      </font>
      <numFmt numFmtId="171" formatCode="\$#,##0;[Red]\(\$#,##0\);\-"/>
      <fill>
        <patternFill patternType="solid">
          <fgColor indexed="64"/>
          <bgColor rgb="FFE2F0D9"/>
        </patternFill>
      </fill>
    </dxf>
    <dxf>
      <font>
        <color rgb="FF000000"/>
      </font>
      <numFmt numFmtId="171" formatCode="\$#,##0;[Red]\(\$#,##0\);\-"/>
      <fill>
        <patternFill patternType="solid">
          <fgColor indexed="64"/>
          <bgColor rgb="FFE2F0D9"/>
        </patternFill>
      </fill>
    </dxf>
    <dxf>
      <font>
        <color rgb="FF000000"/>
      </font>
      <numFmt numFmtId="0" formatCode="General"/>
      <fill>
        <patternFill patternType="solid">
          <fgColor indexed="64"/>
          <bgColor rgb="FFE2F0D9"/>
        </patternFill>
      </fill>
    </dxf>
    <dxf>
      <font>
        <color rgb="FF000000"/>
      </font>
      <numFmt numFmtId="0" formatCode="General"/>
      <fill>
        <patternFill patternType="solid">
          <fgColor indexed="64"/>
          <bgColor rgb="FFE2F0D9"/>
        </patternFill>
      </fill>
    </dxf>
    <dxf>
      <alignment horizontal="general" textRotation="0" wrapText="0" indent="0" justifyLastLine="0" shrinkToFit="0" readingOrder="0"/>
    </dxf>
    <dxf>
      <alignment horizontal="general" textRotation="0" wrapText="0" indent="0" justifyLastLine="0" shrinkToFit="0" readingOrder="0"/>
    </dxf>
    <dxf>
      <alignment horizontal="general" textRotation="0" wrapText="0" indent="0" justifyLastLine="0" shrinkToFit="0" readingOrder="0"/>
    </dxf>
    <dxf>
      <alignment horizontal="general" textRotation="0" wrapText="0" indent="0" justifyLastLine="0" shrinkToFit="0" readingOrder="0"/>
    </dxf>
    <dxf>
      <alignment horizontal="general" textRotation="0" wrapText="0" indent="0" justifyLastLine="0" shrinkToFit="0" readingOrder="0"/>
    </dxf>
    <dxf>
      <alignment horizontal="general" textRotation="0" wrapText="0" indent="0" justifyLastLine="0" shrinkToFit="0" readingOrder="0"/>
    </dxf>
    <dxf>
      <alignment horizontal="general" textRotation="0" wrapText="0" indent="0" justifyLastLine="0" shrinkToFit="0" readingOrder="0"/>
    </dxf>
    <dxf>
      <alignment horizontal="general" textRotation="0" wrapText="0" indent="0" justifyLastLine="0" shrinkToFit="0" readingOrder="0"/>
    </dxf>
    <dxf>
      <alignment horizontal="general" textRotation="0" wrapText="0" indent="0" justifyLastLine="0" shrinkToFit="0" readingOrder="0"/>
    </dxf>
    <dxf>
      <alignment horizontal="general" textRotation="0" wrapText="0" indent="0" justifyLastLine="0" shrinkToFit="0" readingOrder="0"/>
    </dxf>
    <dxf>
      <alignment horizontal="general" textRotation="0" wrapText="0" indent="0" justifyLastLine="0" shrinkToFit="0" readingOrder="0"/>
    </dxf>
    <dxf>
      <alignment horizontal="general" textRotation="0" wrapText="0" indent="0" justifyLastLine="0" shrinkToFit="0" readingOrder="0"/>
    </dxf>
    <dxf>
      <alignment horizontal="general" textRotation="0" wrapText="0" indent="0" justifyLastLine="0" shrinkToFit="0" readingOrder="0"/>
    </dxf>
    <dxf>
      <alignment horizontal="general" textRotation="0" wrapText="0" indent="0" justifyLastLine="0" shrinkToFit="0" readingOrder="0"/>
    </dxf>
    <dxf>
      <alignment horizontal="general" textRotation="0" wrapText="0" indent="0" justifyLastLine="0" shrinkToFit="0" readingOrder="0"/>
    </dxf>
    <dxf>
      <alignment horizontal="general" textRotation="0" wrapText="0" indent="0" justifyLastLine="0" shrinkToFit="0" readingOrder="0"/>
    </dxf>
    <dxf>
      <alignment horizontal="general" textRotation="0" wrapText="0" indent="0" justifyLastLine="0" shrinkToFit="0" readingOrder="0"/>
    </dxf>
    <dxf>
      <alignment horizontal="general" textRotation="0" wrapText="0" indent="0" justifyLastLine="0" shrinkToFit="0" readingOrder="0"/>
    </dxf>
    <dxf>
      <alignment horizontal="general" textRotation="0" wrapText="0" indent="0" justifyLastLine="0" shrinkToFit="0" readingOrder="0"/>
    </dxf>
    <dxf>
      <alignment horizontal="general" textRotation="0" wrapText="0" indent="0" justifyLastLine="0" shrinkToFit="0" readingOrder="0"/>
    </dxf>
    <dxf>
      <alignment horizontal="general" textRotation="0" wrapText="0" indent="0" justifyLastLine="0" shrinkToFit="0" readingOrder="0"/>
    </dxf>
    <dxf>
      <alignment horizontal="general" textRotation="0" wrapText="0" indent="0" justifyLastLine="0" shrinkToFit="0" readingOrder="0"/>
    </dxf>
    <dxf>
      <alignment horizontal="general" textRotation="0" wrapText="0" indent="0" justifyLastLine="0" shrinkToFit="0" readingOrder="0"/>
    </dxf>
    <dxf>
      <alignment horizontal="general" textRotation="0" wrapText="0" indent="0" justifyLastLine="0" shrinkToFit="0" readingOrder="0"/>
    </dxf>
    <dxf>
      <alignment horizontal="general" textRotation="0" wrapText="0" indent="0" justifyLastLine="0" shrinkToFit="0" readingOrder="0"/>
    </dxf>
    <dxf>
      <alignment horizontal="general" textRotation="0" wrapText="0" indent="0" justifyLastLine="0" shrinkToFit="0" readingOrder="0"/>
    </dxf>
    <dxf>
      <alignment horizontal="general" textRotation="0" wrapText="0" indent="0" justifyLastLine="0" shrinkToFit="0" readingOrder="0"/>
    </dxf>
    <dxf>
      <alignment horizontal="general" textRotation="0" wrapText="0" indent="0" justifyLastLine="0" shrinkToFit="0" readingOrder="0"/>
    </dxf>
    <dxf>
      <alignment horizontal="general" textRotation="0" wrapText="0" indent="0" justifyLastLine="0" shrinkToFit="0" readingOrder="0"/>
    </dxf>
    <dxf>
      <alignment horizontal="general" textRotation="0" wrapText="0" indent="0" justifyLastLine="0" shrinkToFit="0" readingOrder="0"/>
    </dxf>
    <dxf>
      <alignment horizontal="general" textRotation="0" wrapText="0" indent="0" justifyLastLine="0" shrinkToFit="0" readingOrder="0"/>
    </dxf>
    <dxf>
      <alignment horizontal="general" textRotation="0" wrapText="0" indent="0" justifyLastLine="0" shrinkToFit="0" readingOrder="0"/>
    </dxf>
    <dxf>
      <alignment horizontal="general" textRotation="0" wrapText="0" indent="0" justifyLastLine="0" shrinkToFit="0" readingOrder="0"/>
    </dxf>
  </dxfs>
  <tableStyles count="0" defaultTableStyle="TableStyleMedium2" defaultPivotStyle="PivotStyleLight16"/>
  <colors>
    <mruColors>
      <color rgb="FFFFF8C1"/>
      <color rgb="FFFFEF79"/>
      <color rgb="FFFFEF75"/>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calcChain" Target="calcChain.xml"/><Relationship Id="rId30"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App Deployment Gantt — Quarter-End Schedule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v>Start</c:v>
          </c:tx>
          <c:spPr>
            <a:solidFill>
              <a:schemeClr val="bg2"/>
            </a:solidFill>
            <a:ln>
              <a:noFill/>
            </a:ln>
            <a:effectLst/>
          </c:spPr>
          <c:invertIfNegative val="0"/>
          <c:val>
            <c:numRef>
              <c:f>'[1]App Gantt'!$U$2:$U$13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5="http://schemas.microsoft.com/office/drawing/2012/chart" uri="{02D57815-91ED-43cb-92C2-25804820EDAC}">
              <c15:filteredCategoryTitle>
                <c15:cat>
                  <c:strRef>
                    <c:extLst>
                      <c:ext uri="{02D57815-91ED-43cb-92C2-25804820EDAC}">
                        <c15:formulaRef>
                          <c15:sqref>'[1]App Gantt'!$T$2:$T$13</c15:sqref>
                        </c15:formulaRef>
                      </c:ext>
                    </c:extLst>
                    <c:strCache>
                      <c:ptCount val="12"/>
                      <c:pt idx="0">
                        <c:v>Event Correlation &amp; Alert Intelligence Agent</c:v>
                      </c:pt>
                      <c:pt idx="1">
                        <c:v>Business Data Integrity &amp; Reconciliation Agent</c:v>
                      </c:pt>
                      <c:pt idx="2">
                        <c:v>Safe Auto-Remediation Agent</c:v>
                      </c:pt>
                      <c:pt idx="3">
                        <c:v>Workforce &amp; Customer Identity Lifecycle Assistant</c:v>
                      </c:pt>
                      <c:pt idx="4">
                        <c:v>Problem &amp; Root-Cause Analyst</c:v>
                      </c:pt>
                      <c:pt idx="5">
                        <c:v>Incident Triage &amp; Major Incident Copilot</c:v>
                      </c:pt>
                      <c:pt idx="6">
                        <c:v>Enterprise Document Intelligence &amp; Compliance Agent</c:v>
                      </c:pt>
                      <c:pt idx="7">
                        <c:v>Operations Reporting &amp; Insights Agent</c:v>
                      </c:pt>
                      <c:pt idx="8">
                        <c:v>Release Quality &amp; Validation Agent</c:v>
                      </c:pt>
                      <c:pt idx="9">
                        <c:v>Knowledge &amp; Resolution Copilot</c:v>
                      </c:pt>
                      <c:pt idx="10">
                        <c:v>Service Desk Intake &amp; Interaction Orchestrator</c:v>
                      </c:pt>
                      <c:pt idx="11">
                        <c:v>Service Request &amp; Standard Data Extract Fulfilment Agent</c:v>
                      </c:pt>
                    </c:strCache>
                  </c:strRef>
                </c15:cat>
              </c15:filteredCategoryTitle>
            </c:ext>
            <c:ext xmlns:c16="http://schemas.microsoft.com/office/drawing/2014/chart" uri="{C3380CC4-5D6E-409C-BE32-E72D297353CC}">
              <c16:uniqueId val="{00000000-042A-4993-8AD2-873E068C2792}"/>
            </c:ext>
          </c:extLst>
        </c:ser>
        <c:ser>
          <c:idx val="1"/>
          <c:order val="1"/>
          <c:tx>
            <c:v>26-Q3</c:v>
          </c:tx>
          <c:spPr>
            <a:solidFill>
              <a:schemeClr val="accent2"/>
            </a:solidFill>
            <a:ln>
              <a:noFill/>
            </a:ln>
            <a:effectLst/>
          </c:spPr>
          <c:invertIfNegative val="0"/>
          <c:val>
            <c:numRef>
              <c:f>'[1]App Gantt'!$V$2:$V$13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5="http://schemas.microsoft.com/office/drawing/2012/chart" uri="{02D57815-91ED-43cb-92C2-25804820EDAC}">
              <c15:filteredCategoryTitle>
                <c15:cat>
                  <c:strRef>
                    <c:extLst>
                      <c:ext uri="{02D57815-91ED-43cb-92C2-25804820EDAC}">
                        <c15:formulaRef>
                          <c15:sqref>'[1]App Gantt'!$T$2:$T$13</c15:sqref>
                        </c15:formulaRef>
                      </c:ext>
                    </c:extLst>
                    <c:strCache>
                      <c:ptCount val="12"/>
                      <c:pt idx="0">
                        <c:v>Event Correlation &amp; Alert Intelligence Agent</c:v>
                      </c:pt>
                      <c:pt idx="1">
                        <c:v>Business Data Integrity &amp; Reconciliation Agent</c:v>
                      </c:pt>
                      <c:pt idx="2">
                        <c:v>Safe Auto-Remediation Agent</c:v>
                      </c:pt>
                      <c:pt idx="3">
                        <c:v>Workforce &amp; Customer Identity Lifecycle Assistant</c:v>
                      </c:pt>
                      <c:pt idx="4">
                        <c:v>Problem &amp; Root-Cause Analyst</c:v>
                      </c:pt>
                      <c:pt idx="5">
                        <c:v>Incident Triage &amp; Major Incident Copilot</c:v>
                      </c:pt>
                      <c:pt idx="6">
                        <c:v>Enterprise Document Intelligence &amp; Compliance Agent</c:v>
                      </c:pt>
                      <c:pt idx="7">
                        <c:v>Operations Reporting &amp; Insights Agent</c:v>
                      </c:pt>
                      <c:pt idx="8">
                        <c:v>Release Quality &amp; Validation Agent</c:v>
                      </c:pt>
                      <c:pt idx="9">
                        <c:v>Knowledge &amp; Resolution Copilot</c:v>
                      </c:pt>
                      <c:pt idx="10">
                        <c:v>Service Desk Intake &amp; Interaction Orchestrator</c:v>
                      </c:pt>
                      <c:pt idx="11">
                        <c:v>Service Request &amp; Standard Data Extract Fulfilment Agent</c:v>
                      </c:pt>
                    </c:strCache>
                  </c:strRef>
                </c15:cat>
              </c15:filteredCategoryTitle>
            </c:ext>
            <c:ext xmlns:c16="http://schemas.microsoft.com/office/drawing/2014/chart" uri="{C3380CC4-5D6E-409C-BE32-E72D297353CC}">
              <c16:uniqueId val="{00000001-042A-4993-8AD2-873E068C2792}"/>
            </c:ext>
          </c:extLst>
        </c:ser>
        <c:ser>
          <c:idx val="2"/>
          <c:order val="2"/>
          <c:tx>
            <c:v>26-Q4</c:v>
          </c:tx>
          <c:spPr>
            <a:solidFill>
              <a:schemeClr val="accent3"/>
            </a:solidFill>
            <a:ln>
              <a:noFill/>
            </a:ln>
            <a:effectLst/>
          </c:spPr>
          <c:invertIfNegative val="0"/>
          <c:dLbls>
            <c:dLbl>
              <c:idx val="2"/>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4</a:t>
                    </a:r>
                  </a:p>
                </c:rich>
              </c:tx>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042A-4993-8AD2-873E068C2792}"/>
                </c:ext>
              </c:extLst>
            </c:dLbl>
            <c:dLbl>
              <c:idx val="3"/>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5</a:t>
                    </a:r>
                  </a:p>
                </c:rich>
              </c:tx>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042A-4993-8AD2-873E068C2792}"/>
                </c:ext>
              </c:extLst>
            </c:dLbl>
            <c:dLbl>
              <c:idx val="4"/>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6</a:t>
                    </a:r>
                  </a:p>
                </c:rich>
              </c:tx>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042A-4993-8AD2-873E068C2792}"/>
                </c:ext>
              </c:extLst>
            </c:dLbl>
            <c:dLbl>
              <c:idx val="5"/>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1</a:t>
                    </a:r>
                  </a:p>
                </c:rich>
              </c:tx>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042A-4993-8AD2-873E068C279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'[1]App Gantt'!$W$2:$W$13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5="http://schemas.microsoft.com/office/drawing/2012/chart" uri="{02D57815-91ED-43cb-92C2-25804820EDAC}">
              <c15:filteredCategoryTitle>
                <c15:cat>
                  <c:strRef>
                    <c:extLst>
                      <c:ext uri="{02D57815-91ED-43cb-92C2-25804820EDAC}">
                        <c15:formulaRef>
                          <c15:sqref>'[1]App Gantt'!$T$2:$T$13</c15:sqref>
                        </c15:formulaRef>
                      </c:ext>
                    </c:extLst>
                    <c:strCache>
                      <c:ptCount val="12"/>
                      <c:pt idx="0">
                        <c:v>Event Correlation &amp; Alert Intelligence Agent</c:v>
                      </c:pt>
                      <c:pt idx="1">
                        <c:v>Business Data Integrity &amp; Reconciliation Agent</c:v>
                      </c:pt>
                      <c:pt idx="2">
                        <c:v>Safe Auto-Remediation Agent</c:v>
                      </c:pt>
                      <c:pt idx="3">
                        <c:v>Workforce &amp; Customer Identity Lifecycle Assistant</c:v>
                      </c:pt>
                      <c:pt idx="4">
                        <c:v>Problem &amp; Root-Cause Analyst</c:v>
                      </c:pt>
                      <c:pt idx="5">
                        <c:v>Incident Triage &amp; Major Incident Copilot</c:v>
                      </c:pt>
                      <c:pt idx="6">
                        <c:v>Enterprise Document Intelligence &amp; Compliance Agent</c:v>
                      </c:pt>
                      <c:pt idx="7">
                        <c:v>Operations Reporting &amp; Insights Agent</c:v>
                      </c:pt>
                      <c:pt idx="8">
                        <c:v>Release Quality &amp; Validation Agent</c:v>
                      </c:pt>
                      <c:pt idx="9">
                        <c:v>Knowledge &amp; Resolution Copilot</c:v>
                      </c:pt>
                      <c:pt idx="10">
                        <c:v>Service Desk Intake &amp; Interaction Orchestrator</c:v>
                      </c:pt>
                      <c:pt idx="11">
                        <c:v>Service Request &amp; Standard Data Extract Fulfilment Agent</c:v>
                      </c:pt>
                    </c:strCache>
                  </c:strRef>
                </c15:cat>
              </c15:filteredCategoryTitle>
            </c:ext>
            <c:ext xmlns:c16="http://schemas.microsoft.com/office/drawing/2014/chart" uri="{C3380CC4-5D6E-409C-BE32-E72D297353CC}">
              <c16:uniqueId val="{00000006-042A-4993-8AD2-873E068C2792}"/>
            </c:ext>
          </c:extLst>
        </c:ser>
        <c:ser>
          <c:idx val="3"/>
          <c:order val="3"/>
          <c:tx>
            <c:v>27-Q1</c:v>
          </c:tx>
          <c:spPr>
            <a:solidFill>
              <a:schemeClr val="accent4"/>
            </a:solidFill>
            <a:ln>
              <a:noFill/>
            </a:ln>
            <a:effectLst/>
          </c:spPr>
          <c:invertIfNegative val="0"/>
          <c:val>
            <c:numRef>
              <c:f>'[1]App Gantt'!$X$2:$X$13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5="http://schemas.microsoft.com/office/drawing/2012/chart" uri="{02D57815-91ED-43cb-92C2-25804820EDAC}">
              <c15:filteredCategoryTitle>
                <c15:cat>
                  <c:strRef>
                    <c:extLst>
                      <c:ext uri="{02D57815-91ED-43cb-92C2-25804820EDAC}">
                        <c15:formulaRef>
                          <c15:sqref>'[1]App Gantt'!$T$2:$T$13</c15:sqref>
                        </c15:formulaRef>
                      </c:ext>
                    </c:extLst>
                    <c:strCache>
                      <c:ptCount val="12"/>
                      <c:pt idx="0">
                        <c:v>Event Correlation &amp; Alert Intelligence Agent</c:v>
                      </c:pt>
                      <c:pt idx="1">
                        <c:v>Business Data Integrity &amp; Reconciliation Agent</c:v>
                      </c:pt>
                      <c:pt idx="2">
                        <c:v>Safe Auto-Remediation Agent</c:v>
                      </c:pt>
                      <c:pt idx="3">
                        <c:v>Workforce &amp; Customer Identity Lifecycle Assistant</c:v>
                      </c:pt>
                      <c:pt idx="4">
                        <c:v>Problem &amp; Root-Cause Analyst</c:v>
                      </c:pt>
                      <c:pt idx="5">
                        <c:v>Incident Triage &amp; Major Incident Copilot</c:v>
                      </c:pt>
                      <c:pt idx="6">
                        <c:v>Enterprise Document Intelligence &amp; Compliance Agent</c:v>
                      </c:pt>
                      <c:pt idx="7">
                        <c:v>Operations Reporting &amp; Insights Agent</c:v>
                      </c:pt>
                      <c:pt idx="8">
                        <c:v>Release Quality &amp; Validation Agent</c:v>
                      </c:pt>
                      <c:pt idx="9">
                        <c:v>Knowledge &amp; Resolution Copilot</c:v>
                      </c:pt>
                      <c:pt idx="10">
                        <c:v>Service Desk Intake &amp; Interaction Orchestrator</c:v>
                      </c:pt>
                      <c:pt idx="11">
                        <c:v>Service Request &amp; Standard Data Extract Fulfilment Agent</c:v>
                      </c:pt>
                    </c:strCache>
                  </c:strRef>
                </c15:cat>
              </c15:filteredCategoryTitle>
            </c:ext>
            <c:ext xmlns:c16="http://schemas.microsoft.com/office/drawing/2014/chart" uri="{C3380CC4-5D6E-409C-BE32-E72D297353CC}">
              <c16:uniqueId val="{00000007-042A-4993-8AD2-873E068C2792}"/>
            </c:ext>
          </c:extLst>
        </c:ser>
        <c:ser>
          <c:idx val="4"/>
          <c:order val="4"/>
          <c:tx>
            <c:v>27-Q2</c:v>
          </c:tx>
          <c:spPr>
            <a:solidFill>
              <a:schemeClr val="accent5"/>
            </a:solidFill>
            <a:ln>
              <a:noFill/>
            </a:ln>
            <a:effectLst/>
          </c:spPr>
          <c:invertIfNegative val="0"/>
          <c:val>
            <c:numRef>
              <c:f>'[1]App Gantt'!$Y$2:$Y$13</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5="http://schemas.microsoft.com/office/drawing/2012/chart" uri="{02D57815-91ED-43cb-92C2-25804820EDAC}">
              <c15:filteredCategoryTitle>
                <c15:cat>
                  <c:strRef>
                    <c:extLst>
                      <c:ext uri="{02D57815-91ED-43cb-92C2-25804820EDAC}">
                        <c15:formulaRef>
                          <c15:sqref>'[1]App Gantt'!$T$2:$T$13</c15:sqref>
                        </c15:formulaRef>
                      </c:ext>
                    </c:extLst>
                    <c:strCache>
                      <c:ptCount val="12"/>
                      <c:pt idx="0">
                        <c:v>Event Correlation &amp; Alert Intelligence Agent</c:v>
                      </c:pt>
                      <c:pt idx="1">
                        <c:v>Business Data Integrity &amp; Reconciliation Agent</c:v>
                      </c:pt>
                      <c:pt idx="2">
                        <c:v>Safe Auto-Remediation Agent</c:v>
                      </c:pt>
                      <c:pt idx="3">
                        <c:v>Workforce &amp; Customer Identity Lifecycle Assistant</c:v>
                      </c:pt>
                      <c:pt idx="4">
                        <c:v>Problem &amp; Root-Cause Analyst</c:v>
                      </c:pt>
                      <c:pt idx="5">
                        <c:v>Incident Triage &amp; Major Incident Copilot</c:v>
                      </c:pt>
                      <c:pt idx="6">
                        <c:v>Enterprise Document Intelligence &amp; Compliance Agent</c:v>
                      </c:pt>
                      <c:pt idx="7">
                        <c:v>Operations Reporting &amp; Insights Agent</c:v>
                      </c:pt>
                      <c:pt idx="8">
                        <c:v>Release Quality &amp; Validation Agent</c:v>
                      </c:pt>
                      <c:pt idx="9">
                        <c:v>Knowledge &amp; Resolution Copilot</c:v>
                      </c:pt>
                      <c:pt idx="10">
                        <c:v>Service Desk Intake &amp; Interaction Orchestrator</c:v>
                      </c:pt>
                      <c:pt idx="11">
                        <c:v>Service Request &amp; Standard Data Extract Fulfilment Agent</c:v>
                      </c:pt>
                    </c:strCache>
                  </c:strRef>
                </c15:cat>
              </c15:filteredCategoryTitle>
            </c:ext>
            <c:ext xmlns:c16="http://schemas.microsoft.com/office/drawing/2014/chart" uri="{C3380CC4-5D6E-409C-BE32-E72D297353CC}">
              <c16:uniqueId val="{00000008-042A-4993-8AD2-873E068C2792}"/>
            </c:ext>
          </c:extLst>
        </c:ser>
        <c:dLbls>
          <c:showLegendKey val="0"/>
          <c:showVal val="0"/>
          <c:showCatName val="0"/>
          <c:showSerName val="0"/>
          <c:showPercent val="0"/>
          <c:showBubbleSize val="0"/>
        </c:dLbls>
        <c:gapWidth val="150"/>
        <c:overlap val="100"/>
        <c:axId val="296451951"/>
        <c:axId val="924294672"/>
      </c:barChart>
      <c:catAx>
        <c:axId val="29645195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4294672"/>
        <c:crosses val="autoZero"/>
        <c:auto val="1"/>
        <c:lblAlgn val="ctr"/>
        <c:lblOffset val="100"/>
        <c:noMultiLvlLbl val="0"/>
      </c:catAx>
      <c:valAx>
        <c:axId val="924294672"/>
        <c:scaling>
          <c:orientation val="minMax"/>
          <c:max val="46569"/>
          <c:min val="46204"/>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451951"/>
        <c:crosses val="autoZero"/>
        <c:crossBetween val="between"/>
        <c:majorUnit val="92"/>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a:t>Five-Year TCO by Scenario</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'Chart Data'!$B$1</c:f>
              <c:strCache>
                <c:ptCount val="1"/>
                <c:pt idx="0">
                  <c:v>Five-Year TCO</c:v>
                </c:pt>
              </c:strCache>
            </c:strRef>
          </c:tx>
          <c:spPr>
            <a:solidFill>
              <a:schemeClr val="accent1"/>
            </a:solidFill>
            <a:ln>
              <a:noFill/>
            </a:ln>
            <a:effectLst/>
          </c:spPr>
          <c:invertIfNegative val="0"/>
          <c:cat>
            <c:strRef>
              <c:f>'Chart Data'!$A$2:$A$6</c:f>
              <c:strCache>
                <c:ptCount val="5"/>
                <c:pt idx="0">
                  <c:v>Minimum adoption</c:v>
                </c:pt>
                <c:pt idx="1">
                  <c:v>Expected case</c:v>
                </c:pt>
                <c:pt idx="2">
                  <c:v>High adoption</c:v>
                </c:pt>
                <c:pt idx="3">
                  <c:v>Peak/stress case</c:v>
                </c:pt>
                <c:pt idx="4">
                  <c:v>PepsiCo standard</c:v>
                </c:pt>
              </c:strCache>
            </c:strRef>
          </c:cat>
          <c:val>
            <c:numRef>
              <c:f>'Chart Data'!$B$2:$B$6</c:f>
              <c:numCache>
                <c:formatCode>[$$-409]#,##0</c:formatCode>
                <c:ptCount val="5"/>
                <c:pt idx="0">
                  <c:v>3806361.102401223</c:v>
                </c:pt>
                <c:pt idx="1">
                  <c:v>5682747.0255988399</c:v>
                </c:pt>
                <c:pt idx="2">
                  <c:v>6714791.0207186081</c:v>
                </c:pt>
                <c:pt idx="3">
                  <c:v>7748361.2908383766</c:v>
                </c:pt>
                <c:pt idx="4">
                  <c:v>5685799.5755988397</c:v>
                </c:pt>
              </c:numCache>
            </c:numRef>
          </c:val>
          <c:extLst>
            <c:ext xmlns:c16="http://schemas.microsoft.com/office/drawing/2014/chart" uri="{C3380CC4-5D6E-409C-BE32-E72D297353CC}">
              <c16:uniqueId val="{00000000-AF3B-4492-BB0E-132B07899A2D}"/>
            </c:ext>
          </c:extLst>
        </c:ser>
        <c:dLbls>
          <c:showLegendKey val="0"/>
          <c:showVal val="0"/>
          <c:showCatName val="0"/>
          <c:showSerName val="0"/>
          <c:showPercent val="0"/>
          <c:showBubbleSize val="0"/>
        </c:dLbls>
        <c:gapWidth val="150"/>
        <c:axId val="336699663"/>
        <c:axId val="1353089967"/>
      </c:barChart>
      <c:catAx>
        <c:axId val="336699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12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089967"/>
        <c:crosses val="autoZero"/>
        <c:auto val="1"/>
        <c:lblAlgn val="ctr"/>
        <c:lblOffset val="100"/>
        <c:noMultiLvlLbl val="0"/>
      </c:catAx>
      <c:valAx>
        <c:axId val="1353089967"/>
        <c:scaling>
          <c:orientation val="minMax"/>
          <c:min val="0"/>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699663"/>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Annualized Final Run Cost (Including Staffing)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'Chart Data'!$E$1</c:f>
              <c:strCache>
                <c:ptCount val="1"/>
                <c:pt idx="0">
                  <c:v>Annualized Final Run Cost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'Chart Data'!$D$2:$D$19</c:f>
              <c:numCache>
                <c:formatCode>mmm\ yyyy</c:formatCode>
                <c:ptCount val="18"/>
                <c:pt idx="0">
                  <c:v>46235</c:v>
                </c:pt>
                <c:pt idx="1">
                  <c:v>46266</c:v>
                </c:pt>
                <c:pt idx="2">
                  <c:v>46296</c:v>
                </c:pt>
                <c:pt idx="3">
                  <c:v>46327</c:v>
                </c:pt>
                <c:pt idx="4">
                  <c:v>46357</c:v>
                </c:pt>
                <c:pt idx="5">
                  <c:v>46388</c:v>
                </c:pt>
                <c:pt idx="6">
                  <c:v>46419</c:v>
                </c:pt>
                <c:pt idx="7">
                  <c:v>46447</c:v>
                </c:pt>
                <c:pt idx="8">
                  <c:v>46478</c:v>
                </c:pt>
                <c:pt idx="9">
                  <c:v>46508</c:v>
                </c:pt>
                <c:pt idx="10">
                  <c:v>46539</c:v>
                </c:pt>
                <c:pt idx="11">
                  <c:v>46569</c:v>
                </c:pt>
                <c:pt idx="12">
                  <c:v>46600</c:v>
                </c:pt>
                <c:pt idx="13">
                  <c:v>46631</c:v>
                </c:pt>
                <c:pt idx="14">
                  <c:v>46661</c:v>
                </c:pt>
                <c:pt idx="15">
                  <c:v>46692</c:v>
                </c:pt>
                <c:pt idx="16">
                  <c:v>46722</c:v>
                </c:pt>
                <c:pt idx="17">
                  <c:v>46753</c:v>
                </c:pt>
              </c:numCache>
            </c:numRef>
          </c:cat>
          <c:val>
            <c:numRef>
              <c:f>'Chart Data'!$E$2:$E$19</c:f>
              <c:numCache>
                <c:formatCode>[$$-409]#,##0</c:formatCode>
                <c:ptCount val="18"/>
                <c:pt idx="0">
                  <c:v>954536.37853982393</c:v>
                </c:pt>
                <c:pt idx="1">
                  <c:v>954569.54231915693</c:v>
                </c:pt>
                <c:pt idx="2">
                  <c:v>954612.18806128902</c:v>
                </c:pt>
                <c:pt idx="3">
                  <c:v>954654.81261080666</c:v>
                </c:pt>
                <c:pt idx="4">
                  <c:v>954697.41607367259</c:v>
                </c:pt>
                <c:pt idx="5">
                  <c:v>954739.9985553202</c:v>
                </c:pt>
                <c:pt idx="6">
                  <c:v>954782.56016065553</c:v>
                </c:pt>
                <c:pt idx="7">
                  <c:v>954825.10099406028</c:v>
                </c:pt>
                <c:pt idx="8">
                  <c:v>959571.62115939404</c:v>
                </c:pt>
                <c:pt idx="9">
                  <c:v>959614.12075999717</c:v>
                </c:pt>
                <c:pt idx="10">
                  <c:v>959656.59989869315</c:v>
                </c:pt>
                <c:pt idx="11">
                  <c:v>959699.05867779173</c:v>
                </c:pt>
                <c:pt idx="12">
                  <c:v>959724.87496358668</c:v>
                </c:pt>
                <c:pt idx="13">
                  <c:v>959734.05728784064</c:v>
                </c:pt>
                <c:pt idx="14">
                  <c:v>959733.73795487359</c:v>
                </c:pt>
                <c:pt idx="15">
                  <c:v>959733.42021857132</c:v>
                </c:pt>
                <c:pt idx="16">
                  <c:v>959733.1040709503</c:v>
                </c:pt>
                <c:pt idx="17">
                  <c:v>959732.78950406751</c:v>
                </c:pt>
              </c:numCache>
            </c:numRef>
          </c:val>
          <c:smooth val="0"/>
          <c:extLst>
            <c:ext xmlns:c16="http://schemas.microsoft.com/office/drawing/2014/chart" uri="{C3380CC4-5D6E-409C-BE32-E72D297353CC}">
              <c16:uniqueId val="{00000000-EBCE-44BB-89A8-F3B2D34F82B3}"/>
            </c:ext>
          </c:extLst>
        </c:ser>
        <c:dLbls>
          <c:showLegendKey val="0"/>
          <c:showVal val="0"/>
          <c:showCatName val="0"/>
          <c:showSerName val="0"/>
          <c:showPercent val="0"/>
          <c:showBubbleSize val="0"/>
        </c:dLbls>
        <c:marker val="1"/>
        <c:smooth val="0"/>
        <c:axId val="291965567"/>
        <c:axId val="1352870767"/>
      </c:lineChart>
      <c:dateAx>
        <c:axId val="291965567"/>
        <c:scaling>
          <c:orientation val="minMax"/>
        </c:scaling>
        <c:delete val="0"/>
        <c:axPos val="b"/>
        <c:numFmt formatCode="mmm\ 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2870767"/>
        <c:crosses val="autoZero"/>
        <c:auto val="0"/>
        <c:lblOffset val="100"/>
        <c:baseTimeUnit val="months"/>
        <c:majorUnit val="3"/>
        <c:majorTimeUnit val="months"/>
      </c:dateAx>
      <c:valAx>
        <c:axId val="1352870767"/>
        <c:scaling>
          <c:orientation val="minMax"/>
          <c:min val="0"/>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96556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Approx. Annual Cost per Active Agent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'Chart Data'!$F$1</c:f>
              <c:strCache>
                <c:ptCount val="1"/>
                <c:pt idx="0">
                  <c:v>Annual Cost / Active Agent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'Chart Data'!$D$2:$D$19</c:f>
              <c:numCache>
                <c:formatCode>mmm\ yyyy</c:formatCode>
                <c:ptCount val="18"/>
                <c:pt idx="0">
                  <c:v>46235</c:v>
                </c:pt>
                <c:pt idx="1">
                  <c:v>46266</c:v>
                </c:pt>
                <c:pt idx="2">
                  <c:v>46296</c:v>
                </c:pt>
                <c:pt idx="3">
                  <c:v>46327</c:v>
                </c:pt>
                <c:pt idx="4">
                  <c:v>46357</c:v>
                </c:pt>
                <c:pt idx="5">
                  <c:v>46388</c:v>
                </c:pt>
                <c:pt idx="6">
                  <c:v>46419</c:v>
                </c:pt>
                <c:pt idx="7">
                  <c:v>46447</c:v>
                </c:pt>
                <c:pt idx="8">
                  <c:v>46478</c:v>
                </c:pt>
                <c:pt idx="9">
                  <c:v>46508</c:v>
                </c:pt>
                <c:pt idx="10">
                  <c:v>46539</c:v>
                </c:pt>
                <c:pt idx="11">
                  <c:v>46569</c:v>
                </c:pt>
                <c:pt idx="12">
                  <c:v>46600</c:v>
                </c:pt>
                <c:pt idx="13">
                  <c:v>46631</c:v>
                </c:pt>
                <c:pt idx="14">
                  <c:v>46661</c:v>
                </c:pt>
                <c:pt idx="15">
                  <c:v>46692</c:v>
                </c:pt>
                <c:pt idx="16">
                  <c:v>46722</c:v>
                </c:pt>
                <c:pt idx="17">
                  <c:v>46753</c:v>
                </c:pt>
              </c:numCache>
            </c:numRef>
          </c:cat>
          <c:val>
            <c:numRef>
              <c:f>'Chart Data'!$F$2:$F$19</c:f>
              <c:numCache>
                <c:formatCode>[$$-409]#,##0</c:formatCode>
                <c:ptCount val="18"/>
                <c:pt idx="0">
                  <c:v>427404.34859992116</c:v>
                </c:pt>
                <c:pt idx="1">
                  <c:v>355012.5366587083</c:v>
                </c:pt>
                <c:pt idx="2">
                  <c:v>291450.00471281062</c:v>
                </c:pt>
                <c:pt idx="3">
                  <c:v>247383.20533347619</c:v>
                </c:pt>
                <c:pt idx="4">
                  <c:v>215035.63892162699</c:v>
                </c:pt>
                <c:pt idx="5">
                  <c:v>190281.30827773205</c:v>
                </c:pt>
                <c:pt idx="6">
                  <c:v>170727.64302216488</c:v>
                </c:pt>
                <c:pt idx="7">
                  <c:v>154891.70728591894</c:v>
                </c:pt>
                <c:pt idx="8">
                  <c:v>142504.00933891223</c:v>
                </c:pt>
                <c:pt idx="9">
                  <c:v>131454.38081416901</c:v>
                </c:pt>
                <c:pt idx="10">
                  <c:v>122039.70764129293</c:v>
                </c:pt>
                <c:pt idx="11">
                  <c:v>113922.21284537051</c:v>
                </c:pt>
                <c:pt idx="12">
                  <c:v>109699.05539035729</c:v>
                </c:pt>
                <c:pt idx="13">
                  <c:v>108588.12480798911</c:v>
                </c:pt>
                <c:pt idx="14">
                  <c:v>109133.75746471187</c:v>
                </c:pt>
                <c:pt idx="15">
                  <c:v>109682.1319940815</c:v>
                </c:pt>
                <c:pt idx="16">
                  <c:v>110233.26217435244</c:v>
                </c:pt>
                <c:pt idx="17">
                  <c:v>110787.16185301672</c:v>
                </c:pt>
              </c:numCache>
            </c:numRef>
          </c:val>
          <c:smooth val="0"/>
          <c:extLst>
            <c:ext xmlns:c16="http://schemas.microsoft.com/office/drawing/2014/chart" uri="{C3380CC4-5D6E-409C-BE32-E72D297353CC}">
              <c16:uniqueId val="{00000000-2B82-468B-A216-2F98E8451EF1}"/>
            </c:ext>
          </c:extLst>
        </c:ser>
        <c:dLbls>
          <c:showLegendKey val="0"/>
          <c:showVal val="0"/>
          <c:showCatName val="0"/>
          <c:showSerName val="0"/>
          <c:showPercent val="0"/>
          <c:showBubbleSize val="0"/>
        </c:dLbls>
        <c:marker val="1"/>
        <c:smooth val="0"/>
        <c:axId val="291975775"/>
        <c:axId val="1352737327"/>
      </c:lineChart>
      <c:dateAx>
        <c:axId val="291975775"/>
        <c:scaling>
          <c:orientation val="minMax"/>
        </c:scaling>
        <c:delete val="0"/>
        <c:axPos val="b"/>
        <c:numFmt formatCode="mmm\ 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2737327"/>
        <c:crosses val="autoZero"/>
        <c:auto val="0"/>
        <c:lblOffset val="100"/>
        <c:baseTimeUnit val="months"/>
        <c:majorUnit val="3"/>
        <c:majorTimeUnit val="months"/>
      </c:dateAx>
      <c:valAx>
        <c:axId val="1352737327"/>
        <c:scaling>
          <c:orientation val="minMax"/>
          <c:min val="0"/>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97577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9</xdr:col>
      <xdr:colOff>0</xdr:colOff>
      <xdr:row>3</xdr:row>
      <xdr:rowOff>0</xdr:rowOff>
    </xdr:from>
    <xdr:to>
      <xdr:col>18</xdr:col>
      <xdr:colOff>0</xdr:colOff>
      <xdr:row>29</xdr:row>
      <xdr:rowOff>0</xdr:rowOff>
    </xdr:to>
    <xdr:graphicFrame macro="">
      <xdr:nvGraphicFramePr>
        <xdr:cNvPr id="2" name="App Deployment Gantt">
          <a:extLst>
            <a:ext uri="{FF2B5EF4-FFF2-40B4-BE49-F238E27FC236}">
              <a16:creationId xmlns:a16="http://schemas.microsoft.com/office/drawing/2014/main" id="{BC0297CF-20ED-4013-B1C6-F4C1C7DEB0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578050</xdr:colOff>
      <xdr:row>6</xdr:row>
      <xdr:rowOff>84988</xdr:rowOff>
    </xdr:from>
    <xdr:to>
      <xdr:col>13</xdr:col>
      <xdr:colOff>152400</xdr:colOff>
      <xdr:row>7</xdr:row>
      <xdr:rowOff>127693</xdr:rowOff>
    </xdr:to>
    <xdr:sp macro="" textlink="">
      <xdr:nvSpPr>
        <xdr:cNvPr id="3" name="UC Label 1-1">
          <a:extLst>
            <a:ext uri="{FF2B5EF4-FFF2-40B4-BE49-F238E27FC236}">
              <a16:creationId xmlns:a16="http://schemas.microsoft.com/office/drawing/2014/main" id="{442BE7EB-962F-427D-913A-6D7884E66B3D}"/>
            </a:ext>
          </a:extLst>
        </xdr:cNvPr>
        <xdr:cNvSpPr txBox="1"/>
      </xdr:nvSpPr>
      <xdr:spPr>
        <a:xfrm>
          <a:off x="16345100" y="1304188"/>
          <a:ext cx="431600" cy="226855"/>
        </a:xfrm>
        <a:prstGeom prst="rect">
          <a:avLst/>
        </a:prstGeom>
        <a:solidFill>
          <a:prstClr val="white">
            <a:alpha val="0"/>
          </a:prstClr>
        </a:solidFill>
        <a:ln>
          <a:solidFill>
            <a:prstClr val="black"/>
          </a:solidFill>
        </a:ln>
      </xdr:spPr>
      <xdr:txBody>
        <a:bodyPr vertOverflow="overflow" vert="horz" wrap="square" rtlCol="0" anchor="ctr">
          <a:spAutoFit/>
        </a:bodyPr>
        <a:lstStyle/>
        <a:p>
          <a:pPr algn="l"/>
          <a:r>
            <a:rPr kumimoji="0" lang="en-US" sz="900" b="1" i="0" u="none" strike="noStrike" kern="0" cap="none" spc="0" normalizeH="0" baseline="0" noProof="0">
              <a:ln>
                <a:noFill/>
              </a:ln>
              <a:solidFill>
                <a:srgbClr val="FFFFFF"/>
              </a:solidFill>
              <a:effectLst/>
              <a:uLnTx/>
              <a:uFillTx/>
              <a:latin typeface="Aptos Narrow" panose="02110004020202020204"/>
            </a:rPr>
            <a:t>4</a:t>
          </a:r>
        </a:p>
      </xdr:txBody>
    </xdr:sp>
    <xdr:clientData/>
  </xdr:twoCellAnchor>
  <xdr:twoCellAnchor>
    <xdr:from>
      <xdr:col>13</xdr:col>
      <xdr:colOff>563452</xdr:colOff>
      <xdr:row>6</xdr:row>
      <xdr:rowOff>118324</xdr:rowOff>
    </xdr:from>
    <xdr:to>
      <xdr:col>14</xdr:col>
      <xdr:colOff>323850</xdr:colOff>
      <xdr:row>7</xdr:row>
      <xdr:rowOff>161029</xdr:rowOff>
    </xdr:to>
    <xdr:sp macro="" textlink="">
      <xdr:nvSpPr>
        <xdr:cNvPr id="4" name="UC Label 1-2">
          <a:extLst>
            <a:ext uri="{FF2B5EF4-FFF2-40B4-BE49-F238E27FC236}">
              <a16:creationId xmlns:a16="http://schemas.microsoft.com/office/drawing/2014/main" id="{650970EF-EB80-4376-BCAD-650E63CB625C}"/>
            </a:ext>
          </a:extLst>
        </xdr:cNvPr>
        <xdr:cNvSpPr txBox="1"/>
      </xdr:nvSpPr>
      <xdr:spPr>
        <a:xfrm>
          <a:off x="17187752" y="1337524"/>
          <a:ext cx="369998" cy="226855"/>
        </a:xfrm>
        <a:prstGeom prst="rect">
          <a:avLst/>
        </a:prstGeom>
        <a:solidFill>
          <a:prstClr val="white">
            <a:alpha val="0"/>
          </a:prstClr>
        </a:solidFill>
        <a:ln>
          <a:solidFill>
            <a:prstClr val="black"/>
          </a:solidFill>
        </a:ln>
      </xdr:spPr>
      <xdr:txBody>
        <a:bodyPr vertOverflow="overflow" vert="horz" wrap="square" rtlCol="0" anchor="ctr">
          <a:spAutoFit/>
        </a:bodyPr>
        <a:lstStyle/>
        <a:p>
          <a:pPr algn="l"/>
          <a:r>
            <a:rPr kumimoji="0" lang="en-US" sz="900" b="1" i="0" u="none" strike="noStrike" kern="0" cap="none" spc="0" normalizeH="0" baseline="0" noProof="0">
              <a:ln>
                <a:noFill/>
              </a:ln>
              <a:solidFill>
                <a:srgbClr val="FFFFFF"/>
              </a:solidFill>
              <a:effectLst/>
              <a:uLnTx/>
              <a:uFillTx/>
              <a:latin typeface="Aptos Narrow" panose="02110004020202020204"/>
            </a:rPr>
            <a:t>1</a:t>
          </a:r>
        </a:p>
      </xdr:txBody>
    </xdr:sp>
    <xdr:clientData/>
  </xdr:twoCellAnchor>
  <xdr:twoCellAnchor>
    <xdr:from>
      <xdr:col>15</xdr:col>
      <xdr:colOff>159005</xdr:colOff>
      <xdr:row>6</xdr:row>
      <xdr:rowOff>99253</xdr:rowOff>
    </xdr:from>
    <xdr:to>
      <xdr:col>15</xdr:col>
      <xdr:colOff>438405</xdr:colOff>
      <xdr:row>7</xdr:row>
      <xdr:rowOff>141958</xdr:rowOff>
    </xdr:to>
    <xdr:sp macro="" textlink="">
      <xdr:nvSpPr>
        <xdr:cNvPr id="5" name="UC Label 1-3">
          <a:extLst>
            <a:ext uri="{FF2B5EF4-FFF2-40B4-BE49-F238E27FC236}">
              <a16:creationId xmlns:a16="http://schemas.microsoft.com/office/drawing/2014/main" id="{764D0BBE-C9AE-4B32-9A81-6A8581C0DF4F}"/>
            </a:ext>
          </a:extLst>
        </xdr:cNvPr>
        <xdr:cNvSpPr txBox="1"/>
      </xdr:nvSpPr>
      <xdr:spPr>
        <a:xfrm>
          <a:off x="18002505" y="1318453"/>
          <a:ext cx="279400" cy="226855"/>
        </a:xfrm>
        <a:prstGeom prst="rect">
          <a:avLst/>
        </a:prstGeom>
        <a:solidFill>
          <a:prstClr val="white">
            <a:alpha val="0"/>
          </a:prstClr>
        </a:solidFill>
        <a:ln>
          <a:solidFill>
            <a:prstClr val="black"/>
          </a:solidFill>
        </a:ln>
      </xdr:spPr>
      <xdr:txBody>
        <a:bodyPr vertOverflow="overflow" vert="horz" wrap="square" rtlCol="0" anchor="ctr">
          <a:spAutoFit/>
        </a:bodyPr>
        <a:lstStyle/>
        <a:p>
          <a:pPr algn="l"/>
          <a:r>
            <a:rPr kumimoji="0" lang="en-US" sz="900" b="1" i="0" u="none" strike="noStrike" kern="0" cap="none" spc="0" normalizeH="0" baseline="0" noProof="0">
              <a:ln>
                <a:noFill/>
              </a:ln>
              <a:solidFill>
                <a:schemeClr val="bg1"/>
              </a:solidFill>
              <a:effectLst/>
              <a:uLnTx/>
              <a:uFillTx/>
              <a:latin typeface="Aptos Narrow" panose="02110004020202020204"/>
            </a:rPr>
            <a:t>8</a:t>
          </a:r>
        </a:p>
      </xdr:txBody>
    </xdr:sp>
    <xdr:clientData/>
  </xdr:twoCellAnchor>
  <xdr:twoCellAnchor>
    <xdr:from>
      <xdr:col>12</xdr:col>
      <xdr:colOff>578050</xdr:colOff>
      <xdr:row>8</xdr:row>
      <xdr:rowOff>70775</xdr:rowOff>
    </xdr:from>
    <xdr:to>
      <xdr:col>13</xdr:col>
      <xdr:colOff>38300</xdr:colOff>
      <xdr:row>9</xdr:row>
      <xdr:rowOff>58075</xdr:rowOff>
    </xdr:to>
    <xdr:sp macro="" textlink="">
      <xdr:nvSpPr>
        <xdr:cNvPr id="6" name="UC Label 2-1">
          <a:extLst>
            <a:ext uri="{FF2B5EF4-FFF2-40B4-BE49-F238E27FC236}">
              <a16:creationId xmlns:a16="http://schemas.microsoft.com/office/drawing/2014/main" id="{5A912ABE-0822-4464-A6F7-1D4E1CBD1FD4}"/>
            </a:ext>
          </a:extLst>
        </xdr:cNvPr>
        <xdr:cNvSpPr txBox="1"/>
      </xdr:nvSpPr>
      <xdr:spPr>
        <a:xfrm>
          <a:off x="16345100" y="1658275"/>
          <a:ext cx="317500" cy="171450"/>
        </a:xfrm>
        <a:prstGeom prst="rect">
          <a:avLst/>
        </a:prstGeom>
        <a:solidFill>
          <a:prstClr val="white">
            <a:alpha val="0"/>
          </a:prstClr>
        </a:solidFill>
        <a:ln>
          <a:solidFill>
            <a:prstClr val="black"/>
          </a:solidFill>
        </a:ln>
      </xdr:spPr>
      <xdr:txBody>
        <a:bodyPr vertOverflow="overflow" vert="horz" wrap="square" rtlCol="0" anchor="ctr">
          <a:spAutoFit/>
        </a:bodyPr>
        <a:lstStyle/>
        <a:p>
          <a:pPr algn="l"/>
          <a:r>
            <a:rPr kumimoji="0" lang="en-US" sz="900" b="1" i="0" u="none" strike="noStrike" kern="0" cap="none" spc="0" normalizeH="0" baseline="0" noProof="0">
              <a:ln>
                <a:noFill/>
              </a:ln>
              <a:solidFill>
                <a:srgbClr val="FFFFFF"/>
              </a:solidFill>
              <a:effectLst/>
              <a:uLnTx/>
              <a:uFillTx/>
              <a:latin typeface="Aptos Narrow" panose="02110004020202020204"/>
            </a:rPr>
            <a:t>3</a:t>
          </a:r>
        </a:p>
      </xdr:txBody>
    </xdr:sp>
    <xdr:clientData/>
  </xdr:twoCellAnchor>
  <xdr:twoCellAnchor>
    <xdr:from>
      <xdr:col>13</xdr:col>
      <xdr:colOff>601552</xdr:colOff>
      <xdr:row>8</xdr:row>
      <xdr:rowOff>70775</xdr:rowOff>
    </xdr:from>
    <xdr:to>
      <xdr:col>14</xdr:col>
      <xdr:colOff>271352</xdr:colOff>
      <xdr:row>9</xdr:row>
      <xdr:rowOff>58075</xdr:rowOff>
    </xdr:to>
    <xdr:sp macro="" textlink="">
      <xdr:nvSpPr>
        <xdr:cNvPr id="7" name="UC Label 2-2">
          <a:extLst>
            <a:ext uri="{FF2B5EF4-FFF2-40B4-BE49-F238E27FC236}">
              <a16:creationId xmlns:a16="http://schemas.microsoft.com/office/drawing/2014/main" id="{E8FC9061-67E3-492C-AA06-9CB9190E14C8}"/>
            </a:ext>
          </a:extLst>
        </xdr:cNvPr>
        <xdr:cNvSpPr txBox="1"/>
      </xdr:nvSpPr>
      <xdr:spPr>
        <a:xfrm>
          <a:off x="17225852" y="1658275"/>
          <a:ext cx="279400" cy="171450"/>
        </a:xfrm>
        <a:prstGeom prst="rect">
          <a:avLst/>
        </a:prstGeom>
        <a:solidFill>
          <a:prstClr val="white">
            <a:alpha val="0"/>
          </a:prstClr>
        </a:solidFill>
        <a:ln>
          <a:solidFill>
            <a:prstClr val="black"/>
          </a:solidFill>
        </a:ln>
      </xdr:spPr>
      <xdr:txBody>
        <a:bodyPr vertOverflow="overflow" vert="horz" wrap="square" rtlCol="0" anchor="ctr">
          <a:spAutoFit/>
        </a:bodyPr>
        <a:lstStyle/>
        <a:p>
          <a:pPr algn="l"/>
          <a:r>
            <a:rPr kumimoji="0" lang="en-US" sz="900" b="1" i="0" u="none" strike="noStrike" kern="0" cap="none" spc="0" normalizeH="0" baseline="0" noProof="0">
              <a:ln>
                <a:noFill/>
              </a:ln>
              <a:solidFill>
                <a:srgbClr val="FFFFFF"/>
              </a:solidFill>
              <a:effectLst/>
              <a:uLnTx/>
              <a:uFillTx/>
              <a:latin typeface="Aptos Narrow" panose="02110004020202020204"/>
            </a:rPr>
            <a:t>6</a:t>
          </a:r>
        </a:p>
      </xdr:txBody>
    </xdr:sp>
    <xdr:clientData/>
  </xdr:twoCellAnchor>
  <xdr:twoCellAnchor>
    <xdr:from>
      <xdr:col>15</xdr:col>
      <xdr:colOff>159005</xdr:colOff>
      <xdr:row>8</xdr:row>
      <xdr:rowOff>43073</xdr:rowOff>
    </xdr:from>
    <xdr:to>
      <xdr:col>15</xdr:col>
      <xdr:colOff>438405</xdr:colOff>
      <xdr:row>9</xdr:row>
      <xdr:rowOff>85778</xdr:rowOff>
    </xdr:to>
    <xdr:sp macro="" textlink="">
      <xdr:nvSpPr>
        <xdr:cNvPr id="8" name="UC Label 2-3">
          <a:extLst>
            <a:ext uri="{FF2B5EF4-FFF2-40B4-BE49-F238E27FC236}">
              <a16:creationId xmlns:a16="http://schemas.microsoft.com/office/drawing/2014/main" id="{01A4409A-C50E-4F47-B97C-61EA5BE534B6}"/>
            </a:ext>
          </a:extLst>
        </xdr:cNvPr>
        <xdr:cNvSpPr txBox="1"/>
      </xdr:nvSpPr>
      <xdr:spPr>
        <a:xfrm>
          <a:off x="18002505" y="1630573"/>
          <a:ext cx="279400" cy="226855"/>
        </a:xfrm>
        <a:prstGeom prst="rect">
          <a:avLst/>
        </a:prstGeom>
        <a:solidFill>
          <a:prstClr val="white">
            <a:alpha val="0"/>
          </a:prstClr>
        </a:solidFill>
        <a:ln>
          <a:solidFill>
            <a:prstClr val="black"/>
          </a:solidFill>
        </a:ln>
      </xdr:spPr>
      <xdr:txBody>
        <a:bodyPr vertOverflow="overflow" vert="horz" wrap="square" rtlCol="0" anchor="ctr">
          <a:spAutoFit/>
        </a:bodyPr>
        <a:lstStyle/>
        <a:p>
          <a:pPr algn="l"/>
          <a:r>
            <a:rPr kumimoji="0" lang="en-US" sz="900" b="1" i="0" u="none" strike="noStrike" kern="0" cap="none" spc="0" normalizeH="0" baseline="0" noProof="0">
              <a:ln>
                <a:noFill/>
              </a:ln>
              <a:solidFill>
                <a:schemeClr val="bg1"/>
              </a:solidFill>
              <a:effectLst/>
              <a:uLnTx/>
              <a:uFillTx/>
              <a:latin typeface="Aptos Narrow" panose="02110004020202020204"/>
            </a:rPr>
            <a:t>4</a:t>
          </a:r>
        </a:p>
      </xdr:txBody>
    </xdr:sp>
    <xdr:clientData/>
  </xdr:twoCellAnchor>
  <xdr:twoCellAnchor>
    <xdr:from>
      <xdr:col>12</xdr:col>
      <xdr:colOff>578050</xdr:colOff>
      <xdr:row>10</xdr:row>
      <xdr:rowOff>14595</xdr:rowOff>
    </xdr:from>
    <xdr:to>
      <xdr:col>13</xdr:col>
      <xdr:colOff>38300</xdr:colOff>
      <xdr:row>11</xdr:row>
      <xdr:rowOff>1895</xdr:rowOff>
    </xdr:to>
    <xdr:sp macro="" textlink="">
      <xdr:nvSpPr>
        <xdr:cNvPr id="9" name="UC Label 3-1">
          <a:extLst>
            <a:ext uri="{FF2B5EF4-FFF2-40B4-BE49-F238E27FC236}">
              <a16:creationId xmlns:a16="http://schemas.microsoft.com/office/drawing/2014/main" id="{4FA83D11-9A56-468A-BF1F-9340A62A1AA7}"/>
            </a:ext>
          </a:extLst>
        </xdr:cNvPr>
        <xdr:cNvSpPr txBox="1"/>
      </xdr:nvSpPr>
      <xdr:spPr>
        <a:xfrm>
          <a:off x="16345100" y="1970395"/>
          <a:ext cx="317500" cy="171450"/>
        </a:xfrm>
        <a:prstGeom prst="rect">
          <a:avLst/>
        </a:prstGeom>
        <a:solidFill>
          <a:prstClr val="white">
            <a:alpha val="0"/>
          </a:prstClr>
        </a:solidFill>
        <a:ln>
          <a:solidFill>
            <a:prstClr val="black"/>
          </a:solidFill>
        </a:ln>
      </xdr:spPr>
      <xdr:txBody>
        <a:bodyPr vertOverflow="overflow" vert="horz" wrap="square" rtlCol="0" anchor="ctr">
          <a:spAutoFit/>
        </a:bodyPr>
        <a:lstStyle/>
        <a:p>
          <a:pPr algn="l"/>
          <a:r>
            <a:rPr kumimoji="0" lang="en-US" sz="900" b="1" i="0" u="none" strike="noStrike" kern="0" cap="none" spc="0" normalizeH="0" baseline="0" noProof="0">
              <a:ln>
                <a:noFill/>
              </a:ln>
              <a:solidFill>
                <a:srgbClr val="FFFFFF"/>
              </a:solidFill>
              <a:effectLst/>
              <a:uLnTx/>
              <a:uFillTx/>
              <a:latin typeface="Aptos Narrow" panose="02110004020202020204"/>
            </a:rPr>
            <a:t>4</a:t>
          </a:r>
        </a:p>
      </xdr:txBody>
    </xdr:sp>
    <xdr:clientData/>
  </xdr:twoCellAnchor>
  <xdr:twoCellAnchor>
    <xdr:from>
      <xdr:col>13</xdr:col>
      <xdr:colOff>572977</xdr:colOff>
      <xdr:row>10</xdr:row>
      <xdr:rowOff>14595</xdr:rowOff>
    </xdr:from>
    <xdr:to>
      <xdr:col>14</xdr:col>
      <xdr:colOff>242777</xdr:colOff>
      <xdr:row>11</xdr:row>
      <xdr:rowOff>1895</xdr:rowOff>
    </xdr:to>
    <xdr:sp macro="" textlink="">
      <xdr:nvSpPr>
        <xdr:cNvPr id="10" name="UC Label 3-2">
          <a:extLst>
            <a:ext uri="{FF2B5EF4-FFF2-40B4-BE49-F238E27FC236}">
              <a16:creationId xmlns:a16="http://schemas.microsoft.com/office/drawing/2014/main" id="{C8832905-EFD6-4883-90A3-35FD58B83BD7}"/>
            </a:ext>
          </a:extLst>
        </xdr:cNvPr>
        <xdr:cNvSpPr txBox="1"/>
      </xdr:nvSpPr>
      <xdr:spPr>
        <a:xfrm>
          <a:off x="17197277" y="1970395"/>
          <a:ext cx="279400" cy="171450"/>
        </a:xfrm>
        <a:prstGeom prst="rect">
          <a:avLst/>
        </a:prstGeom>
        <a:solidFill>
          <a:prstClr val="white">
            <a:alpha val="0"/>
          </a:prstClr>
        </a:solidFill>
        <a:ln>
          <a:solidFill>
            <a:prstClr val="black"/>
          </a:solidFill>
        </a:ln>
      </xdr:spPr>
      <xdr:txBody>
        <a:bodyPr vertOverflow="overflow" vert="horz" wrap="square" rtlCol="0" anchor="ctr">
          <a:spAutoFit/>
        </a:bodyPr>
        <a:lstStyle/>
        <a:p>
          <a:pPr algn="l"/>
          <a:r>
            <a:rPr kumimoji="0" lang="en-US" sz="900" b="1" i="0" u="none" strike="noStrike" kern="0" cap="none" spc="0" normalizeH="0" baseline="0" noProof="0">
              <a:ln>
                <a:noFill/>
              </a:ln>
              <a:solidFill>
                <a:srgbClr val="FFFFFF"/>
              </a:solidFill>
              <a:effectLst/>
              <a:uLnTx/>
              <a:uFillTx/>
              <a:latin typeface="Aptos Narrow" panose="02110004020202020204"/>
            </a:rPr>
            <a:t>4</a:t>
          </a:r>
        </a:p>
      </xdr:txBody>
    </xdr:sp>
    <xdr:clientData/>
  </xdr:twoCellAnchor>
  <xdr:twoCellAnchor>
    <xdr:from>
      <xdr:col>15</xdr:col>
      <xdr:colOff>159005</xdr:colOff>
      <xdr:row>10</xdr:row>
      <xdr:rowOff>14595</xdr:rowOff>
    </xdr:from>
    <xdr:to>
      <xdr:col>15</xdr:col>
      <xdr:colOff>438405</xdr:colOff>
      <xdr:row>11</xdr:row>
      <xdr:rowOff>1895</xdr:rowOff>
    </xdr:to>
    <xdr:sp macro="" textlink="">
      <xdr:nvSpPr>
        <xdr:cNvPr id="11" name="UC Label 3-3">
          <a:extLst>
            <a:ext uri="{FF2B5EF4-FFF2-40B4-BE49-F238E27FC236}">
              <a16:creationId xmlns:a16="http://schemas.microsoft.com/office/drawing/2014/main" id="{5DEFD67E-D470-427D-9DEF-BF6AAC9513BC}"/>
            </a:ext>
          </a:extLst>
        </xdr:cNvPr>
        <xdr:cNvSpPr txBox="1"/>
      </xdr:nvSpPr>
      <xdr:spPr>
        <a:xfrm>
          <a:off x="18002505" y="1970395"/>
          <a:ext cx="279400" cy="171450"/>
        </a:xfrm>
        <a:prstGeom prst="rect">
          <a:avLst/>
        </a:prstGeom>
        <a:solidFill>
          <a:prstClr val="white">
            <a:alpha val="0"/>
          </a:prstClr>
        </a:solidFill>
        <a:ln>
          <a:solidFill>
            <a:prstClr val="black"/>
          </a:solidFill>
        </a:ln>
      </xdr:spPr>
      <xdr:txBody>
        <a:bodyPr vertOverflow="overflow" vert="horz" wrap="square" rtlCol="0" anchor="ctr">
          <a:spAutoFit/>
        </a:bodyPr>
        <a:lstStyle/>
        <a:p>
          <a:pPr algn="l"/>
          <a:r>
            <a:rPr kumimoji="0" lang="en-US" sz="900" b="1" i="0" u="none" strike="noStrike" kern="0" cap="none" spc="0" normalizeH="0" baseline="0" noProof="0">
              <a:ln>
                <a:noFill/>
              </a:ln>
              <a:solidFill>
                <a:srgbClr val="FFFFFF"/>
              </a:solidFill>
              <a:effectLst/>
              <a:uLnTx/>
              <a:uFillTx/>
              <a:latin typeface="Aptos Narrow" panose="02110004020202020204"/>
            </a:rPr>
            <a:t>2</a:t>
          </a:r>
        </a:p>
      </xdr:txBody>
    </xdr:sp>
    <xdr:clientData/>
  </xdr:twoCellAnchor>
  <xdr:twoCellAnchor>
    <xdr:from>
      <xdr:col>12</xdr:col>
      <xdr:colOff>578050</xdr:colOff>
      <xdr:row>11</xdr:row>
      <xdr:rowOff>148915</xdr:rowOff>
    </xdr:from>
    <xdr:to>
      <xdr:col>13</xdr:col>
      <xdr:colOff>38300</xdr:colOff>
      <xdr:row>12</xdr:row>
      <xdr:rowOff>136215</xdr:rowOff>
    </xdr:to>
    <xdr:sp macro="" textlink="">
      <xdr:nvSpPr>
        <xdr:cNvPr id="12" name="UC Label 4-1">
          <a:extLst>
            <a:ext uri="{FF2B5EF4-FFF2-40B4-BE49-F238E27FC236}">
              <a16:creationId xmlns:a16="http://schemas.microsoft.com/office/drawing/2014/main" id="{EFF13BC4-09A2-46DB-B5BD-D0297BE9647F}"/>
            </a:ext>
          </a:extLst>
        </xdr:cNvPr>
        <xdr:cNvSpPr txBox="1"/>
      </xdr:nvSpPr>
      <xdr:spPr>
        <a:xfrm>
          <a:off x="16345100" y="2288865"/>
          <a:ext cx="317500" cy="171450"/>
        </a:xfrm>
        <a:prstGeom prst="rect">
          <a:avLst/>
        </a:prstGeom>
        <a:solidFill>
          <a:prstClr val="white">
            <a:alpha val="0"/>
          </a:prstClr>
        </a:solidFill>
        <a:ln>
          <a:solidFill>
            <a:prstClr val="black"/>
          </a:solidFill>
        </a:ln>
      </xdr:spPr>
      <xdr:txBody>
        <a:bodyPr vertOverflow="overflow" vert="horz" wrap="square" rtlCol="0" anchor="ctr">
          <a:spAutoFit/>
        </a:bodyPr>
        <a:lstStyle/>
        <a:p>
          <a:pPr algn="l"/>
          <a:r>
            <a:rPr kumimoji="0" lang="en-US" sz="900" b="1" i="0" u="none" strike="noStrike" kern="0" cap="none" spc="0" normalizeH="0" baseline="0" noProof="0">
              <a:ln>
                <a:noFill/>
              </a:ln>
              <a:solidFill>
                <a:srgbClr val="FFFFFF"/>
              </a:solidFill>
              <a:effectLst/>
              <a:uLnTx/>
              <a:uFillTx/>
              <a:latin typeface="Aptos Narrow" panose="02110004020202020204"/>
            </a:rPr>
            <a:t>5</a:t>
          </a:r>
        </a:p>
      </xdr:txBody>
    </xdr:sp>
    <xdr:clientData/>
  </xdr:twoCellAnchor>
  <xdr:twoCellAnchor>
    <xdr:from>
      <xdr:col>13</xdr:col>
      <xdr:colOff>572977</xdr:colOff>
      <xdr:row>11</xdr:row>
      <xdr:rowOff>148915</xdr:rowOff>
    </xdr:from>
    <xdr:to>
      <xdr:col>14</xdr:col>
      <xdr:colOff>242777</xdr:colOff>
      <xdr:row>12</xdr:row>
      <xdr:rowOff>136215</xdr:rowOff>
    </xdr:to>
    <xdr:sp macro="" textlink="">
      <xdr:nvSpPr>
        <xdr:cNvPr id="13" name="UC Label 4-2">
          <a:extLst>
            <a:ext uri="{FF2B5EF4-FFF2-40B4-BE49-F238E27FC236}">
              <a16:creationId xmlns:a16="http://schemas.microsoft.com/office/drawing/2014/main" id="{CF4F9112-5722-4981-8576-8AA3E01B3830}"/>
            </a:ext>
          </a:extLst>
        </xdr:cNvPr>
        <xdr:cNvSpPr txBox="1"/>
      </xdr:nvSpPr>
      <xdr:spPr>
        <a:xfrm>
          <a:off x="17197277" y="2288865"/>
          <a:ext cx="279400" cy="171450"/>
        </a:xfrm>
        <a:prstGeom prst="rect">
          <a:avLst/>
        </a:prstGeom>
        <a:solidFill>
          <a:prstClr val="white">
            <a:alpha val="0"/>
          </a:prstClr>
        </a:solidFill>
        <a:ln>
          <a:solidFill>
            <a:prstClr val="black"/>
          </a:solidFill>
        </a:ln>
      </xdr:spPr>
      <xdr:txBody>
        <a:bodyPr vertOverflow="overflow" vert="horz" wrap="square" rtlCol="0" anchor="ctr">
          <a:spAutoFit/>
        </a:bodyPr>
        <a:lstStyle/>
        <a:p>
          <a:pPr algn="l"/>
          <a:r>
            <a:rPr kumimoji="0" lang="en-US" sz="900" b="1" i="0" u="none" strike="noStrike" kern="0" cap="none" spc="0" normalizeH="0" baseline="0" noProof="0">
              <a:ln>
                <a:noFill/>
              </a:ln>
              <a:solidFill>
                <a:srgbClr val="FFFFFF"/>
              </a:solidFill>
              <a:effectLst/>
              <a:uLnTx/>
              <a:uFillTx/>
              <a:latin typeface="Aptos Narrow" panose="02110004020202020204"/>
            </a:rPr>
            <a:t>2</a:t>
          </a:r>
        </a:p>
      </xdr:txBody>
    </xdr:sp>
    <xdr:clientData/>
  </xdr:twoCellAnchor>
  <xdr:twoCellAnchor>
    <xdr:from>
      <xdr:col>15</xdr:col>
      <xdr:colOff>159005</xdr:colOff>
      <xdr:row>11</xdr:row>
      <xdr:rowOff>148915</xdr:rowOff>
    </xdr:from>
    <xdr:to>
      <xdr:col>15</xdr:col>
      <xdr:colOff>438405</xdr:colOff>
      <xdr:row>12</xdr:row>
      <xdr:rowOff>136215</xdr:rowOff>
    </xdr:to>
    <xdr:sp macro="" textlink="">
      <xdr:nvSpPr>
        <xdr:cNvPr id="14" name="UC Label 4-3">
          <a:extLst>
            <a:ext uri="{FF2B5EF4-FFF2-40B4-BE49-F238E27FC236}">
              <a16:creationId xmlns:a16="http://schemas.microsoft.com/office/drawing/2014/main" id="{AF4463BD-E8AE-4B87-BC53-BABE86B36B87}"/>
            </a:ext>
          </a:extLst>
        </xdr:cNvPr>
        <xdr:cNvSpPr txBox="1"/>
      </xdr:nvSpPr>
      <xdr:spPr>
        <a:xfrm>
          <a:off x="18002505" y="2288865"/>
          <a:ext cx="279400" cy="171450"/>
        </a:xfrm>
        <a:prstGeom prst="rect">
          <a:avLst/>
        </a:prstGeom>
        <a:solidFill>
          <a:prstClr val="white">
            <a:alpha val="0"/>
          </a:prstClr>
        </a:solidFill>
        <a:ln>
          <a:solidFill>
            <a:prstClr val="black"/>
          </a:solidFill>
        </a:ln>
      </xdr:spPr>
      <xdr:txBody>
        <a:bodyPr vertOverflow="overflow" vert="horz" wrap="square" rtlCol="0" anchor="ctr">
          <a:spAutoFit/>
        </a:bodyPr>
        <a:lstStyle/>
        <a:p>
          <a:pPr algn="l"/>
          <a:r>
            <a:rPr kumimoji="0" lang="en-US" sz="900" b="1" i="0" u="none" strike="noStrike" kern="0" cap="none" spc="0" normalizeH="0" baseline="0" noProof="0">
              <a:ln>
                <a:noFill/>
              </a:ln>
              <a:solidFill>
                <a:srgbClr val="FFFFFF"/>
              </a:solidFill>
              <a:effectLst/>
              <a:uLnTx/>
              <a:uFillTx/>
              <a:latin typeface="Aptos Narrow" panose="02110004020202020204"/>
            </a:rPr>
            <a:t>2</a:t>
          </a:r>
        </a:p>
      </xdr:txBody>
    </xdr:sp>
    <xdr:clientData/>
  </xdr:twoCellAnchor>
  <xdr:twoCellAnchor>
    <xdr:from>
      <xdr:col>12</xdr:col>
      <xdr:colOff>578050</xdr:colOff>
      <xdr:row>13</xdr:row>
      <xdr:rowOff>92735</xdr:rowOff>
    </xdr:from>
    <xdr:to>
      <xdr:col>13</xdr:col>
      <xdr:colOff>38300</xdr:colOff>
      <xdr:row>14</xdr:row>
      <xdr:rowOff>80035</xdr:rowOff>
    </xdr:to>
    <xdr:sp macro="" textlink="">
      <xdr:nvSpPr>
        <xdr:cNvPr id="15" name="UC Label 5-1">
          <a:extLst>
            <a:ext uri="{FF2B5EF4-FFF2-40B4-BE49-F238E27FC236}">
              <a16:creationId xmlns:a16="http://schemas.microsoft.com/office/drawing/2014/main" id="{5E8D4105-E289-483F-8DBB-8749E1D54524}"/>
            </a:ext>
          </a:extLst>
        </xdr:cNvPr>
        <xdr:cNvSpPr txBox="1"/>
      </xdr:nvSpPr>
      <xdr:spPr>
        <a:xfrm>
          <a:off x="16345100" y="2600985"/>
          <a:ext cx="317500" cy="171450"/>
        </a:xfrm>
        <a:prstGeom prst="rect">
          <a:avLst/>
        </a:prstGeom>
        <a:solidFill>
          <a:prstClr val="white">
            <a:alpha val="0"/>
          </a:prstClr>
        </a:solidFill>
        <a:ln>
          <a:solidFill>
            <a:prstClr val="black"/>
          </a:solidFill>
        </a:ln>
      </xdr:spPr>
      <xdr:txBody>
        <a:bodyPr vertOverflow="overflow" vert="horz" wrap="square" rtlCol="0" anchor="ctr">
          <a:spAutoFit/>
        </a:bodyPr>
        <a:lstStyle/>
        <a:p>
          <a:pPr algn="l"/>
          <a:r>
            <a:rPr kumimoji="0" lang="en-US" sz="900" b="1" i="0" u="none" strike="noStrike" kern="0" cap="none" spc="0" normalizeH="0" baseline="0" noProof="0">
              <a:ln>
                <a:noFill/>
              </a:ln>
              <a:solidFill>
                <a:srgbClr val="FFFFFF"/>
              </a:solidFill>
              <a:effectLst/>
              <a:uLnTx/>
              <a:uFillTx/>
              <a:latin typeface="Aptos Narrow" panose="02110004020202020204"/>
            </a:rPr>
            <a:t>6</a:t>
          </a:r>
        </a:p>
      </xdr:txBody>
    </xdr:sp>
    <xdr:clientData/>
  </xdr:twoCellAnchor>
  <xdr:twoCellAnchor>
    <xdr:from>
      <xdr:col>13</xdr:col>
      <xdr:colOff>572977</xdr:colOff>
      <xdr:row>13</xdr:row>
      <xdr:rowOff>92735</xdr:rowOff>
    </xdr:from>
    <xdr:to>
      <xdr:col>14</xdr:col>
      <xdr:colOff>242777</xdr:colOff>
      <xdr:row>14</xdr:row>
      <xdr:rowOff>80035</xdr:rowOff>
    </xdr:to>
    <xdr:sp macro="" textlink="">
      <xdr:nvSpPr>
        <xdr:cNvPr id="16" name="UC Label 5-2">
          <a:extLst>
            <a:ext uri="{FF2B5EF4-FFF2-40B4-BE49-F238E27FC236}">
              <a16:creationId xmlns:a16="http://schemas.microsoft.com/office/drawing/2014/main" id="{737E7479-DF1A-425A-9669-C94F693FEC04}"/>
            </a:ext>
          </a:extLst>
        </xdr:cNvPr>
        <xdr:cNvSpPr txBox="1"/>
      </xdr:nvSpPr>
      <xdr:spPr>
        <a:xfrm>
          <a:off x="17197277" y="2600985"/>
          <a:ext cx="279400" cy="171450"/>
        </a:xfrm>
        <a:prstGeom prst="rect">
          <a:avLst/>
        </a:prstGeom>
        <a:solidFill>
          <a:prstClr val="white">
            <a:alpha val="0"/>
          </a:prstClr>
        </a:solidFill>
        <a:ln>
          <a:solidFill>
            <a:prstClr val="black"/>
          </a:solidFill>
        </a:ln>
      </xdr:spPr>
      <xdr:txBody>
        <a:bodyPr vertOverflow="overflow" vert="horz" wrap="square" rtlCol="0" anchor="ctr">
          <a:spAutoFit/>
        </a:bodyPr>
        <a:lstStyle/>
        <a:p>
          <a:pPr algn="l"/>
          <a:r>
            <a:rPr kumimoji="0" lang="en-US" sz="900" b="1" i="0" u="none" strike="noStrike" kern="0" cap="none" spc="0" normalizeH="0" baseline="0" noProof="0">
              <a:ln>
                <a:noFill/>
              </a:ln>
              <a:solidFill>
                <a:srgbClr val="FFFFFF"/>
              </a:solidFill>
              <a:effectLst/>
              <a:uLnTx/>
              <a:uFillTx/>
              <a:latin typeface="Aptos Narrow" panose="02110004020202020204"/>
            </a:rPr>
            <a:t>2</a:t>
          </a:r>
        </a:p>
      </xdr:txBody>
    </xdr:sp>
    <xdr:clientData/>
  </xdr:twoCellAnchor>
  <xdr:twoCellAnchor>
    <xdr:from>
      <xdr:col>15</xdr:col>
      <xdr:colOff>159005</xdr:colOff>
      <xdr:row>13</xdr:row>
      <xdr:rowOff>92735</xdr:rowOff>
    </xdr:from>
    <xdr:to>
      <xdr:col>15</xdr:col>
      <xdr:colOff>438405</xdr:colOff>
      <xdr:row>14</xdr:row>
      <xdr:rowOff>80035</xdr:rowOff>
    </xdr:to>
    <xdr:sp macro="" textlink="">
      <xdr:nvSpPr>
        <xdr:cNvPr id="17" name="UC Label 5-3">
          <a:extLst>
            <a:ext uri="{FF2B5EF4-FFF2-40B4-BE49-F238E27FC236}">
              <a16:creationId xmlns:a16="http://schemas.microsoft.com/office/drawing/2014/main" id="{3473C3B0-B799-4E3D-B610-9B5201D37950}"/>
            </a:ext>
          </a:extLst>
        </xdr:cNvPr>
        <xdr:cNvSpPr txBox="1"/>
      </xdr:nvSpPr>
      <xdr:spPr>
        <a:xfrm>
          <a:off x="18002505" y="2600985"/>
          <a:ext cx="279400" cy="171450"/>
        </a:xfrm>
        <a:prstGeom prst="rect">
          <a:avLst/>
        </a:prstGeom>
        <a:solidFill>
          <a:prstClr val="white">
            <a:alpha val="0"/>
          </a:prstClr>
        </a:solidFill>
        <a:ln>
          <a:solidFill>
            <a:prstClr val="black"/>
          </a:solidFill>
        </a:ln>
      </xdr:spPr>
      <xdr:txBody>
        <a:bodyPr vertOverflow="overflow" vert="horz" wrap="square" rtlCol="0" anchor="ctr">
          <a:spAutoFit/>
        </a:bodyPr>
        <a:lstStyle/>
        <a:p>
          <a:pPr algn="l"/>
          <a:r>
            <a:rPr kumimoji="0" lang="en-US" sz="900" b="1" i="0" u="none" strike="noStrike" kern="0" cap="none" spc="0" normalizeH="0" baseline="0" noProof="0">
              <a:ln>
                <a:noFill/>
              </a:ln>
              <a:solidFill>
                <a:srgbClr val="FFFFFF"/>
              </a:solidFill>
              <a:effectLst/>
              <a:uLnTx/>
              <a:uFillTx/>
              <a:latin typeface="Aptos Narrow" panose="02110004020202020204"/>
            </a:rPr>
            <a:t>7</a:t>
          </a:r>
        </a:p>
      </xdr:txBody>
    </xdr:sp>
    <xdr:clientData/>
  </xdr:twoCellAnchor>
  <xdr:twoCellAnchor>
    <xdr:from>
      <xdr:col>16</xdr:col>
      <xdr:colOff>350209</xdr:colOff>
      <xdr:row>13</xdr:row>
      <xdr:rowOff>92735</xdr:rowOff>
    </xdr:from>
    <xdr:to>
      <xdr:col>17</xdr:col>
      <xdr:colOff>20009</xdr:colOff>
      <xdr:row>14</xdr:row>
      <xdr:rowOff>80035</xdr:rowOff>
    </xdr:to>
    <xdr:sp macro="" textlink="">
      <xdr:nvSpPr>
        <xdr:cNvPr id="18" name="UC Label 5-4">
          <a:extLst>
            <a:ext uri="{FF2B5EF4-FFF2-40B4-BE49-F238E27FC236}">
              <a16:creationId xmlns:a16="http://schemas.microsoft.com/office/drawing/2014/main" id="{E8D38EAB-C50E-4BB5-8507-B0774D12E295}"/>
            </a:ext>
          </a:extLst>
        </xdr:cNvPr>
        <xdr:cNvSpPr txBox="1"/>
      </xdr:nvSpPr>
      <xdr:spPr>
        <a:xfrm>
          <a:off x="18803309" y="2600985"/>
          <a:ext cx="279400" cy="171450"/>
        </a:xfrm>
        <a:prstGeom prst="rect">
          <a:avLst/>
        </a:prstGeom>
        <a:solidFill>
          <a:prstClr val="white">
            <a:alpha val="0"/>
          </a:prstClr>
        </a:solidFill>
        <a:ln>
          <a:solidFill>
            <a:prstClr val="black"/>
          </a:solidFill>
        </a:ln>
      </xdr:spPr>
      <xdr:txBody>
        <a:bodyPr vertOverflow="overflow" vert="horz" wrap="square" rtlCol="0" anchor="ctr">
          <a:spAutoFit/>
        </a:bodyPr>
        <a:lstStyle/>
        <a:p>
          <a:pPr algn="l"/>
          <a:r>
            <a:rPr kumimoji="0" lang="en-US" sz="900" b="1" i="0" u="none" strike="noStrike" kern="0" cap="none" spc="0" normalizeH="0" baseline="0" noProof="0">
              <a:ln>
                <a:noFill/>
              </a:ln>
              <a:solidFill>
                <a:srgbClr val="FFFFFF"/>
              </a:solidFill>
              <a:effectLst/>
              <a:uLnTx/>
              <a:uFillTx/>
              <a:latin typeface="Aptos Narrow" panose="02110004020202020204"/>
            </a:rPr>
            <a:t>7</a:t>
          </a:r>
        </a:p>
      </xdr:txBody>
    </xdr:sp>
    <xdr:clientData/>
  </xdr:twoCellAnchor>
  <xdr:twoCellAnchor>
    <xdr:from>
      <xdr:col>12</xdr:col>
      <xdr:colOff>578050</xdr:colOff>
      <xdr:row>15</xdr:row>
      <xdr:rowOff>36555</xdr:rowOff>
    </xdr:from>
    <xdr:to>
      <xdr:col>13</xdr:col>
      <xdr:colOff>38300</xdr:colOff>
      <xdr:row>16</xdr:row>
      <xdr:rowOff>23855</xdr:rowOff>
    </xdr:to>
    <xdr:sp macro="" textlink="">
      <xdr:nvSpPr>
        <xdr:cNvPr id="19" name="UC Label 6-1">
          <a:extLst>
            <a:ext uri="{FF2B5EF4-FFF2-40B4-BE49-F238E27FC236}">
              <a16:creationId xmlns:a16="http://schemas.microsoft.com/office/drawing/2014/main" id="{8D6AC0AE-2BEA-4BB8-8371-E4FF1E1E45C0}"/>
            </a:ext>
          </a:extLst>
        </xdr:cNvPr>
        <xdr:cNvSpPr txBox="1"/>
      </xdr:nvSpPr>
      <xdr:spPr>
        <a:xfrm>
          <a:off x="16345100" y="2913105"/>
          <a:ext cx="317500" cy="171450"/>
        </a:xfrm>
        <a:prstGeom prst="rect">
          <a:avLst/>
        </a:prstGeom>
        <a:solidFill>
          <a:prstClr val="white">
            <a:alpha val="0"/>
          </a:prstClr>
        </a:solidFill>
        <a:ln>
          <a:solidFill>
            <a:prstClr val="black"/>
          </a:solidFill>
        </a:ln>
      </xdr:spPr>
      <xdr:txBody>
        <a:bodyPr vertOverflow="overflow" vert="horz" wrap="square" rtlCol="0" anchor="ctr">
          <a:spAutoFit/>
        </a:bodyPr>
        <a:lstStyle/>
        <a:p>
          <a:pPr algn="l"/>
          <a:r>
            <a:rPr kumimoji="0" lang="en-US" sz="900" b="1" i="0" u="none" strike="noStrike" kern="0" cap="none" spc="0" normalizeH="0" baseline="0" noProof="0">
              <a:ln>
                <a:noFill/>
              </a:ln>
              <a:solidFill>
                <a:srgbClr val="FFFFFF"/>
              </a:solidFill>
              <a:effectLst/>
              <a:uLnTx/>
              <a:uFillTx/>
              <a:latin typeface="Aptos Narrow" panose="02110004020202020204"/>
            </a:rPr>
            <a:t>1</a:t>
          </a:r>
        </a:p>
      </xdr:txBody>
    </xdr:sp>
    <xdr:clientData/>
  </xdr:twoCellAnchor>
  <xdr:twoCellAnchor>
    <xdr:from>
      <xdr:col>13</xdr:col>
      <xdr:colOff>572977</xdr:colOff>
      <xdr:row>15</xdr:row>
      <xdr:rowOff>36555</xdr:rowOff>
    </xdr:from>
    <xdr:to>
      <xdr:col>14</xdr:col>
      <xdr:colOff>242777</xdr:colOff>
      <xdr:row>16</xdr:row>
      <xdr:rowOff>23855</xdr:rowOff>
    </xdr:to>
    <xdr:sp macro="" textlink="">
      <xdr:nvSpPr>
        <xdr:cNvPr id="20" name="UC Label 6-2">
          <a:extLst>
            <a:ext uri="{FF2B5EF4-FFF2-40B4-BE49-F238E27FC236}">
              <a16:creationId xmlns:a16="http://schemas.microsoft.com/office/drawing/2014/main" id="{614F8A2D-CA4E-4E04-ABDE-08B6648AAD39}"/>
            </a:ext>
          </a:extLst>
        </xdr:cNvPr>
        <xdr:cNvSpPr txBox="1"/>
      </xdr:nvSpPr>
      <xdr:spPr>
        <a:xfrm>
          <a:off x="17197277" y="2913105"/>
          <a:ext cx="279400" cy="171450"/>
        </a:xfrm>
        <a:prstGeom prst="rect">
          <a:avLst/>
        </a:prstGeom>
        <a:solidFill>
          <a:prstClr val="white">
            <a:alpha val="0"/>
          </a:prstClr>
        </a:solidFill>
        <a:ln>
          <a:solidFill>
            <a:prstClr val="black"/>
          </a:solidFill>
        </a:ln>
      </xdr:spPr>
      <xdr:txBody>
        <a:bodyPr vertOverflow="overflow" vert="horz" wrap="square" rtlCol="0" anchor="ctr">
          <a:spAutoFit/>
        </a:bodyPr>
        <a:lstStyle/>
        <a:p>
          <a:pPr algn="l"/>
          <a:r>
            <a:rPr kumimoji="0" lang="en-US" sz="900" b="1" i="0" u="none" strike="noStrike" kern="0" cap="none" spc="0" normalizeH="0" baseline="0" noProof="0">
              <a:ln>
                <a:noFill/>
              </a:ln>
              <a:solidFill>
                <a:srgbClr val="FFFFFF"/>
              </a:solidFill>
              <a:effectLst/>
              <a:uLnTx/>
              <a:uFillTx/>
              <a:latin typeface="Aptos Narrow" panose="02110004020202020204"/>
            </a:rPr>
            <a:t>1</a:t>
          </a:r>
        </a:p>
      </xdr:txBody>
    </xdr:sp>
    <xdr:clientData/>
  </xdr:twoCellAnchor>
  <xdr:twoCellAnchor>
    <xdr:from>
      <xdr:col>15</xdr:col>
      <xdr:colOff>159005</xdr:colOff>
      <xdr:row>15</xdr:row>
      <xdr:rowOff>36555</xdr:rowOff>
    </xdr:from>
    <xdr:to>
      <xdr:col>15</xdr:col>
      <xdr:colOff>438405</xdr:colOff>
      <xdr:row>16</xdr:row>
      <xdr:rowOff>23855</xdr:rowOff>
    </xdr:to>
    <xdr:sp macro="" textlink="">
      <xdr:nvSpPr>
        <xdr:cNvPr id="21" name="UC Label 6-3">
          <a:extLst>
            <a:ext uri="{FF2B5EF4-FFF2-40B4-BE49-F238E27FC236}">
              <a16:creationId xmlns:a16="http://schemas.microsoft.com/office/drawing/2014/main" id="{2817F1FA-E4DA-4505-B3F0-EE89FBA1F6C4}"/>
            </a:ext>
          </a:extLst>
        </xdr:cNvPr>
        <xdr:cNvSpPr txBox="1"/>
      </xdr:nvSpPr>
      <xdr:spPr>
        <a:xfrm>
          <a:off x="18002505" y="2913105"/>
          <a:ext cx="279400" cy="171450"/>
        </a:xfrm>
        <a:prstGeom prst="rect">
          <a:avLst/>
        </a:prstGeom>
        <a:solidFill>
          <a:prstClr val="white">
            <a:alpha val="0"/>
          </a:prstClr>
        </a:solidFill>
        <a:ln>
          <a:solidFill>
            <a:prstClr val="black"/>
          </a:solidFill>
        </a:ln>
      </xdr:spPr>
      <xdr:txBody>
        <a:bodyPr vertOverflow="overflow" vert="horz" wrap="square" rtlCol="0" anchor="ctr">
          <a:spAutoFit/>
        </a:bodyPr>
        <a:lstStyle/>
        <a:p>
          <a:pPr algn="l"/>
          <a:r>
            <a:rPr kumimoji="0" lang="en-US" sz="900" b="1" i="0" u="none" strike="noStrike" kern="0" cap="none" spc="0" normalizeH="0" baseline="0" noProof="0">
              <a:ln>
                <a:noFill/>
              </a:ln>
              <a:solidFill>
                <a:srgbClr val="FFFFFF"/>
              </a:solidFill>
              <a:effectLst/>
              <a:uLnTx/>
              <a:uFillTx/>
              <a:latin typeface="Aptos Narrow" panose="02110004020202020204"/>
            </a:rPr>
            <a:t>2</a:t>
          </a:r>
        </a:p>
      </xdr:txBody>
    </xdr:sp>
    <xdr:clientData/>
  </xdr:twoCellAnchor>
  <xdr:twoCellAnchor>
    <xdr:from>
      <xdr:col>12</xdr:col>
      <xdr:colOff>578049</xdr:colOff>
      <xdr:row>16</xdr:row>
      <xdr:rowOff>130760</xdr:rowOff>
    </xdr:from>
    <xdr:to>
      <xdr:col>13</xdr:col>
      <xdr:colOff>123824</xdr:colOff>
      <xdr:row>17</xdr:row>
      <xdr:rowOff>173465</xdr:rowOff>
    </xdr:to>
    <xdr:sp macro="" textlink="">
      <xdr:nvSpPr>
        <xdr:cNvPr id="22" name="UC Label 7-1">
          <a:extLst>
            <a:ext uri="{FF2B5EF4-FFF2-40B4-BE49-F238E27FC236}">
              <a16:creationId xmlns:a16="http://schemas.microsoft.com/office/drawing/2014/main" id="{F0DB6963-B812-4A5B-9ECD-FC7BED990BB5}"/>
            </a:ext>
          </a:extLst>
        </xdr:cNvPr>
        <xdr:cNvSpPr txBox="1"/>
      </xdr:nvSpPr>
      <xdr:spPr>
        <a:xfrm>
          <a:off x="16345099" y="3191460"/>
          <a:ext cx="403025" cy="226855"/>
        </a:xfrm>
        <a:prstGeom prst="rect">
          <a:avLst/>
        </a:prstGeom>
        <a:solidFill>
          <a:prstClr val="white">
            <a:alpha val="0"/>
          </a:prstClr>
        </a:solidFill>
        <a:ln>
          <a:solidFill>
            <a:prstClr val="black"/>
          </a:solidFill>
        </a:ln>
      </xdr:spPr>
      <xdr:txBody>
        <a:bodyPr vertOverflow="overflow" vert="horz" wrap="square" rtlCol="0" anchor="ctr">
          <a:spAutoFit/>
        </a:bodyPr>
        <a:lstStyle/>
        <a:p>
          <a:pPr algn="l"/>
          <a:r>
            <a:rPr kumimoji="0" lang="en-US" sz="900" b="1" i="0" u="none" strike="noStrike" kern="0" cap="none" spc="0" normalizeH="0" baseline="0" noProof="0">
              <a:ln>
                <a:noFill/>
              </a:ln>
              <a:solidFill>
                <a:srgbClr val="FFFFFF"/>
              </a:solidFill>
              <a:effectLst/>
              <a:uLnTx/>
              <a:uFillTx/>
              <a:latin typeface="Aptos Narrow" panose="02110004020202020204"/>
            </a:rPr>
            <a:t>13</a:t>
          </a:r>
        </a:p>
      </xdr:txBody>
    </xdr:sp>
    <xdr:clientData/>
  </xdr:twoCellAnchor>
  <xdr:twoCellAnchor>
    <xdr:from>
      <xdr:col>13</xdr:col>
      <xdr:colOff>582502</xdr:colOff>
      <xdr:row>16</xdr:row>
      <xdr:rowOff>180400</xdr:rowOff>
    </xdr:from>
    <xdr:to>
      <xdr:col>14</xdr:col>
      <xdr:colOff>252302</xdr:colOff>
      <xdr:row>17</xdr:row>
      <xdr:rowOff>167700</xdr:rowOff>
    </xdr:to>
    <xdr:sp macro="" textlink="">
      <xdr:nvSpPr>
        <xdr:cNvPr id="23" name="UC Label 7-2">
          <a:extLst>
            <a:ext uri="{FF2B5EF4-FFF2-40B4-BE49-F238E27FC236}">
              <a16:creationId xmlns:a16="http://schemas.microsoft.com/office/drawing/2014/main" id="{1A7BFDF4-6A84-422F-A888-5F16C40BEFAB}"/>
            </a:ext>
          </a:extLst>
        </xdr:cNvPr>
        <xdr:cNvSpPr txBox="1"/>
      </xdr:nvSpPr>
      <xdr:spPr>
        <a:xfrm>
          <a:off x="17206802" y="3241100"/>
          <a:ext cx="279400" cy="171450"/>
        </a:xfrm>
        <a:prstGeom prst="rect">
          <a:avLst/>
        </a:prstGeom>
        <a:solidFill>
          <a:prstClr val="white">
            <a:alpha val="0"/>
          </a:prstClr>
        </a:solidFill>
        <a:ln>
          <a:solidFill>
            <a:prstClr val="black"/>
          </a:solidFill>
        </a:ln>
      </xdr:spPr>
      <xdr:txBody>
        <a:bodyPr vertOverflow="overflow" vert="horz" wrap="square" rtlCol="0" anchor="ctr">
          <a:spAutoFit/>
        </a:bodyPr>
        <a:lstStyle/>
        <a:p>
          <a:pPr algn="l"/>
          <a:r>
            <a:rPr kumimoji="0" lang="en-US" sz="900" b="1" i="0" u="none" strike="noStrike" kern="0" cap="none" spc="0" normalizeH="0" baseline="0" noProof="0">
              <a:ln>
                <a:noFill/>
              </a:ln>
              <a:solidFill>
                <a:srgbClr val="FFFFFF"/>
              </a:solidFill>
              <a:effectLst/>
              <a:uLnTx/>
              <a:uFillTx/>
              <a:latin typeface="Aptos Narrow" panose="02110004020202020204"/>
            </a:rPr>
            <a:t>2</a:t>
          </a:r>
        </a:p>
      </xdr:txBody>
    </xdr:sp>
    <xdr:clientData/>
  </xdr:twoCellAnchor>
  <xdr:twoCellAnchor>
    <xdr:from>
      <xdr:col>15</xdr:col>
      <xdr:colOff>159005</xdr:colOff>
      <xdr:row>16</xdr:row>
      <xdr:rowOff>170875</xdr:rowOff>
    </xdr:from>
    <xdr:to>
      <xdr:col>15</xdr:col>
      <xdr:colOff>438405</xdr:colOff>
      <xdr:row>17</xdr:row>
      <xdr:rowOff>158175</xdr:rowOff>
    </xdr:to>
    <xdr:sp macro="" textlink="">
      <xdr:nvSpPr>
        <xdr:cNvPr id="24" name="UC Label 7-3">
          <a:extLst>
            <a:ext uri="{FF2B5EF4-FFF2-40B4-BE49-F238E27FC236}">
              <a16:creationId xmlns:a16="http://schemas.microsoft.com/office/drawing/2014/main" id="{E48A77DD-40AF-44ED-A25C-E90B2ACB32D4}"/>
            </a:ext>
          </a:extLst>
        </xdr:cNvPr>
        <xdr:cNvSpPr txBox="1"/>
      </xdr:nvSpPr>
      <xdr:spPr>
        <a:xfrm>
          <a:off x="18002505" y="3231575"/>
          <a:ext cx="279400" cy="171450"/>
        </a:xfrm>
        <a:prstGeom prst="rect">
          <a:avLst/>
        </a:prstGeom>
        <a:solidFill>
          <a:prstClr val="white">
            <a:alpha val="0"/>
          </a:prstClr>
        </a:solidFill>
        <a:ln>
          <a:solidFill>
            <a:prstClr val="black"/>
          </a:solidFill>
        </a:ln>
      </xdr:spPr>
      <xdr:txBody>
        <a:bodyPr vertOverflow="overflow" vert="horz" wrap="square" rtlCol="0" anchor="ctr">
          <a:spAutoFit/>
        </a:bodyPr>
        <a:lstStyle/>
        <a:p>
          <a:pPr algn="l"/>
          <a:r>
            <a:rPr kumimoji="0" lang="en-US" sz="900" b="1" i="0" u="none" strike="noStrike" kern="0" cap="none" spc="0" normalizeH="0" baseline="0" noProof="0">
              <a:ln>
                <a:noFill/>
              </a:ln>
              <a:solidFill>
                <a:srgbClr val="FFFFFF"/>
              </a:solidFill>
              <a:effectLst/>
              <a:uLnTx/>
              <a:uFillTx/>
              <a:latin typeface="Aptos Narrow" panose="02110004020202020204"/>
            </a:rPr>
            <a:t>4</a:t>
          </a:r>
        </a:p>
      </xdr:txBody>
    </xdr:sp>
    <xdr:clientData/>
  </xdr:twoCellAnchor>
  <xdr:twoCellAnchor>
    <xdr:from>
      <xdr:col>13</xdr:col>
      <xdr:colOff>572977</xdr:colOff>
      <xdr:row>18</xdr:row>
      <xdr:rowOff>114695</xdr:rowOff>
    </xdr:from>
    <xdr:to>
      <xdr:col>14</xdr:col>
      <xdr:colOff>242777</xdr:colOff>
      <xdr:row>19</xdr:row>
      <xdr:rowOff>101995</xdr:rowOff>
    </xdr:to>
    <xdr:sp macro="" textlink="">
      <xdr:nvSpPr>
        <xdr:cNvPr id="25" name="UC Label 8-2">
          <a:extLst>
            <a:ext uri="{FF2B5EF4-FFF2-40B4-BE49-F238E27FC236}">
              <a16:creationId xmlns:a16="http://schemas.microsoft.com/office/drawing/2014/main" id="{4D43E2F2-9BF8-400E-8EE1-146FAAD69828}"/>
            </a:ext>
          </a:extLst>
        </xdr:cNvPr>
        <xdr:cNvSpPr txBox="1"/>
      </xdr:nvSpPr>
      <xdr:spPr>
        <a:xfrm>
          <a:off x="17197277" y="3543695"/>
          <a:ext cx="279400" cy="171450"/>
        </a:xfrm>
        <a:prstGeom prst="rect">
          <a:avLst/>
        </a:prstGeom>
        <a:solidFill>
          <a:prstClr val="white">
            <a:alpha val="0"/>
          </a:prstClr>
        </a:solidFill>
        <a:ln>
          <a:solidFill>
            <a:prstClr val="black"/>
          </a:solidFill>
        </a:ln>
      </xdr:spPr>
      <xdr:txBody>
        <a:bodyPr vertOverflow="overflow" vert="horz" wrap="square" rtlCol="0" anchor="ctr">
          <a:spAutoFit/>
        </a:bodyPr>
        <a:lstStyle/>
        <a:p>
          <a:pPr algn="l"/>
          <a:r>
            <a:rPr kumimoji="0" lang="en-US" sz="900" b="1" i="0" u="none" strike="noStrike" kern="0" cap="none" spc="0" normalizeH="0" baseline="0" noProof="0">
              <a:ln>
                <a:noFill/>
              </a:ln>
              <a:solidFill>
                <a:srgbClr val="FFFFFF"/>
              </a:solidFill>
              <a:effectLst/>
              <a:uLnTx/>
              <a:uFillTx/>
              <a:latin typeface="Aptos Narrow" panose="02110004020202020204"/>
            </a:rPr>
            <a:t>6</a:t>
          </a:r>
        </a:p>
      </xdr:txBody>
    </xdr:sp>
    <xdr:clientData/>
  </xdr:twoCellAnchor>
  <xdr:twoCellAnchor>
    <xdr:from>
      <xdr:col>15</xdr:col>
      <xdr:colOff>159005</xdr:colOff>
      <xdr:row>18</xdr:row>
      <xdr:rowOff>114695</xdr:rowOff>
    </xdr:from>
    <xdr:to>
      <xdr:col>15</xdr:col>
      <xdr:colOff>438405</xdr:colOff>
      <xdr:row>19</xdr:row>
      <xdr:rowOff>101995</xdr:rowOff>
    </xdr:to>
    <xdr:sp macro="" textlink="">
      <xdr:nvSpPr>
        <xdr:cNvPr id="26" name="UC Label 8-3">
          <a:extLst>
            <a:ext uri="{FF2B5EF4-FFF2-40B4-BE49-F238E27FC236}">
              <a16:creationId xmlns:a16="http://schemas.microsoft.com/office/drawing/2014/main" id="{9A6EEDE2-EB93-4AAF-B30A-3585C4922ECF}"/>
            </a:ext>
          </a:extLst>
        </xdr:cNvPr>
        <xdr:cNvSpPr txBox="1"/>
      </xdr:nvSpPr>
      <xdr:spPr>
        <a:xfrm>
          <a:off x="18002505" y="3543695"/>
          <a:ext cx="279400" cy="171450"/>
        </a:xfrm>
        <a:prstGeom prst="rect">
          <a:avLst/>
        </a:prstGeom>
        <a:solidFill>
          <a:prstClr val="white">
            <a:alpha val="0"/>
          </a:prstClr>
        </a:solidFill>
        <a:ln>
          <a:solidFill>
            <a:prstClr val="black"/>
          </a:solidFill>
        </a:ln>
      </xdr:spPr>
      <xdr:txBody>
        <a:bodyPr vertOverflow="overflow" vert="horz" wrap="square" rtlCol="0" anchor="ctr">
          <a:spAutoFit/>
        </a:bodyPr>
        <a:lstStyle/>
        <a:p>
          <a:pPr algn="l"/>
          <a:r>
            <a:rPr kumimoji="0" lang="en-US" sz="900" b="1" i="0" u="none" strike="noStrike" kern="0" cap="none" spc="0" normalizeH="0" baseline="0" noProof="0">
              <a:ln>
                <a:noFill/>
              </a:ln>
              <a:solidFill>
                <a:srgbClr val="FFFFFF"/>
              </a:solidFill>
              <a:effectLst/>
              <a:uLnTx/>
              <a:uFillTx/>
              <a:latin typeface="Aptos Narrow" panose="02110004020202020204"/>
            </a:rPr>
            <a:t>1</a:t>
          </a:r>
        </a:p>
      </xdr:txBody>
    </xdr:sp>
    <xdr:clientData/>
  </xdr:twoCellAnchor>
  <xdr:twoCellAnchor>
    <xdr:from>
      <xdr:col>13</xdr:col>
      <xdr:colOff>572977</xdr:colOff>
      <xdr:row>20</xdr:row>
      <xdr:rowOff>58515</xdr:rowOff>
    </xdr:from>
    <xdr:to>
      <xdr:col>14</xdr:col>
      <xdr:colOff>242777</xdr:colOff>
      <xdr:row>21</xdr:row>
      <xdr:rowOff>45815</xdr:rowOff>
    </xdr:to>
    <xdr:sp macro="" textlink="">
      <xdr:nvSpPr>
        <xdr:cNvPr id="27" name="UC Label 9-2">
          <a:extLst>
            <a:ext uri="{FF2B5EF4-FFF2-40B4-BE49-F238E27FC236}">
              <a16:creationId xmlns:a16="http://schemas.microsoft.com/office/drawing/2014/main" id="{E341936D-7FAE-4D58-9C6A-015D0CEA23F5}"/>
            </a:ext>
          </a:extLst>
        </xdr:cNvPr>
        <xdr:cNvSpPr txBox="1"/>
      </xdr:nvSpPr>
      <xdr:spPr>
        <a:xfrm>
          <a:off x="17197277" y="3855815"/>
          <a:ext cx="279400" cy="171450"/>
        </a:xfrm>
        <a:prstGeom prst="rect">
          <a:avLst/>
        </a:prstGeom>
        <a:solidFill>
          <a:prstClr val="white">
            <a:alpha val="0"/>
          </a:prstClr>
        </a:solidFill>
        <a:ln>
          <a:solidFill>
            <a:prstClr val="black"/>
          </a:solidFill>
        </a:ln>
      </xdr:spPr>
      <xdr:txBody>
        <a:bodyPr vertOverflow="overflow" vert="horz" wrap="square" rtlCol="0" anchor="ctr">
          <a:spAutoFit/>
        </a:bodyPr>
        <a:lstStyle/>
        <a:p>
          <a:pPr algn="l"/>
          <a:r>
            <a:rPr kumimoji="0" lang="en-US" sz="900" b="1" i="0" u="none" strike="noStrike" kern="0" cap="none" spc="0" normalizeH="0" baseline="0" noProof="0">
              <a:ln>
                <a:noFill/>
              </a:ln>
              <a:solidFill>
                <a:srgbClr val="FFFFFF"/>
              </a:solidFill>
              <a:effectLst/>
              <a:uLnTx/>
              <a:uFillTx/>
              <a:latin typeface="Aptos Narrow" panose="02110004020202020204"/>
            </a:rPr>
            <a:t>2</a:t>
          </a:r>
        </a:p>
      </xdr:txBody>
    </xdr:sp>
    <xdr:clientData/>
  </xdr:twoCellAnchor>
  <xdr:twoCellAnchor>
    <xdr:from>
      <xdr:col>13</xdr:col>
      <xdr:colOff>572977</xdr:colOff>
      <xdr:row>22</xdr:row>
      <xdr:rowOff>2335</xdr:rowOff>
    </xdr:from>
    <xdr:to>
      <xdr:col>14</xdr:col>
      <xdr:colOff>242777</xdr:colOff>
      <xdr:row>22</xdr:row>
      <xdr:rowOff>180135</xdr:rowOff>
    </xdr:to>
    <xdr:sp macro="" textlink="">
      <xdr:nvSpPr>
        <xdr:cNvPr id="28" name="UC Label 10-2">
          <a:extLst>
            <a:ext uri="{FF2B5EF4-FFF2-40B4-BE49-F238E27FC236}">
              <a16:creationId xmlns:a16="http://schemas.microsoft.com/office/drawing/2014/main" id="{BE3319CB-3E54-4F26-91F8-C0379EC49109}"/>
            </a:ext>
          </a:extLst>
        </xdr:cNvPr>
        <xdr:cNvSpPr txBox="1"/>
      </xdr:nvSpPr>
      <xdr:spPr>
        <a:xfrm>
          <a:off x="17197277" y="4167935"/>
          <a:ext cx="279400" cy="177800"/>
        </a:xfrm>
        <a:prstGeom prst="rect">
          <a:avLst/>
        </a:prstGeom>
        <a:solidFill>
          <a:prstClr val="white">
            <a:alpha val="0"/>
          </a:prstClr>
        </a:solidFill>
        <a:ln>
          <a:solidFill>
            <a:prstClr val="black"/>
          </a:solidFill>
        </a:ln>
      </xdr:spPr>
      <xdr:txBody>
        <a:bodyPr vertOverflow="overflow" vert="horz" wrap="square" rtlCol="0" anchor="ctr">
          <a:spAutoFit/>
        </a:bodyPr>
        <a:lstStyle/>
        <a:p>
          <a:pPr algn="l"/>
          <a:r>
            <a:rPr kumimoji="0" lang="en-US" sz="900" b="1" i="0" u="none" strike="noStrike" kern="0" cap="none" spc="0" normalizeH="0" baseline="0" noProof="0">
              <a:ln>
                <a:noFill/>
              </a:ln>
              <a:solidFill>
                <a:srgbClr val="FFFFFF"/>
              </a:solidFill>
              <a:effectLst/>
              <a:uLnTx/>
              <a:uFillTx/>
              <a:latin typeface="Aptos Narrow" panose="02110004020202020204"/>
            </a:rPr>
            <a:t>2</a:t>
          </a:r>
        </a:p>
      </xdr:txBody>
    </xdr:sp>
    <xdr:clientData/>
  </xdr:twoCellAnchor>
  <xdr:twoCellAnchor>
    <xdr:from>
      <xdr:col>15</xdr:col>
      <xdr:colOff>159005</xdr:colOff>
      <xdr:row>23</xdr:row>
      <xdr:rowOff>136655</xdr:rowOff>
    </xdr:from>
    <xdr:to>
      <xdr:col>15</xdr:col>
      <xdr:colOff>438405</xdr:colOff>
      <xdr:row>24</xdr:row>
      <xdr:rowOff>123955</xdr:rowOff>
    </xdr:to>
    <xdr:sp macro="" textlink="">
      <xdr:nvSpPr>
        <xdr:cNvPr id="29" name="UC Label 11-3">
          <a:extLst>
            <a:ext uri="{FF2B5EF4-FFF2-40B4-BE49-F238E27FC236}">
              <a16:creationId xmlns:a16="http://schemas.microsoft.com/office/drawing/2014/main" id="{E53FC2B6-6CA4-4DE6-8B10-DE57B835EF7C}"/>
            </a:ext>
          </a:extLst>
        </xdr:cNvPr>
        <xdr:cNvSpPr txBox="1"/>
      </xdr:nvSpPr>
      <xdr:spPr>
        <a:xfrm>
          <a:off x="18002505" y="4486405"/>
          <a:ext cx="279400" cy="171450"/>
        </a:xfrm>
        <a:prstGeom prst="rect">
          <a:avLst/>
        </a:prstGeom>
        <a:solidFill>
          <a:prstClr val="white">
            <a:alpha val="0"/>
          </a:prstClr>
        </a:solidFill>
        <a:ln>
          <a:solidFill>
            <a:prstClr val="black"/>
          </a:solidFill>
        </a:ln>
      </xdr:spPr>
      <xdr:txBody>
        <a:bodyPr vertOverflow="overflow" vert="horz" wrap="square" rtlCol="0" anchor="ctr">
          <a:spAutoFit/>
        </a:bodyPr>
        <a:lstStyle/>
        <a:p>
          <a:pPr algn="l"/>
          <a:r>
            <a:rPr kumimoji="0" lang="en-US" sz="900" b="1" i="0" u="none" strike="noStrike" kern="0" cap="none" spc="0" normalizeH="0" baseline="0" noProof="0">
              <a:ln>
                <a:noFill/>
              </a:ln>
              <a:solidFill>
                <a:srgbClr val="FFFFFF"/>
              </a:solidFill>
              <a:effectLst/>
              <a:uLnTx/>
              <a:uFillTx/>
              <a:latin typeface="Aptos Narrow" panose="02110004020202020204"/>
            </a:rPr>
            <a:t>2</a:t>
          </a:r>
        </a:p>
      </xdr:txBody>
    </xdr:sp>
    <xdr:clientData/>
  </xdr:twoCellAnchor>
  <xdr:twoCellAnchor>
    <xdr:from>
      <xdr:col>15</xdr:col>
      <xdr:colOff>159005</xdr:colOff>
      <xdr:row>25</xdr:row>
      <xdr:rowOff>80475</xdr:rowOff>
    </xdr:from>
    <xdr:to>
      <xdr:col>15</xdr:col>
      <xdr:colOff>438405</xdr:colOff>
      <xdr:row>26</xdr:row>
      <xdr:rowOff>67775</xdr:rowOff>
    </xdr:to>
    <xdr:sp macro="" textlink="">
      <xdr:nvSpPr>
        <xdr:cNvPr id="30" name="UC Label 12-3">
          <a:extLst>
            <a:ext uri="{FF2B5EF4-FFF2-40B4-BE49-F238E27FC236}">
              <a16:creationId xmlns:a16="http://schemas.microsoft.com/office/drawing/2014/main" id="{3D8D972B-CA6E-413A-9D62-50578E82BABC}"/>
            </a:ext>
          </a:extLst>
        </xdr:cNvPr>
        <xdr:cNvSpPr txBox="1"/>
      </xdr:nvSpPr>
      <xdr:spPr>
        <a:xfrm>
          <a:off x="18002505" y="4798525"/>
          <a:ext cx="279400" cy="171450"/>
        </a:xfrm>
        <a:prstGeom prst="rect">
          <a:avLst/>
        </a:prstGeom>
        <a:solidFill>
          <a:prstClr val="white">
            <a:alpha val="0"/>
          </a:prstClr>
        </a:solidFill>
        <a:ln>
          <a:solidFill>
            <a:prstClr val="black"/>
          </a:solidFill>
        </a:ln>
      </xdr:spPr>
      <xdr:txBody>
        <a:bodyPr vertOverflow="overflow" vert="horz" wrap="square" rtlCol="0" anchor="ctr">
          <a:spAutoFit/>
        </a:bodyPr>
        <a:lstStyle/>
        <a:p>
          <a:pPr algn="l"/>
          <a:r>
            <a:rPr kumimoji="0" lang="en-US" sz="900" b="1" i="0" u="none" strike="noStrike" kern="0" cap="none" spc="0" normalizeH="0" baseline="0" noProof="0">
              <a:ln>
                <a:noFill/>
              </a:ln>
              <a:solidFill>
                <a:srgbClr val="FFFFFF"/>
              </a:solidFill>
              <a:effectLst/>
              <a:uLnTx/>
              <a:uFillTx/>
              <a:latin typeface="Aptos Narrow" panose="02110004020202020204"/>
            </a:rPr>
            <a:t>1</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37</xdr:row>
      <xdr:rowOff>0</xdr:rowOff>
    </xdr:from>
    <xdr:to>
      <xdr:col>10</xdr:col>
      <xdr:colOff>0</xdr:colOff>
      <xdr:row>55</xdr:row>
      <xdr:rowOff>0</xdr:rowOff>
    </xdr:to>
    <xdr:graphicFrame macro="">
      <xdr:nvGraphicFramePr>
        <xdr:cNvPr id="4" name="Five-Year TCO by Scenario">
          <a:extLst>
            <a:ext uri="{FF2B5EF4-FFF2-40B4-BE49-F238E27FC236}">
              <a16:creationId xmlns:a16="http://schemas.microsoft.com/office/drawing/2014/main" id="{5E2B22AF-00A3-80FD-8126-9E7AABD55B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xdr:row>
      <xdr:rowOff>0</xdr:rowOff>
    </xdr:from>
    <xdr:to>
      <xdr:col>10</xdr:col>
      <xdr:colOff>0</xdr:colOff>
      <xdr:row>20</xdr:row>
      <xdr:rowOff>0</xdr:rowOff>
    </xdr:to>
    <xdr:graphicFrame macro="">
      <xdr:nvGraphicFramePr>
        <xdr:cNvPr id="5" name="Annualized Final Run Cost">
          <a:extLst>
            <a:ext uri="{FF2B5EF4-FFF2-40B4-BE49-F238E27FC236}">
              <a16:creationId xmlns:a16="http://schemas.microsoft.com/office/drawing/2014/main" id="{CC14218D-A0EB-CE6D-E260-6CF7F9929D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21</xdr:row>
      <xdr:rowOff>0</xdr:rowOff>
    </xdr:from>
    <xdr:to>
      <xdr:col>10</xdr:col>
      <xdr:colOff>0</xdr:colOff>
      <xdr:row>37</xdr:row>
      <xdr:rowOff>0</xdr:rowOff>
    </xdr:to>
    <xdr:graphicFrame macro="">
      <xdr:nvGraphicFramePr>
        <xdr:cNvPr id="6" name="Annual Cost per Active Agent">
          <a:extLst>
            <a:ext uri="{FF2B5EF4-FFF2-40B4-BE49-F238E27FC236}">
              <a16:creationId xmlns:a16="http://schemas.microsoft.com/office/drawing/2014/main" id="{DF3FE365-DFBD-3DD1-4FA0-BF22C2BF4B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tcscomprod.sharepoint.com/sites/PepsiCoAIAMS-AITokenEconomics/Shared%20Documents/PepsiCo%20-%20AI%20Token%20Economics/Use%20Cases%20and%20Super%20Agents%20Mapping.xlsx" TargetMode="External"/><Relationship Id="rId1" Type="http://schemas.openxmlformats.org/officeDocument/2006/relationships/externalLinkPath" Target="https://tcscomprod.sharepoint.com/sites/PepsiCoAIAMS-AITokenEconomics/Shared%20Documents/PepsiCo%20-%20AI%20Token%20Economics/Use%20Cases%20and%20Super%20Agents%20Mappin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b and Super Agents Mapping"/>
      <sheetName val="Use Case Super Agents Mapping"/>
      <sheetName val="Sheet1"/>
      <sheetName val="194 Automation opportunities_SH"/>
      <sheetName val="Incident Bucket Complexity"/>
      <sheetName val="App Gantt"/>
      <sheetName val="SR Gantt"/>
      <sheetName val="Sheet7"/>
      <sheetName val="Sheet2"/>
      <sheetName val="SR_Use Cases"/>
      <sheetName val="Super Agent List and averages"/>
      <sheetName val="Token Avg by Category"/>
    </sheetNames>
    <sheetDataSet>
      <sheetData sheetId="0"/>
      <sheetData sheetId="1"/>
      <sheetData sheetId="2"/>
      <sheetData sheetId="3"/>
      <sheetData sheetId="4"/>
      <sheetData sheetId="5">
        <row r="2">
          <cell r="T2" t="str">
            <v>Event Correlation &amp; Alert Intelligence Agent</v>
          </cell>
          <cell r="U2" t="e">
            <v>#N/A</v>
          </cell>
          <cell r="V2" t="e">
            <v>#N/A</v>
          </cell>
          <cell r="W2" t="e">
            <v>#N/A</v>
          </cell>
          <cell r="X2" t="e">
            <v>#N/A</v>
          </cell>
          <cell r="Y2" t="e">
            <v>#N/A</v>
          </cell>
        </row>
        <row r="3">
          <cell r="T3" t="str">
            <v>Business Data Integrity &amp; Reconciliation Agent</v>
          </cell>
          <cell r="U3" t="e">
            <v>#N/A</v>
          </cell>
          <cell r="V3" t="e">
            <v>#N/A</v>
          </cell>
          <cell r="W3" t="e">
            <v>#N/A</v>
          </cell>
          <cell r="X3" t="e">
            <v>#N/A</v>
          </cell>
          <cell r="Y3" t="e">
            <v>#N/A</v>
          </cell>
        </row>
        <row r="4">
          <cell r="T4" t="str">
            <v>Safe Auto-Remediation Agent</v>
          </cell>
          <cell r="U4" t="e">
            <v>#N/A</v>
          </cell>
          <cell r="V4" t="e">
            <v>#N/A</v>
          </cell>
          <cell r="W4" t="e">
            <v>#N/A</v>
          </cell>
          <cell r="X4" t="e">
            <v>#N/A</v>
          </cell>
          <cell r="Y4" t="e">
            <v>#N/A</v>
          </cell>
        </row>
        <row r="5">
          <cell r="T5" t="str">
            <v>Workforce &amp; Customer Identity Lifecycle Assistant</v>
          </cell>
          <cell r="U5" t="e">
            <v>#N/A</v>
          </cell>
          <cell r="V5" t="e">
            <v>#N/A</v>
          </cell>
          <cell r="W5" t="e">
            <v>#N/A</v>
          </cell>
          <cell r="X5" t="e">
            <v>#N/A</v>
          </cell>
          <cell r="Y5" t="e">
            <v>#N/A</v>
          </cell>
        </row>
        <row r="6">
          <cell r="T6" t="str">
            <v>Problem &amp; Root-Cause Analyst</v>
          </cell>
          <cell r="U6" t="e">
            <v>#N/A</v>
          </cell>
          <cell r="V6" t="e">
            <v>#N/A</v>
          </cell>
          <cell r="W6" t="e">
            <v>#N/A</v>
          </cell>
          <cell r="X6" t="e">
            <v>#N/A</v>
          </cell>
          <cell r="Y6" t="e">
            <v>#N/A</v>
          </cell>
        </row>
        <row r="7">
          <cell r="T7" t="str">
            <v>Incident Triage &amp; Major Incident Copilot</v>
          </cell>
          <cell r="U7" t="e">
            <v>#N/A</v>
          </cell>
          <cell r="V7" t="e">
            <v>#N/A</v>
          </cell>
          <cell r="W7" t="e">
            <v>#N/A</v>
          </cell>
          <cell r="X7" t="e">
            <v>#N/A</v>
          </cell>
          <cell r="Y7" t="e">
            <v>#N/A</v>
          </cell>
        </row>
        <row r="8">
          <cell r="T8" t="str">
            <v>Enterprise Document Intelligence &amp; Compliance Agent</v>
          </cell>
          <cell r="U8" t="e">
            <v>#N/A</v>
          </cell>
          <cell r="V8" t="e">
            <v>#N/A</v>
          </cell>
          <cell r="W8" t="e">
            <v>#N/A</v>
          </cell>
          <cell r="X8" t="e">
            <v>#N/A</v>
          </cell>
          <cell r="Y8" t="e">
            <v>#N/A</v>
          </cell>
        </row>
        <row r="9">
          <cell r="T9" t="str">
            <v>Operations Reporting &amp; Insights Agent</v>
          </cell>
          <cell r="U9" t="e">
            <v>#N/A</v>
          </cell>
          <cell r="V9" t="e">
            <v>#N/A</v>
          </cell>
          <cell r="W9" t="e">
            <v>#N/A</v>
          </cell>
          <cell r="X9" t="e">
            <v>#N/A</v>
          </cell>
          <cell r="Y9" t="e">
            <v>#N/A</v>
          </cell>
        </row>
        <row r="10">
          <cell r="T10" t="str">
            <v>Release Quality &amp; Validation Agent</v>
          </cell>
          <cell r="U10" t="e">
            <v>#N/A</v>
          </cell>
          <cell r="V10" t="e">
            <v>#N/A</v>
          </cell>
          <cell r="W10" t="e">
            <v>#N/A</v>
          </cell>
          <cell r="X10" t="e">
            <v>#N/A</v>
          </cell>
          <cell r="Y10" t="e">
            <v>#N/A</v>
          </cell>
        </row>
        <row r="11">
          <cell r="T11" t="str">
            <v>Knowledge &amp; Resolution Copilot</v>
          </cell>
          <cell r="U11" t="e">
            <v>#N/A</v>
          </cell>
          <cell r="V11" t="e">
            <v>#N/A</v>
          </cell>
          <cell r="W11" t="e">
            <v>#N/A</v>
          </cell>
          <cell r="X11" t="e">
            <v>#N/A</v>
          </cell>
          <cell r="Y11" t="e">
            <v>#N/A</v>
          </cell>
        </row>
        <row r="12">
          <cell r="T12" t="str">
            <v>Service Desk Intake &amp; Interaction Orchestrator</v>
          </cell>
          <cell r="U12" t="e">
            <v>#N/A</v>
          </cell>
          <cell r="V12" t="e">
            <v>#N/A</v>
          </cell>
          <cell r="W12" t="e">
            <v>#N/A</v>
          </cell>
          <cell r="X12" t="e">
            <v>#N/A</v>
          </cell>
          <cell r="Y12" t="e">
            <v>#N/A</v>
          </cell>
        </row>
        <row r="13">
          <cell r="T13" t="str">
            <v>Service Request &amp; Standard Data Extract Fulfilment Agent</v>
          </cell>
          <cell r="U13" t="e">
            <v>#N/A</v>
          </cell>
          <cell r="V13" t="e">
            <v>#N/A</v>
          </cell>
          <cell r="W13" t="e">
            <v>#N/A</v>
          </cell>
          <cell r="X13" t="e">
            <v>#N/A</v>
          </cell>
          <cell r="Y13" t="e">
            <v>#N/A</v>
          </cell>
        </row>
      </sheetData>
      <sheetData sheetId="6"/>
      <sheetData sheetId="7"/>
      <sheetData sheetId="8"/>
      <sheetData sheetId="9"/>
      <sheetData sheetId="10"/>
      <sheetData sheetId="11"/>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AgentInventory" displayName="tblAgentInventory" ref="A4:AD201" headerRowDxfId="37" dataDxfId="36" totalsRowDxfId="35">
  <autoFilter ref="A4:AD201" xr:uid="{00000000-0009-0000-0100-000001000000}"/>
  <tableColumns count="30">
    <tableColumn id="1" xr3:uid="{00000000-0010-0000-0000-000001000000}" name="Agent ID*" dataDxfId="34"/>
    <tableColumn id="2" xr3:uid="{00000000-0010-0000-0000-000002000000}" name="Agent Name*" dataDxfId="33"/>
    <tableColumn id="3" xr3:uid="{00000000-0010-0000-0000-000003000000}" name="Description*" dataDxfId="32"/>
    <tableColumn id="4" xr3:uid="{00000000-0010-0000-0000-000004000000}" name="AMS Tower*" dataDxfId="31"/>
    <tableColumn id="5" xr3:uid="{00000000-0010-0000-0000-000005000000}" name="Application Scope*" dataDxfId="30"/>
    <tableColumn id="6" xr3:uid="{00000000-0010-0000-0000-000006000000}" name="Business Process" dataDxfId="29"/>
    <tableColumn id="7" xr3:uid="{00000000-0010-0000-0000-000007000000}" name="Use-case Category" dataDxfId="28"/>
    <tableColumn id="8" xr3:uid="{00000000-0010-0000-0000-000008000000}" name="Supported Languages" dataDxfId="27"/>
    <tableColumn id="9" xr3:uid="{00000000-0010-0000-0000-000009000000}" name="Capability Status*" dataDxfId="26"/>
    <tableColumn id="10" xr3:uid="{00000000-0010-0000-0000-00000A000000}" name="Autonomy*" dataDxfId="25"/>
    <tableColumn id="11" xr3:uid="{00000000-0010-0000-0000-00000B000000}" name="User/Headless*" dataDxfId="24"/>
    <tableColumn id="12" xr3:uid="{00000000-0010-0000-0000-00000C000000}" name="Agent Pattern*" dataDxfId="23"/>
    <tableColumn id="13" xr3:uid="{00000000-0010-0000-0000-00000D000000}" name="Technology*" dataDxfId="22"/>
    <tableColumn id="14" xr3:uid="{00000000-0010-0000-0000-00000E000000}" name="Complexity*" dataDxfId="21"/>
    <tableColumn id="15" xr3:uid="{00000000-0010-0000-0000-00000F000000}" name="Logical Agents" dataDxfId="20"/>
    <tableColumn id="16" xr3:uid="{00000000-0010-0000-0000-000010000000}" name="Deployed Instances" dataDxfId="19"/>
    <tableColumn id="17" xr3:uid="{00000000-0010-0000-0000-000011000000}" name="Markets / BUs" dataDxfId="18"/>
    <tableColumn id="18" xr3:uid="{00000000-0010-0000-0000-000012000000}" name="Environments" dataDxfId="17"/>
    <tableColumn id="19" xr3:uid="{00000000-0010-0000-0000-000013000000}" name="Systems Updated" dataDxfId="16"/>
    <tableColumn id="20" xr3:uid="{00000000-0010-0000-0000-000014000000}" name="Human Approval Gate" dataDxfId="15"/>
    <tableColumn id="21" xr3:uid="{00000000-0010-0000-0000-000015000000}" name="Kill Switch" dataDxfId="14"/>
    <tableColumn id="22" xr3:uid="{00000000-0010-0000-0000-000016000000}" name="Rollback / Override" dataDxfId="13"/>
    <tableColumn id="23" xr3:uid="{00000000-0010-0000-0000-000017000000}" name="Code Owner" dataDxfId="12"/>
    <tableColumn id="24" xr3:uid="{00000000-0010-0000-0000-000018000000}" name="Prompt / Workflow Owner" dataDxfId="11"/>
    <tableColumn id="25" xr3:uid="{00000000-0010-0000-0000-000019000000}" name="Data / Logs Owner" dataDxfId="10"/>
    <tableColumn id="26" xr3:uid="{00000000-0010-0000-0000-00001A000000}" name="Hosting Model" dataDxfId="9"/>
    <tableColumn id="27" xr3:uid="{00000000-0010-0000-0000-00001B000000}" name="Evidence Reference" dataDxfId="8"/>
    <tableColumn id="28" xr3:uid="{00000000-0010-0000-0000-00001C000000}" name="Assumption Source*" dataDxfId="7"/>
    <tableColumn id="29" xr3:uid="{00000000-0010-0000-0000-00001D000000}" name="Notes" dataDxfId="6"/>
    <tableColumn id="30" xr3:uid="{A6781D1B-7BBF-4213-B6CB-E3EE334D0C00}" name="Subagents" dataDxfId="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DemandScenarios" displayName="tblDemandScenarios" ref="A4:T504">
  <autoFilter ref="A4:T504" xr:uid="{00000000-000C-0000-FFFF-FFFF01000000}"/>
  <tableColumns count="20">
    <tableColumn id="1" xr3:uid="{00000000-0010-0000-0100-000001000000}" name="Agent ID*"/>
    <tableColumn id="2" xr3:uid="{00000000-0010-0000-0100-000002000000}" name="Scenario*"/>
    <tableColumn id="3" xr3:uid="{00000000-0010-0000-0100-000003000000}" name="Trigger Unit*"/>
    <tableColumn id="4" xr3:uid="{00000000-0010-0000-0100-000004000000}" name="Eligible Monthly Volume*"/>
    <tableColumn id="5" xr3:uid="{00000000-0010-0000-0100-000005000000}" name="Eligible %*"/>
    <tableColumn id="6" xr3:uid="{00000000-0010-0000-0100-000006000000}" name="Adoption %*"/>
    <tableColumn id="7" xr3:uid="{00000000-0010-0000-0100-000007000000}" name="Executions / Eligible Unit*"/>
    <tableColumn id="8" xr3:uid="{00000000-0010-0000-0100-000008000000}" name="Retry % *"/>
    <tableColumn id="9" xr3:uid="{00000000-0010-0000-0100-000009000000}" name="Success % *"/>
    <tableColumn id="10" xr3:uid="{00000000-0010-0000-0100-00000A000000}" name="Autonomous Resolution % *"/>
    <tableColumn id="11" xr3:uid="{00000000-0010-0000-0100-00000B000000}" name="Human Escalation % *"/>
    <tableColumn id="12" xr3:uid="{00000000-0010-0000-0100-00000C000000}" name="Peak Multiplier"/>
    <tableColumn id="13" xr3:uid="{00000000-0010-0000-0100-00000D000000}" name="Concurrency"/>
    <tableColumn id="14" xr3:uid="{00000000-0010-0000-0100-00000E000000}" name="Avg Runtime (min)"/>
    <tableColumn id="15" xr3:uid="{00000000-0010-0000-0100-00000F000000}" name="Monthly Growth % *"/>
    <tableColumn id="16" xr3:uid="{00000000-0010-0000-0100-000010000000}" name="Seasonality Factor"/>
    <tableColumn id="17" xr3:uid="{00000000-0010-0000-0100-000011000000}" name="Rollout Start Month"/>
    <tableColumn id="18" xr3:uid="{00000000-0010-0000-0100-000012000000}" name="Input Source*"/>
    <tableColumn id="19" xr3:uid="{00000000-0010-0000-0100-000013000000}" name="Evidence Reference"/>
    <tableColumn id="20" xr3:uid="{00000000-0010-0000-0100-000014000000}" name="Not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AIConsumption" displayName="tblAIConsumption" ref="A4:AC504">
  <autoFilter ref="A4:AC504" xr:uid="{00000000-0009-0000-0100-000003000000}">
    <filterColumn colId="0">
      <filters>
        <filter val="AIA-006"/>
      </filters>
    </filterColumn>
  </autoFilter>
  <tableColumns count="29">
    <tableColumn id="1" xr3:uid="{00000000-0010-0000-0200-000001000000}" name="Agent ID*"/>
    <tableColumn id="2" xr3:uid="{00000000-0010-0000-0200-000002000000}" name="Scenario*"/>
    <tableColumn id="3" xr3:uid="{00000000-0010-0000-0200-000003000000}" name="Provider*"/>
    <tableColumn id="4" xr3:uid="{00000000-0010-0000-0200-000004000000}" name="Model / Service Name*"/>
    <tableColumn id="5" xr3:uid="{00000000-0010-0000-0200-000005000000}" name="Version / SKU"/>
    <tableColumn id="6" xr3:uid="{00000000-0010-0000-0200-000006000000}" name="Model Class*"/>
    <tableColumn id="7" xr3:uid="{00000000-0010-0000-0200-000007000000}" name="Primary / Fallback"/>
    <tableColumn id="8" xr3:uid="{00000000-0010-0000-0200-000008000000}" name="Hosting / Deployment"/>
    <tableColumn id="9" xr3:uid="{00000000-0010-0000-0200-000009000000}" name="Calls per Execution*"/>
    <tableColumn id="10" xr3:uid="{00000000-0010-0000-0200-00000A000000}" name="Input Tokens / Call*"/>
    <tableColumn id="11" xr3:uid="{00000000-0010-0000-0200-00000B000000}" name="Output Tokens / Call*"/>
    <tableColumn id="12" xr3:uid="{00000000-0010-0000-0200-00000C000000}" name="System Prompt Tokens"/>
    <tableColumn id="13" xr3:uid="{00000000-0010-0000-0200-00000D000000}" name="Retrieval / Tool Tokens"/>
    <tableColumn id="14" xr3:uid="{00000000-0010-0000-0200-00000E000000}" name="Agent-to-Agent Exchanges"/>
    <tableColumn id="15" xr3:uid="{00000000-0010-0000-0200-00000F000000}" name="Cache Hit %"/>
    <tableColumn id="16" xr3:uid="{00000000-0010-0000-0200-000010000000}" name="Retry %"/>
    <tableColumn id="17" xr3:uid="{00000000-0010-0000-0200-000011000000}" name="Unit Price Input / 1M"/>
    <tableColumn id="18" xr3:uid="{00000000-0010-0000-0200-000012000000}" name="Unit Price Output / 1M"/>
    <tableColumn id="19" xr3:uid="{00000000-0010-0000-0200-000013000000}" name="Other Unit Price"/>
    <tableColumn id="20" xr3:uid="{00000000-0010-0000-0200-000014000000}" name="Other Unit of Measure"/>
    <tableColumn id="21" xr3:uid="{00000000-0010-0000-0200-000015000000}" name="Currency*"/>
    <tableColumn id="22" xr3:uid="{00000000-0010-0000-0200-000016000000}" name="Region"/>
    <tableColumn id="23" xr3:uid="{00000000-0010-0000-0200-000017000000}" name="Effective Date"/>
    <tableColumn id="24" xr3:uid="{00000000-0010-0000-0200-000018000000}" name="Enterprise Discount %"/>
    <tableColumn id="25" xr3:uid="{00000000-0010-0000-0200-000019000000}" name="Partner Markup %"/>
    <tableColumn id="26" xr3:uid="{00000000-0010-0000-0200-00001A000000}" name="Minimum Commitment"/>
    <tableColumn id="27" xr3:uid="{00000000-0010-0000-0200-00001B000000}" name="Pricing Source / Evidence*"/>
    <tableColumn id="28" xr3:uid="{00000000-0010-0000-0200-00001C000000}" name="Input Source*"/>
    <tableColumn id="29" xr3:uid="{00000000-0010-0000-0200-00001D000000}" name="Note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CostRegister" displayName="tblCostRegister" ref="A4:AK504">
  <autoFilter ref="A4:AK504" xr:uid="{00000000-0009-0000-0100-000004000000}"/>
  <tableColumns count="37">
    <tableColumn id="1" xr3:uid="{00000000-0010-0000-0300-000001000000}" name="Cost Line ID*"/>
    <tableColumn id="2" xr3:uid="{00000000-0010-0000-0300-000002000000}" name="Agent ID / Shared*"/>
    <tableColumn id="3" xr3:uid="{00000000-0010-0000-0300-000003000000}" name="Scenario*"/>
    <tableColumn id="4" xr3:uid="{00000000-0010-0000-0300-000004000000}" name="Cost Component*"/>
    <tableColumn id="5" xr3:uid="{00000000-0010-0000-0300-000005000000}" name="Cost Category*"/>
    <tableColumn id="6" xr3:uid="{00000000-0010-0000-0300-000006000000}" name="Mandatory Classification*"/>
    <tableColumn id="7" xr3:uid="{00000000-0010-0000-0300-000007000000}" name="Charging Basis*"/>
    <tableColumn id="8" xr3:uid="{00000000-0010-0000-0300-000008000000}" name="Provider"/>
    <tableColumn id="9" xr3:uid="{00000000-0010-0000-0300-000009000000}" name="SKU / Version"/>
    <tableColumn id="10" xr3:uid="{00000000-0010-0000-0300-00000A000000}" name="Environment"/>
    <tableColumn id="11" xr3:uid="{00000000-0010-0000-0300-00000B000000}" name="Quantity*"/>
    <tableColumn id="12" xr3:uid="{00000000-0010-0000-0300-00000C000000}" name="Unit of Measure*"/>
    <tableColumn id="13" xr3:uid="{00000000-0010-0000-0300-00000D000000}" name="Gross Unit Rate*"/>
    <tableColumn id="14" xr3:uid="{00000000-0010-0000-0300-00000E000000}" name="Discount %"/>
    <tableColumn id="15" xr3:uid="{00000000-0010-0000-0300-00000F000000}" name="Partner Markup %"/>
    <tableColumn id="16" xr3:uid="{00000000-0010-0000-0300-000010000000}" name="Net Unit Rate"/>
    <tableColumn id="17" xr3:uid="{00000000-0010-0000-0300-000011000000}" name="Frequency*"/>
    <tableColumn id="18" xr3:uid="{00000000-0010-0000-0300-000012000000}" name="Term Months"/>
    <tableColumn id="19" xr3:uid="{00000000-0010-0000-0300-000013000000}" name="Escalation %"/>
    <tableColumn id="20" xr3:uid="{00000000-0010-0000-0300-000014000000}" name="Currency*"/>
    <tableColumn id="21" xr3:uid="{00000000-0010-0000-0300-000015000000}" name="Region"/>
    <tableColumn id="22" xr3:uid="{00000000-0010-0000-0300-000016000000}" name="Effective Date"/>
    <tableColumn id="23" xr3:uid="{00000000-0010-0000-0300-000017000000}" name="Inclusion*"/>
    <tableColumn id="24" xr3:uid="{00000000-0010-0000-0300-000018000000}" name="Year 1 Quantity"/>
    <tableColumn id="25" xr3:uid="{00000000-0010-0000-0300-000019000000}" name="Year 2 Quantity"/>
    <tableColumn id="26" xr3:uid="{00000000-0010-0000-0300-00001A000000}" name="Year 3 Quantity"/>
    <tableColumn id="27" xr3:uid="{00000000-0010-0000-0300-00001B000000}" name="Year 4 Quantity"/>
    <tableColumn id="28" xr3:uid="{00000000-0010-0000-0300-00001C000000}" name="Year 5 Quantity"/>
    <tableColumn id="29" xr3:uid="{00000000-0010-0000-0300-00001D000000}" name="Year 1 Cost"/>
    <tableColumn id="30" xr3:uid="{00000000-0010-0000-0300-00001E000000}" name="Year 2 Cost"/>
    <tableColumn id="31" xr3:uid="{00000000-0010-0000-0300-00001F000000}" name="Year 3 Cost"/>
    <tableColumn id="32" xr3:uid="{00000000-0010-0000-0300-000020000000}" name="Year 4 Cost"/>
    <tableColumn id="33" xr3:uid="{00000000-0010-0000-0300-000021000000}" name="Year 5 Cost"/>
    <tableColumn id="34" xr3:uid="{00000000-0010-0000-0300-000022000000}" name="Five-Year Cost"/>
    <tableColumn id="35" xr3:uid="{00000000-0010-0000-0300-000023000000}" name="Evidence Reference*"/>
    <tableColumn id="36" xr3:uid="{00000000-0010-0000-0300-000024000000}" name="Input Source*"/>
    <tableColumn id="37" xr3:uid="{00000000-0010-0000-0300-000025000000}" name="Notes / Exclusion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Benefits" displayName="tblBenefits" ref="A4:AB304">
  <autoFilter ref="A4:AB304" xr:uid="{00000000-0009-0000-0100-000005000000}"/>
  <tableColumns count="28">
    <tableColumn id="1" xr3:uid="{00000000-0010-0000-0400-000001000000}" name="Benefit ID*"/>
    <tableColumn id="2" xr3:uid="{00000000-0010-0000-0400-000002000000}" name="Agent ID*"/>
    <tableColumn id="3" xr3:uid="{00000000-0010-0000-0400-000003000000}" name="Scenario*"/>
    <tableColumn id="4" xr3:uid="{00000000-0010-0000-0400-000004000000}" name="KPI / Outcome*"/>
    <tableColumn id="5" xr3:uid="{00000000-0010-0000-0400-000005000000}" name="Baseline Value*"/>
    <tableColumn id="6" xr3:uid="{00000000-0010-0000-0400-000006000000}" name="Baseline Unit*"/>
    <tableColumn id="7" xr3:uid="{00000000-0010-0000-0400-000007000000}" name="Baseline Date / Source*"/>
    <tableColumn id="8" xr3:uid="{00000000-0010-0000-0400-000008000000}" name="Target Value*"/>
    <tableColumn id="9" xr3:uid="{00000000-0010-0000-0400-000009000000}" name="Target Unit*"/>
    <tableColumn id="10" xr3:uid="{00000000-0010-0000-0400-00000A000000}" name="Benefit Formula / Method*"/>
    <tableColumn id="11" xr3:uid="{00000000-0010-0000-0400-00000B000000}" name="Monthly Volume"/>
    <tableColumn id="12" xr3:uid="{00000000-0010-0000-0400-00000C000000}" name="Hours Released" dataDxfId="4">
      <calculatedColumnFormula>IFERROR(K5*(E5-H5)/60*12,0)</calculatedColumnFormula>
    </tableColumn>
    <tableColumn id="13" xr3:uid="{00000000-0010-0000-0400-00000D000000}" name="Capacity Avoided (FTE)" dataDxfId="3">
      <calculatedColumnFormula>IFERROR(L5/(8*21*12),0)</calculatedColumnFormula>
    </tableColumn>
    <tableColumn id="14" xr3:uid="{00000000-0010-0000-0400-00000E000000}" name="Cashable Savings Y1"/>
    <tableColumn id="15" xr3:uid="{00000000-0010-0000-0400-00000F000000}" name="Noncashable Productivity Y1" dataDxfId="2">
      <calculatedColumnFormula>L5*50</calculatedColumnFormula>
    </tableColumn>
    <tableColumn id="16" xr3:uid="{00000000-0010-0000-0400-000010000000}" name="Cost Avoidance Y1"/>
    <tableColumn id="17" xr3:uid="{00000000-0010-0000-0400-000011000000}" name="One-time Benefit"/>
    <tableColumn id="18" xr3:uid="{00000000-0010-0000-0400-000012000000}" name="Recurring Benefit Y1" dataDxfId="1">
      <calculatedColumnFormula>SUM(N5:P5)</calculatedColumnFormula>
    </tableColumn>
    <tableColumn id="19" xr3:uid="{00000000-0010-0000-0400-000013000000}" name="Confidence*"/>
    <tableColumn id="20" xr3:uid="{00000000-0010-0000-0400-000014000000}" name="Commitment Level*"/>
    <tableColumn id="21" xr3:uid="{00000000-0010-0000-0400-000015000000}" name="Measurement System*"/>
    <tableColumn id="22" xr3:uid="{00000000-0010-0000-0400-000016000000}" name="Frequency*"/>
    <tableColumn id="23" xr3:uid="{00000000-0010-0000-0400-000017000000}" name="Accountable Owner*"/>
    <tableColumn id="24" xr3:uid="{00000000-0010-0000-0400-000018000000}" name="Acceptance Threshold"/>
    <tableColumn id="25" xr3:uid="{00000000-0010-0000-0400-000019000000}" name="Dependency / PepsiCo Action"/>
    <tableColumn id="26" xr3:uid="{00000000-0010-0000-0400-00001A000000}" name="Overlap / Attribution Control"/>
    <tableColumn id="27" xr3:uid="{00000000-0010-0000-0400-00001B000000}" name="Evidence Reference*"/>
    <tableColumn id="28" xr3:uid="{00000000-0010-0000-0400-00001C000000}" name="Notes"/>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microsoft.com/office/2019/04/relationships/namedSheetView" Target="../namedSheetViews/namedSheetView2.xml"/><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1.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2.xml"/></Relationships>
</file>

<file path=xl/worksheets/_rels/sheet16.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52"/>
  <sheetViews>
    <sheetView showGridLines="0" tabSelected="1" topLeftCell="A2" workbookViewId="0">
      <selection activeCell="B6" sqref="B6:H6"/>
    </sheetView>
  </sheetViews>
  <sheetFormatPr baseColWidth="10" defaultColWidth="8.83203125" defaultRowHeight="15" x14ac:dyDescent="0.2"/>
  <cols>
    <col min="1" max="1" width="8.5" customWidth="1"/>
    <col min="2" max="2" width="22.6640625" customWidth="1"/>
    <col min="3" max="4" width="24" customWidth="1"/>
    <col min="5" max="5" width="44" customWidth="1"/>
    <col min="6" max="6" width="30.6640625" customWidth="1"/>
    <col min="7" max="7" width="34" customWidth="1"/>
    <col min="8" max="8" width="14.1640625" customWidth="1"/>
  </cols>
  <sheetData>
    <row r="1" spans="1:8" ht="28" customHeight="1" x14ac:dyDescent="0.2">
      <c r="A1" s="180" t="s">
        <v>0</v>
      </c>
      <c r="B1" s="181"/>
      <c r="C1" s="181"/>
      <c r="D1" s="181"/>
      <c r="E1" s="181"/>
      <c r="F1" s="181"/>
      <c r="G1" s="181"/>
      <c r="H1" s="181"/>
    </row>
    <row r="2" spans="1:8" ht="36" customHeight="1" x14ac:dyDescent="0.2">
      <c r="A2" s="183" t="s">
        <v>1</v>
      </c>
      <c r="B2" s="181"/>
      <c r="C2" s="181"/>
      <c r="D2" s="181"/>
      <c r="E2" s="181"/>
      <c r="F2" s="181"/>
      <c r="G2" s="181"/>
      <c r="H2" s="181"/>
    </row>
    <row r="4" spans="1:8" x14ac:dyDescent="0.2">
      <c r="A4" s="185" t="s">
        <v>2</v>
      </c>
      <c r="B4" s="181"/>
      <c r="C4" s="181"/>
      <c r="D4" s="181"/>
      <c r="E4" s="181"/>
      <c r="F4" s="181"/>
      <c r="G4" s="181"/>
      <c r="H4" s="181"/>
    </row>
    <row r="5" spans="1:8" ht="27" customHeight="1" x14ac:dyDescent="0.2">
      <c r="A5" s="60" t="s">
        <v>3</v>
      </c>
      <c r="B5" s="182" t="s">
        <v>4</v>
      </c>
      <c r="C5" s="181"/>
      <c r="D5" s="181"/>
      <c r="E5" s="181"/>
      <c r="F5" s="181"/>
      <c r="G5" s="181"/>
      <c r="H5" s="181"/>
    </row>
    <row r="6" spans="1:8" ht="27" customHeight="1" x14ac:dyDescent="0.2">
      <c r="A6" s="60" t="s">
        <v>5</v>
      </c>
      <c r="B6" s="182" t="s">
        <v>6</v>
      </c>
      <c r="C6" s="181"/>
      <c r="D6" s="181"/>
      <c r="E6" s="181"/>
      <c r="F6" s="181"/>
      <c r="G6" s="181"/>
      <c r="H6" s="181"/>
    </row>
    <row r="7" spans="1:8" ht="27" customHeight="1" x14ac:dyDescent="0.2">
      <c r="A7" s="60" t="s">
        <v>7</v>
      </c>
      <c r="B7" s="182" t="s">
        <v>8</v>
      </c>
      <c r="C7" s="181"/>
      <c r="D7" s="181"/>
      <c r="E7" s="181"/>
      <c r="F7" s="181"/>
      <c r="G7" s="181"/>
      <c r="H7" s="181"/>
    </row>
    <row r="8" spans="1:8" ht="27" customHeight="1" x14ac:dyDescent="0.2">
      <c r="A8" s="60" t="s">
        <v>9</v>
      </c>
      <c r="B8" s="182" t="s">
        <v>10</v>
      </c>
      <c r="C8" s="181"/>
      <c r="D8" s="181"/>
      <c r="E8" s="181"/>
      <c r="F8" s="181"/>
      <c r="G8" s="181"/>
      <c r="H8" s="181"/>
    </row>
    <row r="9" spans="1:8" ht="27" customHeight="1" x14ac:dyDescent="0.2">
      <c r="A9" s="60" t="s">
        <v>11</v>
      </c>
      <c r="B9" s="182" t="s">
        <v>12</v>
      </c>
      <c r="C9" s="181"/>
      <c r="D9" s="181"/>
      <c r="E9" s="181"/>
      <c r="F9" s="181"/>
      <c r="G9" s="181"/>
      <c r="H9" s="181"/>
    </row>
    <row r="10" spans="1:8" ht="27" customHeight="1" x14ac:dyDescent="0.2">
      <c r="A10" s="60" t="s">
        <v>13</v>
      </c>
      <c r="B10" s="182" t="s">
        <v>14</v>
      </c>
      <c r="C10" s="181"/>
      <c r="D10" s="181"/>
      <c r="E10" s="181"/>
      <c r="F10" s="181"/>
      <c r="G10" s="181"/>
      <c r="H10" s="181"/>
    </row>
    <row r="11" spans="1:8" ht="27" customHeight="1" x14ac:dyDescent="0.2">
      <c r="A11" s="60" t="s">
        <v>15</v>
      </c>
      <c r="B11" s="182" t="s">
        <v>16</v>
      </c>
      <c r="C11" s="181"/>
      <c r="D11" s="181"/>
      <c r="E11" s="181"/>
      <c r="F11" s="181"/>
      <c r="G11" s="181"/>
      <c r="H11" s="181"/>
    </row>
    <row r="12" spans="1:8" ht="27" customHeight="1" x14ac:dyDescent="0.2">
      <c r="A12" s="60" t="s">
        <v>17</v>
      </c>
      <c r="B12" s="182" t="s">
        <v>18</v>
      </c>
      <c r="C12" s="181"/>
      <c r="D12" s="181"/>
      <c r="E12" s="181"/>
      <c r="F12" s="181"/>
      <c r="G12" s="181"/>
      <c r="H12" s="181"/>
    </row>
    <row r="14" spans="1:8" x14ac:dyDescent="0.2">
      <c r="A14" s="184" t="s">
        <v>19</v>
      </c>
      <c r="B14" s="181"/>
      <c r="C14" s="181"/>
      <c r="D14" s="181"/>
      <c r="E14" s="181"/>
      <c r="F14" s="181"/>
      <c r="G14" s="181"/>
      <c r="H14" s="181"/>
    </row>
    <row r="15" spans="1:8" ht="16" x14ac:dyDescent="0.2">
      <c r="A15" s="61" t="s">
        <v>20</v>
      </c>
      <c r="B15" s="61" t="s">
        <v>21</v>
      </c>
      <c r="C15" s="61" t="s">
        <v>22</v>
      </c>
      <c r="D15" s="61" t="s">
        <v>23</v>
      </c>
      <c r="E15" s="61" t="s">
        <v>24</v>
      </c>
      <c r="F15" s="61" t="s">
        <v>25</v>
      </c>
      <c r="G15" s="61" t="s">
        <v>26</v>
      </c>
      <c r="H15" s="61" t="s">
        <v>27</v>
      </c>
    </row>
    <row r="16" spans="1:8" ht="62.25" customHeight="1" x14ac:dyDescent="0.2">
      <c r="A16" s="84">
        <v>1</v>
      </c>
      <c r="B16" s="56" t="s">
        <v>28</v>
      </c>
      <c r="C16" s="56" t="s">
        <v>29</v>
      </c>
      <c r="D16" s="56" t="s">
        <v>30</v>
      </c>
      <c r="E16" s="56" t="s">
        <v>31</v>
      </c>
      <c r="F16" s="56" t="s">
        <v>32</v>
      </c>
      <c r="G16" s="56" t="s">
        <v>33</v>
      </c>
      <c r="H16" s="57" t="s">
        <v>34</v>
      </c>
    </row>
    <row r="17" spans="1:8" ht="62.25" customHeight="1" x14ac:dyDescent="0.2">
      <c r="A17" s="84">
        <v>2</v>
      </c>
      <c r="B17" s="56" t="s">
        <v>35</v>
      </c>
      <c r="C17" s="56" t="s">
        <v>36</v>
      </c>
      <c r="D17" s="56" t="s">
        <v>30</v>
      </c>
      <c r="E17" s="56" t="s">
        <v>37</v>
      </c>
      <c r="F17" s="56" t="s">
        <v>38</v>
      </c>
      <c r="G17" s="56" t="s">
        <v>39</v>
      </c>
      <c r="H17" s="57" t="s">
        <v>34</v>
      </c>
    </row>
    <row r="18" spans="1:8" ht="62.25" customHeight="1" x14ac:dyDescent="0.2">
      <c r="A18" s="84">
        <v>3</v>
      </c>
      <c r="B18" s="56" t="s">
        <v>40</v>
      </c>
      <c r="C18" s="56" t="s">
        <v>41</v>
      </c>
      <c r="D18" s="56" t="s">
        <v>30</v>
      </c>
      <c r="E18" s="56" t="s">
        <v>42</v>
      </c>
      <c r="F18" s="56" t="s">
        <v>43</v>
      </c>
      <c r="G18" s="56" t="s">
        <v>44</v>
      </c>
      <c r="H18" s="57" t="s">
        <v>34</v>
      </c>
    </row>
    <row r="19" spans="1:8" ht="62.25" customHeight="1" x14ac:dyDescent="0.2">
      <c r="A19" s="84">
        <v>4</v>
      </c>
      <c r="B19" s="56" t="s">
        <v>45</v>
      </c>
      <c r="C19" s="56" t="s">
        <v>46</v>
      </c>
      <c r="D19" s="56" t="s">
        <v>30</v>
      </c>
      <c r="E19" s="56" t="s">
        <v>47</v>
      </c>
      <c r="F19" s="56" t="s">
        <v>48</v>
      </c>
      <c r="G19" s="56" t="s">
        <v>49</v>
      </c>
      <c r="H19" s="57" t="s">
        <v>34</v>
      </c>
    </row>
    <row r="20" spans="1:8" ht="62.25" customHeight="1" x14ac:dyDescent="0.2">
      <c r="A20" s="84">
        <v>5</v>
      </c>
      <c r="B20" s="56" t="s">
        <v>50</v>
      </c>
      <c r="C20" s="56" t="s">
        <v>51</v>
      </c>
      <c r="D20" s="56" t="s">
        <v>30</v>
      </c>
      <c r="E20" s="56" t="s">
        <v>52</v>
      </c>
      <c r="F20" s="56" t="s">
        <v>53</v>
      </c>
      <c r="G20" s="56" t="s">
        <v>54</v>
      </c>
      <c r="H20" s="57" t="s">
        <v>34</v>
      </c>
    </row>
    <row r="21" spans="1:8" ht="62.25" customHeight="1" x14ac:dyDescent="0.2">
      <c r="A21" s="84">
        <v>6</v>
      </c>
      <c r="B21" s="56" t="s">
        <v>55</v>
      </c>
      <c r="C21" s="56" t="s">
        <v>56</v>
      </c>
      <c r="D21" s="56" t="s">
        <v>30</v>
      </c>
      <c r="E21" s="56" t="s">
        <v>57</v>
      </c>
      <c r="F21" s="56" t="s">
        <v>58</v>
      </c>
      <c r="G21" s="56" t="s">
        <v>59</v>
      </c>
      <c r="H21" s="57" t="s">
        <v>60</v>
      </c>
    </row>
    <row r="22" spans="1:8" ht="62.25" customHeight="1" x14ac:dyDescent="0.2">
      <c r="A22" s="84">
        <v>7</v>
      </c>
      <c r="B22" s="56" t="s">
        <v>61</v>
      </c>
      <c r="C22" s="56" t="s">
        <v>62</v>
      </c>
      <c r="D22" s="56" t="s">
        <v>30</v>
      </c>
      <c r="E22" s="56" t="s">
        <v>63</v>
      </c>
      <c r="F22" s="56" t="s">
        <v>64</v>
      </c>
      <c r="G22" s="56" t="s">
        <v>65</v>
      </c>
      <c r="H22" s="57" t="s">
        <v>34</v>
      </c>
    </row>
    <row r="23" spans="1:8" ht="62.25" customHeight="1" x14ac:dyDescent="0.2">
      <c r="A23" s="84">
        <v>8</v>
      </c>
      <c r="B23" s="56" t="s">
        <v>66</v>
      </c>
      <c r="C23" s="56" t="s">
        <v>67</v>
      </c>
      <c r="D23" s="56" t="s">
        <v>30</v>
      </c>
      <c r="E23" s="56" t="s">
        <v>68</v>
      </c>
      <c r="F23" s="56" t="s">
        <v>69</v>
      </c>
      <c r="G23" s="56" t="s">
        <v>70</v>
      </c>
      <c r="H23" s="57" t="s">
        <v>71</v>
      </c>
    </row>
    <row r="24" spans="1:8" ht="62.25" customHeight="1" x14ac:dyDescent="0.2">
      <c r="A24" s="84">
        <v>9</v>
      </c>
      <c r="B24" s="56" t="s">
        <v>72</v>
      </c>
      <c r="C24" s="56" t="s">
        <v>73</v>
      </c>
      <c r="D24" s="56" t="s">
        <v>30</v>
      </c>
      <c r="E24" s="56" t="s">
        <v>74</v>
      </c>
      <c r="F24" s="56" t="s">
        <v>75</v>
      </c>
      <c r="G24" s="56" t="s">
        <v>76</v>
      </c>
      <c r="H24" s="57" t="s">
        <v>34</v>
      </c>
    </row>
    <row r="25" spans="1:8" ht="62.25" customHeight="1" x14ac:dyDescent="0.2">
      <c r="A25" s="84" t="s">
        <v>77</v>
      </c>
      <c r="B25" s="56" t="s">
        <v>78</v>
      </c>
      <c r="C25" s="56" t="s">
        <v>79</v>
      </c>
      <c r="D25" s="56" t="s">
        <v>80</v>
      </c>
      <c r="E25" s="56" t="s">
        <v>81</v>
      </c>
      <c r="F25" s="56" t="s">
        <v>82</v>
      </c>
      <c r="G25" s="56" t="s">
        <v>83</v>
      </c>
      <c r="H25" s="57" t="s">
        <v>34</v>
      </c>
    </row>
    <row r="26" spans="1:8" ht="62.25" customHeight="1" x14ac:dyDescent="0.2">
      <c r="A26" s="84">
        <v>11</v>
      </c>
      <c r="B26" s="56" t="s">
        <v>84</v>
      </c>
      <c r="C26" s="56" t="s">
        <v>85</v>
      </c>
      <c r="D26" s="56" t="s">
        <v>30</v>
      </c>
      <c r="E26" s="56" t="s">
        <v>86</v>
      </c>
      <c r="F26" s="56" t="s">
        <v>87</v>
      </c>
      <c r="G26" s="56" t="s">
        <v>88</v>
      </c>
      <c r="H26" s="58" t="s">
        <v>89</v>
      </c>
    </row>
    <row r="27" spans="1:8" ht="62.25" customHeight="1" x14ac:dyDescent="0.2">
      <c r="A27" s="84">
        <v>12</v>
      </c>
      <c r="B27" s="56" t="s">
        <v>90</v>
      </c>
      <c r="C27" s="56" t="s">
        <v>85</v>
      </c>
      <c r="D27" s="56" t="s">
        <v>30</v>
      </c>
      <c r="E27" s="56" t="s">
        <v>91</v>
      </c>
      <c r="F27" s="56" t="s">
        <v>92</v>
      </c>
      <c r="G27" s="56" t="s">
        <v>93</v>
      </c>
      <c r="H27" s="58" t="s">
        <v>89</v>
      </c>
    </row>
    <row r="28" spans="1:8" ht="62.25" customHeight="1" x14ac:dyDescent="0.2">
      <c r="A28" s="84">
        <v>13</v>
      </c>
      <c r="B28" s="56" t="s">
        <v>94</v>
      </c>
      <c r="C28" s="56" t="s">
        <v>95</v>
      </c>
      <c r="D28" s="56" t="s">
        <v>30</v>
      </c>
      <c r="E28" s="56" t="s">
        <v>96</v>
      </c>
      <c r="F28" s="56" t="s">
        <v>97</v>
      </c>
      <c r="G28" s="56" t="s">
        <v>98</v>
      </c>
      <c r="H28" s="58" t="s">
        <v>89</v>
      </c>
    </row>
    <row r="29" spans="1:8" ht="62.25" customHeight="1" x14ac:dyDescent="0.2">
      <c r="A29" s="84">
        <v>14</v>
      </c>
      <c r="B29" s="56" t="s">
        <v>99</v>
      </c>
      <c r="C29" s="56" t="s">
        <v>100</v>
      </c>
      <c r="D29" s="56" t="s">
        <v>101</v>
      </c>
      <c r="E29" s="56" t="s">
        <v>102</v>
      </c>
      <c r="F29" s="56" t="s">
        <v>103</v>
      </c>
      <c r="G29" s="56" t="s">
        <v>104</v>
      </c>
      <c r="H29" s="59" t="s">
        <v>105</v>
      </c>
    </row>
    <row r="32" spans="1:8" x14ac:dyDescent="0.2">
      <c r="A32" s="185" t="s">
        <v>106</v>
      </c>
      <c r="B32" s="181"/>
      <c r="C32" s="181"/>
      <c r="D32" s="181"/>
      <c r="E32" s="181"/>
      <c r="F32" s="181"/>
      <c r="G32" s="181"/>
      <c r="H32" s="181"/>
    </row>
    <row r="33" spans="1:8" ht="28" customHeight="1" x14ac:dyDescent="0.2">
      <c r="A33" s="60" t="s">
        <v>107</v>
      </c>
      <c r="B33" s="182" t="s">
        <v>108</v>
      </c>
      <c r="C33" s="181"/>
      <c r="D33" s="181"/>
      <c r="E33" s="181"/>
      <c r="F33" s="181"/>
      <c r="G33" s="181"/>
      <c r="H33" s="181"/>
    </row>
    <row r="34" spans="1:8" ht="28" customHeight="1" x14ac:dyDescent="0.2">
      <c r="A34" s="60" t="s">
        <v>109</v>
      </c>
      <c r="B34" s="182" t="s">
        <v>110</v>
      </c>
      <c r="C34" s="181"/>
      <c r="D34" s="181"/>
      <c r="E34" s="181"/>
      <c r="F34" s="181"/>
      <c r="G34" s="181"/>
      <c r="H34" s="181"/>
    </row>
    <row r="35" spans="1:8" ht="28" customHeight="1" x14ac:dyDescent="0.2">
      <c r="A35" s="60" t="s">
        <v>111</v>
      </c>
      <c r="B35" s="182" t="s">
        <v>112</v>
      </c>
      <c r="C35" s="181"/>
      <c r="D35" s="181"/>
      <c r="E35" s="181"/>
      <c r="F35" s="181"/>
      <c r="G35" s="181"/>
      <c r="H35" s="181"/>
    </row>
    <row r="36" spans="1:8" ht="28" customHeight="1" x14ac:dyDescent="0.2">
      <c r="A36" s="60" t="s">
        <v>113</v>
      </c>
      <c r="B36" s="182" t="s">
        <v>114</v>
      </c>
      <c r="C36" s="181"/>
      <c r="D36" s="181"/>
      <c r="E36" s="181"/>
      <c r="F36" s="181"/>
      <c r="G36" s="181"/>
      <c r="H36" s="181"/>
    </row>
    <row r="37" spans="1:8" ht="28" customHeight="1" x14ac:dyDescent="0.2">
      <c r="A37" s="60" t="s">
        <v>115</v>
      </c>
      <c r="B37" s="182" t="s">
        <v>116</v>
      </c>
      <c r="C37" s="181"/>
      <c r="D37" s="181"/>
      <c r="E37" s="181"/>
      <c r="F37" s="181"/>
      <c r="G37" s="181"/>
      <c r="H37" s="181"/>
    </row>
    <row r="38" spans="1:8" ht="28" customHeight="1" x14ac:dyDescent="0.2">
      <c r="A38" s="60" t="s">
        <v>117</v>
      </c>
      <c r="B38" s="182" t="s">
        <v>118</v>
      </c>
      <c r="C38" s="181"/>
      <c r="D38" s="181"/>
      <c r="E38" s="181"/>
      <c r="F38" s="181"/>
      <c r="G38" s="181"/>
      <c r="H38" s="181"/>
    </row>
    <row r="39" spans="1:8" ht="28" customHeight="1" x14ac:dyDescent="0.2">
      <c r="A39" s="60" t="s">
        <v>119</v>
      </c>
      <c r="B39" s="182" t="s">
        <v>120</v>
      </c>
      <c r="C39" s="181"/>
      <c r="D39" s="181"/>
      <c r="E39" s="181"/>
      <c r="F39" s="181"/>
      <c r="G39" s="181"/>
      <c r="H39" s="181"/>
    </row>
    <row r="40" spans="1:8" ht="28" customHeight="1" x14ac:dyDescent="0.2">
      <c r="A40" s="60" t="s">
        <v>121</v>
      </c>
      <c r="B40" s="182" t="s">
        <v>122</v>
      </c>
      <c r="C40" s="181"/>
      <c r="D40" s="181"/>
      <c r="E40" s="181"/>
      <c r="F40" s="181"/>
      <c r="G40" s="181"/>
      <c r="H40" s="181"/>
    </row>
    <row r="41" spans="1:8" ht="28" customHeight="1" x14ac:dyDescent="0.2">
      <c r="A41" s="60" t="s">
        <v>72</v>
      </c>
      <c r="B41" s="182" t="s">
        <v>123</v>
      </c>
      <c r="C41" s="181"/>
      <c r="D41" s="181"/>
      <c r="E41" s="181"/>
      <c r="F41" s="181"/>
      <c r="G41" s="181"/>
      <c r="H41" s="181"/>
    </row>
    <row r="42" spans="1:8" ht="28" customHeight="1" x14ac:dyDescent="0.2">
      <c r="A42" s="60" t="s">
        <v>124</v>
      </c>
      <c r="B42" s="182" t="s">
        <v>125</v>
      </c>
      <c r="C42" s="181"/>
      <c r="D42" s="181"/>
      <c r="E42" s="181"/>
      <c r="F42" s="181"/>
      <c r="G42" s="181"/>
      <c r="H42" s="181"/>
    </row>
    <row r="44" spans="1:8" x14ac:dyDescent="0.2">
      <c r="A44" s="184" t="s">
        <v>126</v>
      </c>
      <c r="B44" s="181"/>
      <c r="C44" s="181"/>
      <c r="D44" s="181"/>
      <c r="E44" s="181"/>
      <c r="F44" s="181"/>
      <c r="G44" s="181"/>
      <c r="H44" s="181"/>
    </row>
    <row r="45" spans="1:8" ht="27" customHeight="1" x14ac:dyDescent="0.2">
      <c r="A45" s="125" t="s">
        <v>942</v>
      </c>
      <c r="B45" s="182" t="s">
        <v>127</v>
      </c>
      <c r="C45" s="181"/>
      <c r="D45" s="181"/>
      <c r="E45" s="181"/>
      <c r="F45" s="181"/>
      <c r="G45" s="181"/>
      <c r="H45" s="181"/>
    </row>
    <row r="46" spans="1:8" ht="27" customHeight="1" x14ac:dyDescent="0.2">
      <c r="A46" s="125" t="s">
        <v>942</v>
      </c>
      <c r="B46" s="182" t="s">
        <v>128</v>
      </c>
      <c r="C46" s="181"/>
      <c r="D46" s="181"/>
      <c r="E46" s="181"/>
      <c r="F46" s="181"/>
      <c r="G46" s="181"/>
      <c r="H46" s="181"/>
    </row>
    <row r="47" spans="1:8" ht="27" customHeight="1" x14ac:dyDescent="0.2">
      <c r="A47" s="125" t="s">
        <v>942</v>
      </c>
      <c r="B47" s="182" t="s">
        <v>129</v>
      </c>
      <c r="C47" s="181"/>
      <c r="D47" s="181"/>
      <c r="E47" s="181"/>
      <c r="F47" s="181"/>
      <c r="G47" s="181"/>
      <c r="H47" s="181"/>
    </row>
    <row r="48" spans="1:8" ht="27" customHeight="1" x14ac:dyDescent="0.2">
      <c r="A48" s="125" t="s">
        <v>942</v>
      </c>
      <c r="B48" s="182" t="s">
        <v>130</v>
      </c>
      <c r="C48" s="181"/>
      <c r="D48" s="181"/>
      <c r="E48" s="181"/>
      <c r="F48" s="181"/>
      <c r="G48" s="181"/>
      <c r="H48" s="181"/>
    </row>
    <row r="49" spans="1:8" ht="27" customHeight="1" x14ac:dyDescent="0.2">
      <c r="A49" s="125" t="s">
        <v>942</v>
      </c>
      <c r="B49" s="182" t="s">
        <v>131</v>
      </c>
      <c r="C49" s="181"/>
      <c r="D49" s="181"/>
      <c r="E49" s="181"/>
      <c r="F49" s="181"/>
      <c r="G49" s="181"/>
      <c r="H49" s="181"/>
    </row>
    <row r="50" spans="1:8" ht="27" customHeight="1" x14ac:dyDescent="0.2">
      <c r="A50" s="125" t="s">
        <v>942</v>
      </c>
      <c r="B50" s="182" t="s">
        <v>132</v>
      </c>
      <c r="C50" s="181"/>
      <c r="D50" s="181"/>
      <c r="E50" s="181"/>
      <c r="F50" s="181"/>
      <c r="G50" s="181"/>
      <c r="H50" s="181"/>
    </row>
    <row r="51" spans="1:8" ht="27" customHeight="1" x14ac:dyDescent="0.2">
      <c r="A51" s="125" t="s">
        <v>942</v>
      </c>
      <c r="B51" s="182" t="s">
        <v>133</v>
      </c>
      <c r="C51" s="181"/>
      <c r="D51" s="181"/>
      <c r="E51" s="181"/>
      <c r="F51" s="181"/>
      <c r="G51" s="181"/>
      <c r="H51" s="181"/>
    </row>
    <row r="52" spans="1:8" ht="27" customHeight="1" x14ac:dyDescent="0.2">
      <c r="A52" s="125" t="s">
        <v>942</v>
      </c>
      <c r="B52" s="182" t="s">
        <v>134</v>
      </c>
      <c r="C52" s="181"/>
      <c r="D52" s="181"/>
      <c r="E52" s="181"/>
      <c r="F52" s="181"/>
      <c r="G52" s="181"/>
      <c r="H52" s="181"/>
    </row>
  </sheetData>
  <autoFilter ref="A15:H29" xr:uid="{00000000-0009-0000-0000-000000000000}"/>
  <mergeCells count="32">
    <mergeCell ref="B52:H52"/>
    <mergeCell ref="A2:H2"/>
    <mergeCell ref="B12:H12"/>
    <mergeCell ref="B39:H39"/>
    <mergeCell ref="B48:H48"/>
    <mergeCell ref="A14:H14"/>
    <mergeCell ref="B42:H42"/>
    <mergeCell ref="B11:H11"/>
    <mergeCell ref="A32:H32"/>
    <mergeCell ref="A4:H4"/>
    <mergeCell ref="B8:H8"/>
    <mergeCell ref="B38:H38"/>
    <mergeCell ref="A44:H44"/>
    <mergeCell ref="B10:H10"/>
    <mergeCell ref="B34:H34"/>
    <mergeCell ref="B33:H33"/>
    <mergeCell ref="A1:H1"/>
    <mergeCell ref="B5:H5"/>
    <mergeCell ref="B51:H51"/>
    <mergeCell ref="B37:H37"/>
    <mergeCell ref="B45:H45"/>
    <mergeCell ref="B36:H36"/>
    <mergeCell ref="B50:H50"/>
    <mergeCell ref="B41:H41"/>
    <mergeCell ref="B35:H35"/>
    <mergeCell ref="B47:H47"/>
    <mergeCell ref="B7:H7"/>
    <mergeCell ref="B46:H46"/>
    <mergeCell ref="B40:H40"/>
    <mergeCell ref="B9:H9"/>
    <mergeCell ref="B49:H49"/>
    <mergeCell ref="B6:H6"/>
  </mergeCells>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D201"/>
  <sheetViews>
    <sheetView showGridLines="0" workbookViewId="0">
      <pane xSplit="2" ySplit="4" topLeftCell="Y5" activePane="bottomRight" state="frozen"/>
      <selection pane="topRight" activeCell="C1" sqref="C1"/>
      <selection pane="bottomLeft" activeCell="A5" sqref="A5"/>
      <selection pane="bottomRight" activeCell="A5" sqref="A5:A14"/>
    </sheetView>
  </sheetViews>
  <sheetFormatPr baseColWidth="10" defaultColWidth="8.83203125" defaultRowHeight="15" x14ac:dyDescent="0.2"/>
  <cols>
    <col min="1" max="1" width="13.6640625" customWidth="1"/>
    <col min="2" max="2" width="50.6640625" customWidth="1"/>
    <col min="3" max="3" width="47.33203125" customWidth="1"/>
    <col min="4" max="5" width="21.83203125" customWidth="1"/>
    <col min="6" max="8" width="23.6640625" customWidth="1"/>
    <col min="9" max="14" width="22.6640625" customWidth="1"/>
    <col min="15" max="16" width="12.6640625" customWidth="1"/>
    <col min="17" max="19" width="21.83203125" customWidth="1"/>
    <col min="20" max="26" width="20.83203125" customWidth="1"/>
    <col min="27" max="27" width="38.1640625" customWidth="1"/>
    <col min="28" max="28" width="21.83203125" customWidth="1"/>
    <col min="29" max="29" width="43.6640625" customWidth="1"/>
  </cols>
  <sheetData>
    <row r="1" spans="1:30" ht="26.25" customHeight="1" x14ac:dyDescent="0.2">
      <c r="A1" s="180" t="s">
        <v>135</v>
      </c>
      <c r="B1" s="181"/>
      <c r="C1" s="181"/>
      <c r="D1" s="181"/>
      <c r="E1" s="181"/>
      <c r="F1" s="181"/>
      <c r="G1" s="181"/>
      <c r="H1" s="181"/>
      <c r="I1" s="181"/>
      <c r="J1" s="181"/>
      <c r="K1" s="181"/>
      <c r="L1" s="181"/>
      <c r="M1" s="181"/>
      <c r="N1" s="181"/>
      <c r="O1" s="181"/>
      <c r="P1" s="181"/>
      <c r="Q1" s="181"/>
      <c r="R1" s="181"/>
      <c r="S1" s="181"/>
      <c r="T1" s="181"/>
      <c r="U1" s="181"/>
      <c r="V1" s="181"/>
      <c r="W1" s="181"/>
      <c r="X1" s="181"/>
      <c r="Y1" s="181"/>
      <c r="Z1" s="181"/>
      <c r="AA1" s="181"/>
      <c r="AB1" s="181"/>
      <c r="AC1" s="181"/>
    </row>
    <row r="2" spans="1:30" x14ac:dyDescent="0.2">
      <c r="A2" s="186" t="s">
        <v>136</v>
      </c>
      <c r="B2" s="181"/>
      <c r="C2" s="181"/>
      <c r="D2" s="181"/>
      <c r="E2" s="181"/>
      <c r="F2" s="181"/>
      <c r="G2" s="181"/>
      <c r="H2" s="181"/>
      <c r="I2" s="181"/>
      <c r="J2" s="181"/>
      <c r="K2" s="181"/>
      <c r="L2" s="181"/>
      <c r="M2" s="181"/>
      <c r="N2" s="181"/>
      <c r="O2" s="181"/>
      <c r="P2" s="181"/>
      <c r="Q2" s="181"/>
      <c r="R2" s="181"/>
      <c r="S2" s="181"/>
      <c r="T2" s="181"/>
      <c r="U2" s="181"/>
      <c r="V2" s="181"/>
      <c r="W2" s="181"/>
      <c r="X2" s="181"/>
      <c r="Y2" s="181"/>
      <c r="Z2" s="181"/>
      <c r="AA2" s="181"/>
      <c r="AB2" s="181"/>
      <c r="AC2" s="181"/>
    </row>
    <row r="4" spans="1:30" ht="38.25" customHeight="1" x14ac:dyDescent="0.2">
      <c r="A4" s="150" t="s">
        <v>137</v>
      </c>
      <c r="B4" s="150" t="s">
        <v>138</v>
      </c>
      <c r="C4" s="150" t="s">
        <v>139</v>
      </c>
      <c r="D4" s="154" t="s">
        <v>140</v>
      </c>
      <c r="E4" s="154" t="s">
        <v>141</v>
      </c>
      <c r="F4" s="150" t="s">
        <v>142</v>
      </c>
      <c r="G4" s="151" t="s">
        <v>143</v>
      </c>
      <c r="H4" s="154" t="s">
        <v>144</v>
      </c>
      <c r="I4" s="150" t="s">
        <v>145</v>
      </c>
      <c r="J4" s="150" t="s">
        <v>146</v>
      </c>
      <c r="K4" s="150" t="s">
        <v>147</v>
      </c>
      <c r="L4" s="150" t="s">
        <v>148</v>
      </c>
      <c r="M4" s="150" t="s">
        <v>149</v>
      </c>
      <c r="N4" s="150" t="s">
        <v>150</v>
      </c>
      <c r="O4" s="154" t="s">
        <v>151</v>
      </c>
      <c r="P4" s="154" t="s">
        <v>152</v>
      </c>
      <c r="Q4" s="154" t="s">
        <v>153</v>
      </c>
      <c r="R4" s="154" t="s">
        <v>154</v>
      </c>
      <c r="S4" s="154" t="s">
        <v>155</v>
      </c>
      <c r="T4" s="150" t="s">
        <v>156</v>
      </c>
      <c r="U4" s="150" t="s">
        <v>157</v>
      </c>
      <c r="V4" s="154" t="s">
        <v>158</v>
      </c>
      <c r="W4" s="150" t="s">
        <v>159</v>
      </c>
      <c r="X4" s="150" t="s">
        <v>160</v>
      </c>
      <c r="Y4" s="150" t="s">
        <v>161</v>
      </c>
      <c r="Z4" s="154" t="s">
        <v>162</v>
      </c>
      <c r="AA4" s="154" t="s">
        <v>163</v>
      </c>
      <c r="AB4" s="150" t="s">
        <v>164</v>
      </c>
      <c r="AC4" s="150" t="s">
        <v>165</v>
      </c>
      <c r="AD4" t="s">
        <v>1188</v>
      </c>
    </row>
    <row r="5" spans="1:30" x14ac:dyDescent="0.2">
      <c r="A5" s="152" t="s">
        <v>679</v>
      </c>
      <c r="B5" s="152" t="s">
        <v>680</v>
      </c>
      <c r="C5" s="152" t="s">
        <v>681</v>
      </c>
      <c r="D5" s="152" t="s">
        <v>682</v>
      </c>
      <c r="E5" s="152" t="s">
        <v>683</v>
      </c>
      <c r="F5" s="152" t="s">
        <v>684</v>
      </c>
      <c r="G5" s="152" t="s">
        <v>685</v>
      </c>
      <c r="H5" s="152" t="s">
        <v>686</v>
      </c>
      <c r="I5" s="152" t="s">
        <v>596</v>
      </c>
      <c r="J5" s="152" t="s">
        <v>597</v>
      </c>
      <c r="K5" s="152" t="s">
        <v>580</v>
      </c>
      <c r="L5" s="152" t="s">
        <v>617</v>
      </c>
      <c r="M5" s="152" t="s">
        <v>618</v>
      </c>
      <c r="N5" s="152" t="s">
        <v>601</v>
      </c>
      <c r="O5" s="152">
        <v>1</v>
      </c>
      <c r="P5" s="152">
        <v>3</v>
      </c>
      <c r="Q5" s="152" t="s">
        <v>687</v>
      </c>
      <c r="R5" s="152" t="s">
        <v>688</v>
      </c>
      <c r="S5" s="152" t="s">
        <v>355</v>
      </c>
      <c r="T5" s="152" t="s">
        <v>584</v>
      </c>
      <c r="U5" s="152" t="s">
        <v>584</v>
      </c>
      <c r="V5" s="152" t="s">
        <v>689</v>
      </c>
      <c r="W5" s="152" t="s">
        <v>613</v>
      </c>
      <c r="X5" s="152" t="s">
        <v>645</v>
      </c>
      <c r="Y5" s="152" t="s">
        <v>594</v>
      </c>
      <c r="Z5" s="152" t="s">
        <v>460</v>
      </c>
      <c r="AA5" s="152" t="s">
        <v>690</v>
      </c>
      <c r="AB5" s="152" t="s">
        <v>603</v>
      </c>
      <c r="AC5" s="152" t="s">
        <v>691</v>
      </c>
      <c r="AD5" s="153" t="s">
        <v>1189</v>
      </c>
    </row>
    <row r="6" spans="1:30" x14ac:dyDescent="0.2">
      <c r="A6" s="152" t="s">
        <v>692</v>
      </c>
      <c r="B6" s="152" t="s">
        <v>693</v>
      </c>
      <c r="C6" s="152" t="s">
        <v>694</v>
      </c>
      <c r="D6" s="152" t="s">
        <v>695</v>
      </c>
      <c r="E6" s="152" t="s">
        <v>696</v>
      </c>
      <c r="F6" s="152" t="s">
        <v>697</v>
      </c>
      <c r="G6" s="155" t="s">
        <v>698</v>
      </c>
      <c r="H6" s="152" t="s">
        <v>699</v>
      </c>
      <c r="I6" s="152" t="s">
        <v>615</v>
      </c>
      <c r="J6" s="152" t="s">
        <v>633</v>
      </c>
      <c r="K6" s="152" t="s">
        <v>598</v>
      </c>
      <c r="L6" s="152" t="s">
        <v>649</v>
      </c>
      <c r="M6" s="152" t="s">
        <v>635</v>
      </c>
      <c r="N6" s="152" t="s">
        <v>619</v>
      </c>
      <c r="O6" s="152">
        <v>3</v>
      </c>
      <c r="P6" s="152">
        <v>6</v>
      </c>
      <c r="Q6" s="152" t="s">
        <v>687</v>
      </c>
      <c r="R6" s="152" t="s">
        <v>700</v>
      </c>
      <c r="S6" s="152" t="s">
        <v>701</v>
      </c>
      <c r="T6" s="152" t="s">
        <v>584</v>
      </c>
      <c r="U6" s="152" t="s">
        <v>584</v>
      </c>
      <c r="V6" s="152" t="s">
        <v>702</v>
      </c>
      <c r="W6" s="152" t="s">
        <v>613</v>
      </c>
      <c r="X6" s="152" t="s">
        <v>613</v>
      </c>
      <c r="Y6" s="152" t="s">
        <v>594</v>
      </c>
      <c r="Z6" s="152" t="s">
        <v>592</v>
      </c>
      <c r="AA6" s="152" t="s">
        <v>703</v>
      </c>
      <c r="AB6" s="152" t="s">
        <v>603</v>
      </c>
      <c r="AC6" s="152" t="s">
        <v>704</v>
      </c>
      <c r="AD6" s="153" t="s">
        <v>1190</v>
      </c>
    </row>
    <row r="7" spans="1:30" x14ac:dyDescent="0.2">
      <c r="A7" s="152" t="s">
        <v>705</v>
      </c>
      <c r="B7" s="152" t="s">
        <v>706</v>
      </c>
      <c r="C7" s="152" t="s">
        <v>707</v>
      </c>
      <c r="D7" s="152" t="s">
        <v>682</v>
      </c>
      <c r="E7" s="152" t="s">
        <v>683</v>
      </c>
      <c r="F7" s="152" t="s">
        <v>708</v>
      </c>
      <c r="G7" s="152" t="s">
        <v>709</v>
      </c>
      <c r="H7" s="152" t="s">
        <v>686</v>
      </c>
      <c r="I7" s="152" t="s">
        <v>578</v>
      </c>
      <c r="J7" s="152" t="s">
        <v>579</v>
      </c>
      <c r="K7" s="152" t="s">
        <v>580</v>
      </c>
      <c r="L7" s="152" t="s">
        <v>581</v>
      </c>
      <c r="M7" s="152" t="s">
        <v>600</v>
      </c>
      <c r="N7" s="152" t="s">
        <v>601</v>
      </c>
      <c r="O7" s="152">
        <v>1</v>
      </c>
      <c r="P7" s="152">
        <v>3</v>
      </c>
      <c r="Q7" s="152" t="s">
        <v>687</v>
      </c>
      <c r="R7" s="152" t="s">
        <v>656</v>
      </c>
      <c r="S7" s="152" t="s">
        <v>710</v>
      </c>
      <c r="T7" s="152" t="s">
        <v>584</v>
      </c>
      <c r="U7" s="152" t="s">
        <v>584</v>
      </c>
      <c r="V7" s="152" t="s">
        <v>711</v>
      </c>
      <c r="W7" s="152" t="s">
        <v>613</v>
      </c>
      <c r="X7" s="152" t="s">
        <v>645</v>
      </c>
      <c r="Y7" s="152" t="s">
        <v>594</v>
      </c>
      <c r="Z7" s="152" t="s">
        <v>460</v>
      </c>
      <c r="AA7" s="152" t="s">
        <v>712</v>
      </c>
      <c r="AB7" s="152" t="s">
        <v>621</v>
      </c>
      <c r="AC7" s="152" t="s">
        <v>713</v>
      </c>
      <c r="AD7" s="153" t="s">
        <v>1191</v>
      </c>
    </row>
    <row r="8" spans="1:30" x14ac:dyDescent="0.2">
      <c r="A8" s="152" t="s">
        <v>714</v>
      </c>
      <c r="B8" s="152" t="s">
        <v>715</v>
      </c>
      <c r="C8" s="152" t="s">
        <v>716</v>
      </c>
      <c r="D8" s="152" t="s">
        <v>682</v>
      </c>
      <c r="E8" s="152" t="s">
        <v>717</v>
      </c>
      <c r="F8" s="152" t="s">
        <v>718</v>
      </c>
      <c r="G8" s="152" t="s">
        <v>719</v>
      </c>
      <c r="H8" s="152" t="s">
        <v>699</v>
      </c>
      <c r="I8" s="152" t="s">
        <v>596</v>
      </c>
      <c r="J8" s="152" t="s">
        <v>616</v>
      </c>
      <c r="K8" s="152" t="s">
        <v>580</v>
      </c>
      <c r="L8" s="152" t="s">
        <v>649</v>
      </c>
      <c r="M8" s="155" t="s">
        <v>635</v>
      </c>
      <c r="N8" s="152" t="s">
        <v>619</v>
      </c>
      <c r="O8" s="152">
        <v>2</v>
      </c>
      <c r="P8" s="152">
        <v>4</v>
      </c>
      <c r="Q8" s="152" t="s">
        <v>687</v>
      </c>
      <c r="R8" s="152" t="s">
        <v>720</v>
      </c>
      <c r="S8" s="152" t="s">
        <v>721</v>
      </c>
      <c r="T8" s="152" t="s">
        <v>584</v>
      </c>
      <c r="U8" s="152" t="s">
        <v>584</v>
      </c>
      <c r="V8" s="152" t="s">
        <v>722</v>
      </c>
      <c r="W8" s="152" t="s">
        <v>613</v>
      </c>
      <c r="X8" s="152" t="s">
        <v>645</v>
      </c>
      <c r="Y8" s="152" t="s">
        <v>594</v>
      </c>
      <c r="Z8" s="152" t="s">
        <v>460</v>
      </c>
      <c r="AA8" s="152" t="s">
        <v>723</v>
      </c>
      <c r="AB8" s="152" t="s">
        <v>603</v>
      </c>
      <c r="AC8" s="152" t="s">
        <v>724</v>
      </c>
      <c r="AD8" s="153" t="s">
        <v>1192</v>
      </c>
    </row>
    <row r="9" spans="1:30" x14ac:dyDescent="0.2">
      <c r="A9" s="152" t="s">
        <v>725</v>
      </c>
      <c r="B9" s="152" t="s">
        <v>726</v>
      </c>
      <c r="C9" s="152" t="s">
        <v>727</v>
      </c>
      <c r="D9" s="152" t="s">
        <v>728</v>
      </c>
      <c r="E9" s="152" t="s">
        <v>683</v>
      </c>
      <c r="F9" s="152" t="s">
        <v>729</v>
      </c>
      <c r="G9" s="152" t="s">
        <v>730</v>
      </c>
      <c r="H9" s="152" t="s">
        <v>699</v>
      </c>
      <c r="I9" s="152" t="s">
        <v>615</v>
      </c>
      <c r="J9" s="152" t="s">
        <v>597</v>
      </c>
      <c r="K9" s="152" t="s">
        <v>580</v>
      </c>
      <c r="L9" s="152" t="s">
        <v>599</v>
      </c>
      <c r="M9" s="152" t="s">
        <v>618</v>
      </c>
      <c r="N9" s="152" t="s">
        <v>619</v>
      </c>
      <c r="O9" s="152">
        <v>3</v>
      </c>
      <c r="P9" s="152">
        <v>3</v>
      </c>
      <c r="Q9" s="152" t="s">
        <v>687</v>
      </c>
      <c r="R9" s="152" t="s">
        <v>656</v>
      </c>
      <c r="S9" s="152" t="s">
        <v>731</v>
      </c>
      <c r="T9" s="152" t="s">
        <v>584</v>
      </c>
      <c r="U9" s="152" t="s">
        <v>584</v>
      </c>
      <c r="V9" s="152" t="s">
        <v>732</v>
      </c>
      <c r="W9" s="152" t="s">
        <v>613</v>
      </c>
      <c r="X9" s="152" t="s">
        <v>613</v>
      </c>
      <c r="Y9" s="152" t="s">
        <v>594</v>
      </c>
      <c r="Z9" s="152" t="s">
        <v>460</v>
      </c>
      <c r="AA9" s="152" t="s">
        <v>733</v>
      </c>
      <c r="AB9" s="152" t="s">
        <v>621</v>
      </c>
      <c r="AC9" s="152" t="s">
        <v>734</v>
      </c>
      <c r="AD9" s="153" t="s">
        <v>1193</v>
      </c>
    </row>
    <row r="10" spans="1:30" x14ac:dyDescent="0.2">
      <c r="A10" s="152" t="s">
        <v>735</v>
      </c>
      <c r="B10" s="152" t="s">
        <v>736</v>
      </c>
      <c r="C10" s="152" t="s">
        <v>737</v>
      </c>
      <c r="D10" s="152" t="s">
        <v>738</v>
      </c>
      <c r="E10" s="152" t="s">
        <v>683</v>
      </c>
      <c r="F10" s="152" t="s">
        <v>739</v>
      </c>
      <c r="G10" s="152" t="s">
        <v>740</v>
      </c>
      <c r="H10" s="152" t="s">
        <v>699</v>
      </c>
      <c r="I10" s="152" t="s">
        <v>596</v>
      </c>
      <c r="J10" s="152" t="s">
        <v>597</v>
      </c>
      <c r="K10" s="152" t="s">
        <v>580</v>
      </c>
      <c r="L10" s="152" t="s">
        <v>634</v>
      </c>
      <c r="M10" s="152" t="s">
        <v>618</v>
      </c>
      <c r="N10" s="152" t="s">
        <v>636</v>
      </c>
      <c r="O10" s="152">
        <v>4</v>
      </c>
      <c r="P10" s="152">
        <v>3</v>
      </c>
      <c r="Q10" s="152" t="s">
        <v>687</v>
      </c>
      <c r="R10" s="152" t="s">
        <v>720</v>
      </c>
      <c r="S10" s="152" t="s">
        <v>741</v>
      </c>
      <c r="T10" s="152" t="s">
        <v>584</v>
      </c>
      <c r="U10" s="152" t="s">
        <v>584</v>
      </c>
      <c r="V10" s="152" t="s">
        <v>742</v>
      </c>
      <c r="W10" s="152" t="s">
        <v>613</v>
      </c>
      <c r="X10" s="152" t="s">
        <v>645</v>
      </c>
      <c r="Y10" s="152" t="s">
        <v>594</v>
      </c>
      <c r="Z10" s="152" t="s">
        <v>460</v>
      </c>
      <c r="AA10" s="152" t="s">
        <v>743</v>
      </c>
      <c r="AB10" s="152" t="s">
        <v>603</v>
      </c>
      <c r="AC10" s="152" t="s">
        <v>744</v>
      </c>
      <c r="AD10" s="153" t="s">
        <v>1194</v>
      </c>
    </row>
    <row r="11" spans="1:30" x14ac:dyDescent="0.2">
      <c r="A11" s="152" t="s">
        <v>745</v>
      </c>
      <c r="B11" s="152" t="s">
        <v>746</v>
      </c>
      <c r="C11" s="152" t="s">
        <v>747</v>
      </c>
      <c r="D11" s="152" t="s">
        <v>748</v>
      </c>
      <c r="E11" s="152" t="s">
        <v>749</v>
      </c>
      <c r="F11" s="152" t="s">
        <v>750</v>
      </c>
      <c r="G11" s="152" t="s">
        <v>751</v>
      </c>
      <c r="H11" s="152" t="s">
        <v>699</v>
      </c>
      <c r="I11" s="152" t="s">
        <v>615</v>
      </c>
      <c r="J11" s="152" t="s">
        <v>579</v>
      </c>
      <c r="K11" s="152" t="s">
        <v>580</v>
      </c>
      <c r="L11" s="152" t="s">
        <v>617</v>
      </c>
      <c r="M11" s="152" t="s">
        <v>600</v>
      </c>
      <c r="N11" s="152" t="s">
        <v>601</v>
      </c>
      <c r="O11" s="152">
        <v>1</v>
      </c>
      <c r="P11" s="152">
        <v>3</v>
      </c>
      <c r="Q11" s="152" t="s">
        <v>687</v>
      </c>
      <c r="R11" s="152" t="s">
        <v>752</v>
      </c>
      <c r="S11" s="152" t="s">
        <v>753</v>
      </c>
      <c r="T11" s="152" t="s">
        <v>584</v>
      </c>
      <c r="U11" s="152" t="s">
        <v>584</v>
      </c>
      <c r="V11" s="152" t="s">
        <v>754</v>
      </c>
      <c r="W11" s="152" t="s">
        <v>613</v>
      </c>
      <c r="X11" s="152" t="s">
        <v>613</v>
      </c>
      <c r="Y11" s="152" t="s">
        <v>594</v>
      </c>
      <c r="Z11" s="152" t="s">
        <v>611</v>
      </c>
      <c r="AA11" s="152" t="s">
        <v>755</v>
      </c>
      <c r="AB11" s="152" t="s">
        <v>621</v>
      </c>
      <c r="AC11" s="152" t="s">
        <v>756</v>
      </c>
      <c r="AD11" s="153" t="s">
        <v>1195</v>
      </c>
    </row>
    <row r="12" spans="1:30" x14ac:dyDescent="0.2">
      <c r="A12" s="152" t="s">
        <v>757</v>
      </c>
      <c r="B12" s="152" t="s">
        <v>758</v>
      </c>
      <c r="C12" s="152" t="s">
        <v>759</v>
      </c>
      <c r="D12" s="152" t="s">
        <v>738</v>
      </c>
      <c r="E12" s="152" t="s">
        <v>683</v>
      </c>
      <c r="F12" s="152" t="s">
        <v>760</v>
      </c>
      <c r="G12" s="152" t="s">
        <v>761</v>
      </c>
      <c r="H12" s="152" t="s">
        <v>699</v>
      </c>
      <c r="I12" s="155" t="s">
        <v>632</v>
      </c>
      <c r="J12" s="152" t="s">
        <v>616</v>
      </c>
      <c r="K12" s="152" t="s">
        <v>598</v>
      </c>
      <c r="L12" s="152" t="s">
        <v>634</v>
      </c>
      <c r="M12" s="152" t="s">
        <v>635</v>
      </c>
      <c r="N12" s="152" t="s">
        <v>619</v>
      </c>
      <c r="O12" s="152">
        <v>3</v>
      </c>
      <c r="P12" s="152">
        <v>3</v>
      </c>
      <c r="Q12" s="152" t="s">
        <v>687</v>
      </c>
      <c r="R12" s="152" t="s">
        <v>720</v>
      </c>
      <c r="S12" s="152" t="s">
        <v>762</v>
      </c>
      <c r="T12" s="152" t="s">
        <v>584</v>
      </c>
      <c r="U12" s="152" t="s">
        <v>584</v>
      </c>
      <c r="V12" s="152" t="s">
        <v>763</v>
      </c>
      <c r="W12" s="152" t="s">
        <v>613</v>
      </c>
      <c r="X12" s="152" t="s">
        <v>645</v>
      </c>
      <c r="Y12" s="152" t="s">
        <v>594</v>
      </c>
      <c r="Z12" s="152" t="s">
        <v>460</v>
      </c>
      <c r="AA12" s="152" t="s">
        <v>764</v>
      </c>
      <c r="AB12" s="152" t="s">
        <v>603</v>
      </c>
      <c r="AC12" s="152" t="s">
        <v>765</v>
      </c>
      <c r="AD12" s="153" t="s">
        <v>1196</v>
      </c>
    </row>
    <row r="13" spans="1:30" x14ac:dyDescent="0.2">
      <c r="A13" s="152" t="s">
        <v>766</v>
      </c>
      <c r="B13" s="152" t="s">
        <v>767</v>
      </c>
      <c r="C13" s="152" t="s">
        <v>768</v>
      </c>
      <c r="D13" s="152" t="s">
        <v>695</v>
      </c>
      <c r="E13" s="152" t="s">
        <v>696</v>
      </c>
      <c r="F13" s="152" t="s">
        <v>769</v>
      </c>
      <c r="G13" s="152" t="s">
        <v>770</v>
      </c>
      <c r="H13" s="152" t="s">
        <v>699</v>
      </c>
      <c r="I13" s="152" t="s">
        <v>578</v>
      </c>
      <c r="J13" s="152" t="s">
        <v>633</v>
      </c>
      <c r="K13" s="152" t="s">
        <v>598</v>
      </c>
      <c r="L13" s="152" t="s">
        <v>599</v>
      </c>
      <c r="M13" s="152" t="s">
        <v>635</v>
      </c>
      <c r="N13" s="152" t="s">
        <v>619</v>
      </c>
      <c r="O13" s="152">
        <v>3</v>
      </c>
      <c r="P13" s="152">
        <v>6</v>
      </c>
      <c r="Q13" s="152" t="s">
        <v>687</v>
      </c>
      <c r="R13" s="152" t="s">
        <v>771</v>
      </c>
      <c r="S13" s="152" t="s">
        <v>772</v>
      </c>
      <c r="T13" s="152" t="s">
        <v>584</v>
      </c>
      <c r="U13" s="152" t="s">
        <v>584</v>
      </c>
      <c r="V13" s="152" t="s">
        <v>773</v>
      </c>
      <c r="W13" s="152" t="s">
        <v>613</v>
      </c>
      <c r="X13" s="152" t="s">
        <v>613</v>
      </c>
      <c r="Y13" s="152" t="s">
        <v>594</v>
      </c>
      <c r="Z13" s="152" t="s">
        <v>592</v>
      </c>
      <c r="AA13" s="152" t="s">
        <v>774</v>
      </c>
      <c r="AB13" s="155" t="s">
        <v>607</v>
      </c>
      <c r="AC13" s="152" t="s">
        <v>775</v>
      </c>
      <c r="AD13" s="153" t="s">
        <v>1197</v>
      </c>
    </row>
    <row r="14" spans="1:30" x14ac:dyDescent="0.2">
      <c r="A14" s="152" t="s">
        <v>776</v>
      </c>
      <c r="B14" s="152" t="s">
        <v>777</v>
      </c>
      <c r="C14" s="152" t="s">
        <v>778</v>
      </c>
      <c r="D14" s="152" t="s">
        <v>779</v>
      </c>
      <c r="E14" s="152" t="s">
        <v>683</v>
      </c>
      <c r="F14" s="152" t="s">
        <v>780</v>
      </c>
      <c r="G14" s="152" t="s">
        <v>781</v>
      </c>
      <c r="H14" s="152" t="s">
        <v>686</v>
      </c>
      <c r="I14" s="152" t="s">
        <v>596</v>
      </c>
      <c r="J14" s="152" t="s">
        <v>616</v>
      </c>
      <c r="K14" s="152" t="s">
        <v>580</v>
      </c>
      <c r="L14" s="152" t="s">
        <v>617</v>
      </c>
      <c r="M14" s="152" t="s">
        <v>618</v>
      </c>
      <c r="N14" s="152" t="s">
        <v>619</v>
      </c>
      <c r="O14" s="152">
        <v>2</v>
      </c>
      <c r="P14" s="152">
        <v>3</v>
      </c>
      <c r="Q14" s="152" t="s">
        <v>687</v>
      </c>
      <c r="R14" s="152" t="s">
        <v>656</v>
      </c>
      <c r="S14" s="152" t="s">
        <v>721</v>
      </c>
      <c r="T14" s="152" t="s">
        <v>584</v>
      </c>
      <c r="U14" s="152" t="s">
        <v>584</v>
      </c>
      <c r="V14" s="152" t="s">
        <v>782</v>
      </c>
      <c r="W14" s="152" t="s">
        <v>613</v>
      </c>
      <c r="X14" s="152" t="s">
        <v>645</v>
      </c>
      <c r="Y14" s="152" t="s">
        <v>594</v>
      </c>
      <c r="Z14" s="152" t="s">
        <v>460</v>
      </c>
      <c r="AA14" s="152" t="s">
        <v>783</v>
      </c>
      <c r="AB14" s="152" t="s">
        <v>603</v>
      </c>
      <c r="AC14" s="152" t="s">
        <v>784</v>
      </c>
      <c r="AD14" s="153" t="s">
        <v>1198</v>
      </c>
    </row>
    <row r="15" spans="1:30" x14ac:dyDescent="0.2">
      <c r="A15" s="152" t="s">
        <v>1277</v>
      </c>
      <c r="B15" s="152" t="s">
        <v>1278</v>
      </c>
      <c r="C15" s="152" t="s">
        <v>1279</v>
      </c>
      <c r="D15" s="152"/>
      <c r="E15" s="152"/>
      <c r="F15" s="152"/>
      <c r="G15" s="152"/>
      <c r="H15" s="152"/>
      <c r="I15" s="152"/>
      <c r="J15" s="152"/>
      <c r="K15" s="152"/>
      <c r="L15" s="152"/>
      <c r="M15" s="152"/>
      <c r="N15" s="152"/>
      <c r="O15" s="152"/>
      <c r="P15" s="152"/>
      <c r="Q15" s="152"/>
      <c r="R15" s="152"/>
      <c r="S15" s="152"/>
      <c r="T15" s="152"/>
      <c r="U15" s="152"/>
      <c r="V15" s="152"/>
      <c r="W15" s="152"/>
      <c r="X15" s="152"/>
      <c r="Y15" s="152"/>
      <c r="Z15" s="152"/>
      <c r="AA15" s="152"/>
      <c r="AB15" s="152"/>
      <c r="AC15" s="152"/>
    </row>
    <row r="16" spans="1:30" x14ac:dyDescent="0.2">
      <c r="A16" s="152" t="s">
        <v>1280</v>
      </c>
      <c r="B16" s="152" t="s">
        <v>1314</v>
      </c>
      <c r="C16" s="152" t="s">
        <v>1315</v>
      </c>
      <c r="D16" s="152"/>
      <c r="E16" s="152"/>
      <c r="F16" s="152"/>
      <c r="G16" s="152"/>
      <c r="H16" s="152"/>
      <c r="I16" s="152"/>
      <c r="J16" s="152"/>
      <c r="K16" s="152"/>
      <c r="L16" s="152"/>
      <c r="M16" s="152"/>
      <c r="N16" s="152"/>
      <c r="O16" s="152"/>
      <c r="P16" s="152"/>
      <c r="Q16" s="152"/>
      <c r="R16" s="152"/>
      <c r="S16" s="152"/>
      <c r="T16" s="152"/>
      <c r="U16" s="152"/>
      <c r="V16" s="152"/>
      <c r="W16" s="152"/>
      <c r="X16" s="152"/>
      <c r="Y16" s="152"/>
      <c r="Z16" s="152"/>
      <c r="AA16" s="152"/>
      <c r="AB16" s="152"/>
      <c r="AC16" s="152"/>
    </row>
    <row r="17" spans="1:29" x14ac:dyDescent="0.2">
      <c r="A17" s="152" t="s">
        <v>1283</v>
      </c>
      <c r="B17" s="152" t="s">
        <v>1284</v>
      </c>
      <c r="C17" s="152" t="s">
        <v>1285</v>
      </c>
      <c r="D17" s="152"/>
      <c r="E17" s="152"/>
      <c r="F17" s="152"/>
      <c r="G17" s="152"/>
      <c r="H17" s="152"/>
      <c r="I17" s="152"/>
      <c r="J17" s="152"/>
      <c r="K17" s="152"/>
      <c r="L17" s="152"/>
      <c r="M17" s="152"/>
      <c r="N17" s="152"/>
      <c r="O17" s="152"/>
      <c r="P17" s="152"/>
      <c r="Q17" s="152"/>
      <c r="R17" s="152"/>
      <c r="S17" s="152"/>
      <c r="T17" s="152"/>
      <c r="U17" s="152"/>
      <c r="V17" s="152"/>
      <c r="W17" s="152"/>
      <c r="X17" s="152"/>
      <c r="Y17" s="152"/>
      <c r="Z17" s="152"/>
      <c r="AA17" s="152"/>
      <c r="AB17" s="152"/>
      <c r="AC17" s="152"/>
    </row>
    <row r="18" spans="1:29" x14ac:dyDescent="0.2">
      <c r="A18" s="152" t="s">
        <v>1286</v>
      </c>
      <c r="B18" s="152" t="s">
        <v>1290</v>
      </c>
      <c r="C18" s="152" t="s">
        <v>1312</v>
      </c>
      <c r="D18" s="152"/>
      <c r="E18" s="152"/>
      <c r="F18" s="152"/>
      <c r="G18" s="152"/>
      <c r="H18" s="152"/>
      <c r="I18" s="152"/>
      <c r="J18" s="152"/>
      <c r="K18" s="152"/>
      <c r="L18" s="152"/>
      <c r="M18" s="152"/>
      <c r="N18" s="152"/>
      <c r="O18" s="152"/>
      <c r="P18" s="152"/>
      <c r="Q18" s="152"/>
      <c r="R18" s="152"/>
      <c r="S18" s="152"/>
      <c r="T18" s="152"/>
      <c r="U18" s="152"/>
      <c r="V18" s="152"/>
      <c r="W18" s="152"/>
      <c r="X18" s="152"/>
      <c r="Y18" s="152"/>
      <c r="Z18" s="152"/>
      <c r="AA18" s="152"/>
      <c r="AB18" s="152"/>
      <c r="AC18" s="152"/>
    </row>
    <row r="19" spans="1:29" x14ac:dyDescent="0.2">
      <c r="A19" s="152" t="s">
        <v>1308</v>
      </c>
      <c r="B19" s="152" t="s">
        <v>1293</v>
      </c>
      <c r="C19" s="152" t="s">
        <v>1313</v>
      </c>
      <c r="D19" s="152"/>
      <c r="E19" s="152"/>
      <c r="F19" s="152"/>
      <c r="G19" s="152"/>
      <c r="H19" s="152"/>
      <c r="I19" s="152"/>
      <c r="J19" s="152"/>
      <c r="K19" s="152"/>
      <c r="L19" s="152"/>
      <c r="M19" s="152"/>
      <c r="N19" s="152"/>
      <c r="O19" s="152"/>
      <c r="P19" s="152"/>
      <c r="Q19" s="152"/>
      <c r="R19" s="152"/>
      <c r="S19" s="152"/>
      <c r="T19" s="152"/>
      <c r="U19" s="152"/>
      <c r="V19" s="152"/>
      <c r="W19" s="152"/>
      <c r="X19" s="152"/>
      <c r="Y19" s="152"/>
      <c r="Z19" s="152"/>
      <c r="AA19" s="152"/>
      <c r="AB19" s="152"/>
      <c r="AC19" s="152"/>
    </row>
    <row r="20" spans="1:29" x14ac:dyDescent="0.2">
      <c r="A20" s="152" t="s">
        <v>1309</v>
      </c>
      <c r="B20" s="152" t="s">
        <v>1296</v>
      </c>
      <c r="C20" s="152" t="s">
        <v>1297</v>
      </c>
      <c r="D20" s="152"/>
      <c r="E20" s="152"/>
      <c r="F20" s="152"/>
      <c r="G20" s="152"/>
      <c r="H20" s="152"/>
      <c r="I20" s="152"/>
      <c r="J20" s="152"/>
      <c r="K20" s="152"/>
      <c r="L20" s="152"/>
      <c r="M20" s="152"/>
      <c r="N20" s="152"/>
      <c r="O20" s="152"/>
      <c r="P20" s="152"/>
      <c r="Q20" s="152"/>
      <c r="R20" s="152"/>
      <c r="S20" s="152"/>
      <c r="T20" s="152"/>
      <c r="U20" s="152"/>
      <c r="V20" s="152"/>
      <c r="W20" s="152"/>
      <c r="X20" s="152"/>
      <c r="Y20" s="152"/>
      <c r="Z20" s="152"/>
      <c r="AA20" s="152"/>
      <c r="AB20" s="152"/>
      <c r="AC20" s="152"/>
    </row>
    <row r="21" spans="1:29" x14ac:dyDescent="0.2">
      <c r="A21" s="152" t="s">
        <v>1310</v>
      </c>
      <c r="B21" s="152" t="s">
        <v>1299</v>
      </c>
      <c r="C21" s="152" t="s">
        <v>1300</v>
      </c>
      <c r="D21" s="152"/>
      <c r="E21" s="152"/>
      <c r="F21" s="152"/>
      <c r="G21" s="152"/>
      <c r="H21" s="152"/>
      <c r="I21" s="152"/>
      <c r="J21" s="152"/>
      <c r="K21" s="152"/>
      <c r="L21" s="152"/>
      <c r="M21" s="152"/>
      <c r="N21" s="152"/>
      <c r="O21" s="152"/>
      <c r="P21" s="152"/>
      <c r="Q21" s="152"/>
      <c r="R21" s="152"/>
      <c r="S21" s="152"/>
      <c r="T21" s="152"/>
      <c r="U21" s="152"/>
      <c r="V21" s="152"/>
      <c r="W21" s="152"/>
      <c r="X21" s="152"/>
      <c r="Y21" s="152"/>
      <c r="Z21" s="152"/>
      <c r="AA21" s="152"/>
      <c r="AB21" s="152"/>
      <c r="AC21" s="152"/>
    </row>
    <row r="22" spans="1:29" x14ac:dyDescent="0.2">
      <c r="A22" s="152"/>
      <c r="B22" s="152"/>
      <c r="C22" s="152"/>
      <c r="D22" s="152"/>
      <c r="E22" s="152"/>
      <c r="F22" s="152"/>
      <c r="G22" s="152"/>
      <c r="H22" s="152"/>
      <c r="I22" s="152"/>
      <c r="J22" s="152"/>
      <c r="K22" s="152"/>
      <c r="L22" s="152"/>
      <c r="M22" s="152"/>
      <c r="N22" s="152"/>
      <c r="O22" s="152"/>
      <c r="P22" s="152"/>
      <c r="Q22" s="152"/>
      <c r="R22" s="152"/>
      <c r="S22" s="152"/>
      <c r="T22" s="152"/>
      <c r="U22" s="152"/>
      <c r="V22" s="152"/>
      <c r="W22" s="152"/>
      <c r="X22" s="152"/>
      <c r="Y22" s="152"/>
      <c r="Z22" s="152"/>
      <c r="AA22" s="152"/>
      <c r="AB22" s="152"/>
      <c r="AC22" s="152"/>
    </row>
    <row r="23" spans="1:29" x14ac:dyDescent="0.2">
      <c r="A23" s="152"/>
      <c r="B23" s="152"/>
      <c r="C23" s="152"/>
      <c r="D23" s="152"/>
      <c r="E23" s="152"/>
      <c r="F23" s="152"/>
      <c r="G23" s="152"/>
      <c r="H23" s="152"/>
      <c r="I23" s="152"/>
      <c r="J23" s="152"/>
      <c r="K23" s="152"/>
      <c r="L23" s="152"/>
      <c r="M23" s="152"/>
      <c r="N23" s="152"/>
      <c r="O23" s="152"/>
      <c r="P23" s="152"/>
      <c r="Q23" s="152"/>
      <c r="R23" s="152"/>
      <c r="S23" s="152"/>
      <c r="T23" s="152"/>
      <c r="U23" s="152"/>
      <c r="V23" s="152"/>
      <c r="W23" s="152"/>
      <c r="X23" s="152"/>
      <c r="Y23" s="152"/>
      <c r="Z23" s="152"/>
      <c r="AA23" s="152"/>
      <c r="AB23" s="152"/>
      <c r="AC23" s="152"/>
    </row>
    <row r="24" spans="1:29" x14ac:dyDescent="0.2">
      <c r="A24" s="152"/>
      <c r="B24" s="152"/>
      <c r="C24" s="152"/>
      <c r="D24" s="152"/>
      <c r="E24" s="152"/>
      <c r="F24" s="152"/>
      <c r="G24" s="152"/>
      <c r="H24" s="152"/>
      <c r="I24" s="152"/>
      <c r="J24" s="152"/>
      <c r="K24" s="152"/>
      <c r="L24" s="152"/>
      <c r="M24" s="152"/>
      <c r="N24" s="152"/>
      <c r="O24" s="152"/>
      <c r="P24" s="152"/>
      <c r="Q24" s="152"/>
      <c r="R24" s="152"/>
      <c r="S24" s="152"/>
      <c r="T24" s="152"/>
      <c r="U24" s="152"/>
      <c r="V24" s="152"/>
      <c r="W24" s="152"/>
      <c r="X24" s="152"/>
      <c r="Y24" s="152"/>
      <c r="Z24" s="152"/>
      <c r="AA24" s="152"/>
      <c r="AB24" s="152"/>
      <c r="AC24" s="152"/>
    </row>
    <row r="25" spans="1:29" x14ac:dyDescent="0.2">
      <c r="A25" s="152"/>
      <c r="B25" s="152"/>
      <c r="C25" s="152"/>
      <c r="D25" s="152"/>
      <c r="E25" s="152"/>
      <c r="F25" s="152"/>
      <c r="G25" s="152"/>
      <c r="H25" s="152"/>
      <c r="I25" s="152"/>
      <c r="J25" s="152"/>
      <c r="K25" s="152"/>
      <c r="L25" s="152"/>
      <c r="M25" s="152"/>
      <c r="N25" s="152"/>
      <c r="O25" s="152"/>
      <c r="P25" s="152"/>
      <c r="Q25" s="152"/>
      <c r="R25" s="152"/>
      <c r="S25" s="152"/>
      <c r="T25" s="152"/>
      <c r="U25" s="152"/>
      <c r="V25" s="152"/>
      <c r="W25" s="152"/>
      <c r="X25" s="152"/>
      <c r="Y25" s="152"/>
      <c r="Z25" s="152"/>
      <c r="AA25" s="152"/>
      <c r="AB25" s="152"/>
      <c r="AC25" s="152"/>
    </row>
    <row r="26" spans="1:29" x14ac:dyDescent="0.2">
      <c r="A26" s="152"/>
      <c r="B26" s="152"/>
      <c r="C26" s="152"/>
      <c r="D26" s="152"/>
      <c r="E26" s="152"/>
      <c r="F26" s="152"/>
      <c r="G26" s="152"/>
      <c r="H26" s="152"/>
      <c r="I26" s="152"/>
      <c r="J26" s="152"/>
      <c r="K26" s="152"/>
      <c r="L26" s="152"/>
      <c r="M26" s="152"/>
      <c r="N26" s="152"/>
      <c r="O26" s="152"/>
      <c r="P26" s="152"/>
      <c r="Q26" s="152"/>
      <c r="R26" s="152"/>
      <c r="S26" s="152"/>
      <c r="T26" s="152"/>
      <c r="U26" s="152"/>
      <c r="V26" s="152"/>
      <c r="W26" s="152"/>
      <c r="X26" s="152"/>
      <c r="Y26" s="152"/>
      <c r="Z26" s="152"/>
      <c r="AA26" s="152"/>
      <c r="AB26" s="152"/>
      <c r="AC26" s="152"/>
    </row>
    <row r="27" spans="1:29" x14ac:dyDescent="0.2">
      <c r="A27" s="152"/>
      <c r="B27" s="152"/>
      <c r="C27" s="152"/>
      <c r="D27" s="152"/>
      <c r="E27" s="152"/>
      <c r="F27" s="152"/>
      <c r="G27" s="152"/>
      <c r="H27" s="152"/>
      <c r="I27" s="152"/>
      <c r="J27" s="152"/>
      <c r="K27" s="152"/>
      <c r="L27" s="152"/>
      <c r="M27" s="152"/>
      <c r="N27" s="152"/>
      <c r="O27" s="152"/>
      <c r="P27" s="152"/>
      <c r="Q27" s="152"/>
      <c r="R27" s="152"/>
      <c r="S27" s="152"/>
      <c r="T27" s="152"/>
      <c r="U27" s="152"/>
      <c r="V27" s="152"/>
      <c r="W27" s="152"/>
      <c r="X27" s="152"/>
      <c r="Y27" s="152"/>
      <c r="Z27" s="152"/>
      <c r="AA27" s="152"/>
      <c r="AB27" s="152"/>
      <c r="AC27" s="152"/>
    </row>
    <row r="28" spans="1:29" x14ac:dyDescent="0.2">
      <c r="A28" s="152"/>
      <c r="B28" s="152"/>
      <c r="C28" s="152"/>
      <c r="D28" s="152"/>
      <c r="E28" s="152"/>
      <c r="F28" s="152"/>
      <c r="G28" s="152"/>
      <c r="H28" s="152"/>
      <c r="I28" s="152"/>
      <c r="J28" s="152"/>
      <c r="K28" s="152"/>
      <c r="L28" s="152"/>
      <c r="M28" s="152"/>
      <c r="N28" s="152"/>
      <c r="O28" s="152"/>
      <c r="P28" s="152"/>
      <c r="Q28" s="152"/>
      <c r="R28" s="152"/>
      <c r="S28" s="152"/>
      <c r="T28" s="152"/>
      <c r="U28" s="152"/>
      <c r="V28" s="152"/>
      <c r="W28" s="152"/>
      <c r="X28" s="152"/>
      <c r="Y28" s="152"/>
      <c r="Z28" s="152"/>
      <c r="AA28" s="152"/>
      <c r="AB28" s="152"/>
      <c r="AC28" s="152"/>
    </row>
    <row r="29" spans="1:29" x14ac:dyDescent="0.2">
      <c r="A29" s="152"/>
      <c r="B29" s="152"/>
      <c r="C29" s="152"/>
      <c r="D29" s="152"/>
      <c r="E29" s="152"/>
      <c r="F29" s="152"/>
      <c r="G29" s="152"/>
      <c r="H29" s="152"/>
      <c r="I29" s="152"/>
      <c r="J29" s="152"/>
      <c r="K29" s="152"/>
      <c r="L29" s="152"/>
      <c r="M29" s="152"/>
      <c r="N29" s="152"/>
      <c r="O29" s="152"/>
      <c r="P29" s="152"/>
      <c r="Q29" s="152"/>
      <c r="R29" s="152"/>
      <c r="S29" s="152"/>
      <c r="T29" s="152"/>
      <c r="U29" s="152"/>
      <c r="V29" s="152"/>
      <c r="W29" s="152"/>
      <c r="X29" s="152"/>
      <c r="Y29" s="152"/>
      <c r="Z29" s="152"/>
      <c r="AA29" s="152"/>
      <c r="AB29" s="152"/>
      <c r="AC29" s="152"/>
    </row>
    <row r="30" spans="1:29" x14ac:dyDescent="0.2">
      <c r="A30" s="152"/>
      <c r="B30" s="152"/>
      <c r="C30" s="152"/>
      <c r="D30" s="152"/>
      <c r="E30" s="152"/>
      <c r="F30" s="152"/>
      <c r="G30" s="152"/>
      <c r="H30" s="152"/>
      <c r="I30" s="152"/>
      <c r="J30" s="152"/>
      <c r="K30" s="152"/>
      <c r="L30" s="152"/>
      <c r="M30" s="152"/>
      <c r="N30" s="152"/>
      <c r="O30" s="152"/>
      <c r="P30" s="152"/>
      <c r="Q30" s="152"/>
      <c r="R30" s="152"/>
      <c r="S30" s="152"/>
      <c r="T30" s="152"/>
      <c r="U30" s="152"/>
      <c r="V30" s="152"/>
      <c r="W30" s="152"/>
      <c r="X30" s="152"/>
      <c r="Y30" s="152"/>
      <c r="Z30" s="152"/>
      <c r="AA30" s="152"/>
      <c r="AB30" s="152"/>
      <c r="AC30" s="152"/>
    </row>
    <row r="31" spans="1:29" x14ac:dyDescent="0.2">
      <c r="A31" s="152"/>
      <c r="B31" s="152"/>
      <c r="C31" s="152"/>
      <c r="D31" s="152"/>
      <c r="E31" s="152"/>
      <c r="F31" s="152"/>
      <c r="G31" s="152"/>
      <c r="H31" s="152"/>
      <c r="I31" s="152"/>
      <c r="J31" s="152"/>
      <c r="K31" s="152"/>
      <c r="L31" s="152"/>
      <c r="M31" s="152"/>
      <c r="N31" s="152"/>
      <c r="O31" s="152"/>
      <c r="P31" s="152"/>
      <c r="Q31" s="152"/>
      <c r="R31" s="152"/>
      <c r="S31" s="152"/>
      <c r="T31" s="152"/>
      <c r="U31" s="152"/>
      <c r="V31" s="152"/>
      <c r="W31" s="152"/>
      <c r="X31" s="152"/>
      <c r="Y31" s="152"/>
      <c r="Z31" s="152"/>
      <c r="AA31" s="152"/>
      <c r="AB31" s="152"/>
      <c r="AC31" s="152"/>
    </row>
    <row r="32" spans="1:29" x14ac:dyDescent="0.2">
      <c r="A32" s="152"/>
      <c r="B32" s="152"/>
      <c r="C32" s="152"/>
      <c r="D32" s="152"/>
      <c r="E32" s="152"/>
      <c r="F32" s="152"/>
      <c r="G32" s="152"/>
      <c r="H32" s="152"/>
      <c r="I32" s="152"/>
      <c r="J32" s="152"/>
      <c r="K32" s="152"/>
      <c r="L32" s="152"/>
      <c r="M32" s="152"/>
      <c r="N32" s="152"/>
      <c r="O32" s="152"/>
      <c r="P32" s="152"/>
      <c r="Q32" s="152"/>
      <c r="R32" s="152"/>
      <c r="S32" s="152"/>
      <c r="T32" s="152"/>
      <c r="U32" s="152"/>
      <c r="V32" s="152"/>
      <c r="W32" s="152"/>
      <c r="X32" s="152"/>
      <c r="Y32" s="152"/>
      <c r="Z32" s="152"/>
      <c r="AA32" s="152"/>
      <c r="AB32" s="152"/>
      <c r="AC32" s="152"/>
    </row>
    <row r="33" spans="1:29" x14ac:dyDescent="0.2">
      <c r="A33" s="152"/>
      <c r="B33" s="152"/>
      <c r="C33" s="152"/>
      <c r="D33" s="152"/>
      <c r="E33" s="152"/>
      <c r="F33" s="152"/>
      <c r="G33" s="152"/>
      <c r="H33" s="152"/>
      <c r="I33" s="152"/>
      <c r="J33" s="152"/>
      <c r="K33" s="152"/>
      <c r="L33" s="152"/>
      <c r="M33" s="152"/>
      <c r="N33" s="152"/>
      <c r="O33" s="152"/>
      <c r="P33" s="152"/>
      <c r="Q33" s="152"/>
      <c r="R33" s="152"/>
      <c r="S33" s="152"/>
      <c r="T33" s="152"/>
      <c r="U33" s="152"/>
      <c r="V33" s="152"/>
      <c r="W33" s="152"/>
      <c r="X33" s="152"/>
      <c r="Y33" s="152"/>
      <c r="Z33" s="152"/>
      <c r="AA33" s="152"/>
      <c r="AB33" s="152"/>
      <c r="AC33" s="152"/>
    </row>
    <row r="34" spans="1:29" x14ac:dyDescent="0.2">
      <c r="A34" s="152"/>
      <c r="B34" s="152"/>
      <c r="C34" s="152"/>
      <c r="D34" s="152"/>
      <c r="E34" s="152"/>
      <c r="F34" s="152"/>
      <c r="G34" s="152"/>
      <c r="H34" s="152"/>
      <c r="I34" s="152"/>
      <c r="J34" s="152"/>
      <c r="K34" s="152"/>
      <c r="L34" s="152"/>
      <c r="M34" s="152"/>
      <c r="N34" s="152"/>
      <c r="O34" s="152"/>
      <c r="P34" s="152"/>
      <c r="Q34" s="152"/>
      <c r="R34" s="152"/>
      <c r="S34" s="152"/>
      <c r="T34" s="152"/>
      <c r="U34" s="152"/>
      <c r="V34" s="152"/>
      <c r="W34" s="152"/>
      <c r="X34" s="152"/>
      <c r="Y34" s="152"/>
      <c r="Z34" s="152"/>
      <c r="AA34" s="152"/>
      <c r="AB34" s="152"/>
      <c r="AC34" s="152"/>
    </row>
    <row r="35" spans="1:29" x14ac:dyDescent="0.2">
      <c r="A35" s="152"/>
      <c r="B35" s="152"/>
      <c r="C35" s="152"/>
      <c r="D35" s="152"/>
      <c r="E35" s="152"/>
      <c r="F35" s="152"/>
      <c r="G35" s="152"/>
      <c r="H35" s="152"/>
      <c r="I35" s="152"/>
      <c r="J35" s="152"/>
      <c r="K35" s="152"/>
      <c r="L35" s="152"/>
      <c r="M35" s="152"/>
      <c r="N35" s="152"/>
      <c r="O35" s="152"/>
      <c r="P35" s="152"/>
      <c r="Q35" s="152"/>
      <c r="R35" s="152"/>
      <c r="S35" s="152"/>
      <c r="T35" s="152"/>
      <c r="U35" s="152"/>
      <c r="V35" s="152"/>
      <c r="W35" s="152"/>
      <c r="X35" s="152"/>
      <c r="Y35" s="152"/>
      <c r="Z35" s="152"/>
      <c r="AA35" s="152"/>
      <c r="AB35" s="152"/>
      <c r="AC35" s="152"/>
    </row>
    <row r="36" spans="1:29" x14ac:dyDescent="0.2">
      <c r="A36" s="152"/>
      <c r="B36" s="152"/>
      <c r="C36" s="152"/>
      <c r="D36" s="152"/>
      <c r="E36" s="152"/>
      <c r="F36" s="152"/>
      <c r="G36" s="152"/>
      <c r="H36" s="152"/>
      <c r="I36" s="152"/>
      <c r="J36" s="152"/>
      <c r="K36" s="152"/>
      <c r="L36" s="152"/>
      <c r="M36" s="152"/>
      <c r="N36" s="152"/>
      <c r="O36" s="152"/>
      <c r="P36" s="152"/>
      <c r="Q36" s="152"/>
      <c r="R36" s="152"/>
      <c r="S36" s="152"/>
      <c r="T36" s="152"/>
      <c r="U36" s="152"/>
      <c r="V36" s="152"/>
      <c r="W36" s="152"/>
      <c r="X36" s="152"/>
      <c r="Y36" s="152"/>
      <c r="Z36" s="152"/>
      <c r="AA36" s="152"/>
      <c r="AB36" s="152"/>
      <c r="AC36" s="152"/>
    </row>
    <row r="37" spans="1:29" x14ac:dyDescent="0.2">
      <c r="A37" s="152"/>
      <c r="B37" s="152"/>
      <c r="C37" s="152"/>
      <c r="D37" s="152"/>
      <c r="E37" s="152"/>
      <c r="F37" s="152"/>
      <c r="G37" s="152"/>
      <c r="H37" s="152"/>
      <c r="I37" s="152"/>
      <c r="J37" s="152"/>
      <c r="K37" s="152"/>
      <c r="L37" s="152"/>
      <c r="M37" s="152"/>
      <c r="N37" s="152"/>
      <c r="O37" s="152"/>
      <c r="P37" s="152"/>
      <c r="Q37" s="152"/>
      <c r="R37" s="152"/>
      <c r="S37" s="152"/>
      <c r="T37" s="152"/>
      <c r="U37" s="152"/>
      <c r="V37" s="152"/>
      <c r="W37" s="152"/>
      <c r="X37" s="152"/>
      <c r="Y37" s="152"/>
      <c r="Z37" s="152"/>
      <c r="AA37" s="152"/>
      <c r="AB37" s="152"/>
      <c r="AC37" s="152"/>
    </row>
    <row r="38" spans="1:29" x14ac:dyDescent="0.2">
      <c r="A38" s="152"/>
      <c r="B38" s="152"/>
      <c r="C38" s="152"/>
      <c r="D38" s="152"/>
      <c r="E38" s="152"/>
      <c r="F38" s="152"/>
      <c r="G38" s="152"/>
      <c r="H38" s="152"/>
      <c r="I38" s="152"/>
      <c r="J38" s="152"/>
      <c r="K38" s="152"/>
      <c r="L38" s="152"/>
      <c r="M38" s="152"/>
      <c r="N38" s="152"/>
      <c r="O38" s="152"/>
      <c r="P38" s="152"/>
      <c r="Q38" s="152"/>
      <c r="R38" s="152"/>
      <c r="S38" s="152"/>
      <c r="T38" s="152"/>
      <c r="U38" s="152"/>
      <c r="V38" s="152"/>
      <c r="W38" s="152"/>
      <c r="X38" s="152"/>
      <c r="Y38" s="152"/>
      <c r="Z38" s="152"/>
      <c r="AA38" s="152"/>
      <c r="AB38" s="152"/>
      <c r="AC38" s="152"/>
    </row>
    <row r="39" spans="1:29" x14ac:dyDescent="0.2">
      <c r="A39" s="152"/>
      <c r="B39" s="152"/>
      <c r="C39" s="152"/>
      <c r="D39" s="152"/>
      <c r="E39" s="152"/>
      <c r="F39" s="152"/>
      <c r="G39" s="152"/>
      <c r="H39" s="152"/>
      <c r="I39" s="152"/>
      <c r="J39" s="152"/>
      <c r="K39" s="152"/>
      <c r="L39" s="152"/>
      <c r="M39" s="152"/>
      <c r="N39" s="152"/>
      <c r="O39" s="152"/>
      <c r="P39" s="152"/>
      <c r="Q39" s="152"/>
      <c r="R39" s="152"/>
      <c r="S39" s="152"/>
      <c r="T39" s="152"/>
      <c r="U39" s="152"/>
      <c r="V39" s="152"/>
      <c r="W39" s="152"/>
      <c r="X39" s="152"/>
      <c r="Y39" s="152"/>
      <c r="Z39" s="152"/>
      <c r="AA39" s="152"/>
      <c r="AB39" s="152"/>
      <c r="AC39" s="152"/>
    </row>
    <row r="40" spans="1:29" x14ac:dyDescent="0.2">
      <c r="A40" s="152"/>
      <c r="B40" s="152"/>
      <c r="C40" s="152"/>
      <c r="D40" s="152"/>
      <c r="E40" s="152"/>
      <c r="F40" s="152"/>
      <c r="G40" s="152"/>
      <c r="H40" s="152"/>
      <c r="I40" s="152"/>
      <c r="J40" s="152"/>
      <c r="K40" s="152"/>
      <c r="L40" s="152"/>
      <c r="M40" s="152"/>
      <c r="N40" s="152"/>
      <c r="O40" s="152"/>
      <c r="P40" s="152"/>
      <c r="Q40" s="152"/>
      <c r="R40" s="152"/>
      <c r="S40" s="152"/>
      <c r="T40" s="152"/>
      <c r="U40" s="152"/>
      <c r="V40" s="152"/>
      <c r="W40" s="152"/>
      <c r="X40" s="152"/>
      <c r="Y40" s="152"/>
      <c r="Z40" s="152"/>
      <c r="AA40" s="152"/>
      <c r="AB40" s="152"/>
      <c r="AC40" s="152"/>
    </row>
    <row r="41" spans="1:29" x14ac:dyDescent="0.2">
      <c r="A41" s="152"/>
      <c r="B41" s="152"/>
      <c r="C41" s="152"/>
      <c r="D41" s="152"/>
      <c r="E41" s="152"/>
      <c r="F41" s="152"/>
      <c r="G41" s="152"/>
      <c r="H41" s="152"/>
      <c r="I41" s="152"/>
      <c r="J41" s="152"/>
      <c r="K41" s="152"/>
      <c r="L41" s="152"/>
      <c r="M41" s="152"/>
      <c r="N41" s="152"/>
      <c r="O41" s="152"/>
      <c r="P41" s="152"/>
      <c r="Q41" s="152"/>
      <c r="R41" s="152"/>
      <c r="S41" s="152"/>
      <c r="T41" s="152"/>
      <c r="U41" s="152"/>
      <c r="V41" s="152"/>
      <c r="W41" s="152"/>
      <c r="X41" s="152"/>
      <c r="Y41" s="152"/>
      <c r="Z41" s="152"/>
      <c r="AA41" s="152"/>
      <c r="AB41" s="152"/>
      <c r="AC41" s="152"/>
    </row>
    <row r="42" spans="1:29" x14ac:dyDescent="0.2">
      <c r="A42" s="152"/>
      <c r="B42" s="152"/>
      <c r="C42" s="152"/>
      <c r="D42" s="152"/>
      <c r="E42" s="152"/>
      <c r="F42" s="152"/>
      <c r="G42" s="152"/>
      <c r="H42" s="152"/>
      <c r="I42" s="152"/>
      <c r="J42" s="152"/>
      <c r="K42" s="152"/>
      <c r="L42" s="152"/>
      <c r="M42" s="152"/>
      <c r="N42" s="152"/>
      <c r="O42" s="152"/>
      <c r="P42" s="152"/>
      <c r="Q42" s="152"/>
      <c r="R42" s="152"/>
      <c r="S42" s="152"/>
      <c r="T42" s="152"/>
      <c r="U42" s="152"/>
      <c r="V42" s="152"/>
      <c r="W42" s="152"/>
      <c r="X42" s="152"/>
      <c r="Y42" s="152"/>
      <c r="Z42" s="152"/>
      <c r="AA42" s="152"/>
      <c r="AB42" s="152"/>
      <c r="AC42" s="152"/>
    </row>
    <row r="43" spans="1:29" x14ac:dyDescent="0.2">
      <c r="A43" s="152"/>
      <c r="B43" s="152"/>
      <c r="C43" s="152"/>
      <c r="D43" s="152"/>
      <c r="E43" s="152"/>
      <c r="F43" s="152"/>
      <c r="G43" s="152"/>
      <c r="H43" s="152"/>
      <c r="I43" s="152"/>
      <c r="J43" s="152"/>
      <c r="K43" s="152"/>
      <c r="L43" s="152"/>
      <c r="M43" s="152"/>
      <c r="N43" s="152"/>
      <c r="O43" s="152"/>
      <c r="P43" s="152"/>
      <c r="Q43" s="152"/>
      <c r="R43" s="152"/>
      <c r="S43" s="152"/>
      <c r="T43" s="152"/>
      <c r="U43" s="152"/>
      <c r="V43" s="152"/>
      <c r="W43" s="152"/>
      <c r="X43" s="152"/>
      <c r="Y43" s="152"/>
      <c r="Z43" s="152"/>
      <c r="AA43" s="152"/>
      <c r="AB43" s="152"/>
      <c r="AC43" s="152"/>
    </row>
    <row r="44" spans="1:29" x14ac:dyDescent="0.2">
      <c r="A44" s="152"/>
      <c r="B44" s="152"/>
      <c r="C44" s="152"/>
      <c r="D44" s="152"/>
      <c r="E44" s="152"/>
      <c r="F44" s="152"/>
      <c r="G44" s="152"/>
      <c r="H44" s="152"/>
      <c r="I44" s="152"/>
      <c r="J44" s="152"/>
      <c r="K44" s="152"/>
      <c r="L44" s="152"/>
      <c r="M44" s="152"/>
      <c r="N44" s="152"/>
      <c r="O44" s="152"/>
      <c r="P44" s="152"/>
      <c r="Q44" s="152"/>
      <c r="R44" s="152"/>
      <c r="S44" s="152"/>
      <c r="T44" s="152"/>
      <c r="U44" s="152"/>
      <c r="V44" s="152"/>
      <c r="W44" s="152"/>
      <c r="X44" s="152"/>
      <c r="Y44" s="152"/>
      <c r="Z44" s="152"/>
      <c r="AA44" s="152"/>
      <c r="AB44" s="152"/>
      <c r="AC44" s="152"/>
    </row>
    <row r="45" spans="1:29" x14ac:dyDescent="0.2">
      <c r="A45" s="152"/>
      <c r="B45" s="152"/>
      <c r="C45" s="152"/>
      <c r="D45" s="152"/>
      <c r="E45" s="152"/>
      <c r="F45" s="152"/>
      <c r="G45" s="152"/>
      <c r="H45" s="152"/>
      <c r="I45" s="152"/>
      <c r="J45" s="152"/>
      <c r="K45" s="152"/>
      <c r="L45" s="152"/>
      <c r="M45" s="152"/>
      <c r="N45" s="152"/>
      <c r="O45" s="152"/>
      <c r="P45" s="152"/>
      <c r="Q45" s="152"/>
      <c r="R45" s="152"/>
      <c r="S45" s="152"/>
      <c r="T45" s="152"/>
      <c r="U45" s="152"/>
      <c r="V45" s="152"/>
      <c r="W45" s="152"/>
      <c r="X45" s="152"/>
      <c r="Y45" s="152"/>
      <c r="Z45" s="152"/>
      <c r="AA45" s="152"/>
      <c r="AB45" s="152"/>
      <c r="AC45" s="152"/>
    </row>
    <row r="46" spans="1:29" x14ac:dyDescent="0.2">
      <c r="A46" s="152"/>
      <c r="B46" s="152"/>
      <c r="C46" s="152"/>
      <c r="D46" s="152"/>
      <c r="E46" s="152"/>
      <c r="F46" s="152"/>
      <c r="G46" s="152"/>
      <c r="H46" s="152"/>
      <c r="I46" s="152"/>
      <c r="J46" s="152"/>
      <c r="K46" s="152"/>
      <c r="L46" s="152"/>
      <c r="M46" s="152"/>
      <c r="N46" s="152"/>
      <c r="O46" s="152"/>
      <c r="P46" s="152"/>
      <c r="Q46" s="152"/>
      <c r="R46" s="152"/>
      <c r="S46" s="152"/>
      <c r="T46" s="152"/>
      <c r="U46" s="152"/>
      <c r="V46" s="152"/>
      <c r="W46" s="152"/>
      <c r="X46" s="152"/>
      <c r="Y46" s="152"/>
      <c r="Z46" s="152"/>
      <c r="AA46" s="152"/>
      <c r="AB46" s="152"/>
      <c r="AC46" s="152"/>
    </row>
    <row r="47" spans="1:29" x14ac:dyDescent="0.2">
      <c r="A47" s="152"/>
      <c r="B47" s="152"/>
      <c r="C47" s="152"/>
      <c r="D47" s="152"/>
      <c r="E47" s="152"/>
      <c r="F47" s="152"/>
      <c r="G47" s="152"/>
      <c r="H47" s="152"/>
      <c r="I47" s="152"/>
      <c r="J47" s="152"/>
      <c r="K47" s="152"/>
      <c r="L47" s="152"/>
      <c r="M47" s="152"/>
      <c r="N47" s="152"/>
      <c r="O47" s="152"/>
      <c r="P47" s="152"/>
      <c r="Q47" s="152"/>
      <c r="R47" s="152"/>
      <c r="S47" s="152"/>
      <c r="T47" s="152"/>
      <c r="U47" s="152"/>
      <c r="V47" s="152"/>
      <c r="W47" s="152"/>
      <c r="X47" s="152"/>
      <c r="Y47" s="152"/>
      <c r="Z47" s="152"/>
      <c r="AA47" s="152"/>
      <c r="AB47" s="152"/>
      <c r="AC47" s="152"/>
    </row>
    <row r="48" spans="1:29" x14ac:dyDescent="0.2">
      <c r="A48" s="152"/>
      <c r="B48" s="152"/>
      <c r="C48" s="152"/>
      <c r="D48" s="152"/>
      <c r="E48" s="152"/>
      <c r="F48" s="152"/>
      <c r="G48" s="152"/>
      <c r="H48" s="152"/>
      <c r="I48" s="152"/>
      <c r="J48" s="152"/>
      <c r="K48" s="152"/>
      <c r="L48" s="152"/>
      <c r="M48" s="152"/>
      <c r="N48" s="152"/>
      <c r="O48" s="152"/>
      <c r="P48" s="152"/>
      <c r="Q48" s="152"/>
      <c r="R48" s="152"/>
      <c r="S48" s="152"/>
      <c r="T48" s="152"/>
      <c r="U48" s="152"/>
      <c r="V48" s="152"/>
      <c r="W48" s="152"/>
      <c r="X48" s="152"/>
      <c r="Y48" s="152"/>
      <c r="Z48" s="152"/>
      <c r="AA48" s="152"/>
      <c r="AB48" s="152"/>
      <c r="AC48" s="152"/>
    </row>
    <row r="49" spans="1:29" x14ac:dyDescent="0.2">
      <c r="A49" s="152"/>
      <c r="B49" s="152"/>
      <c r="C49" s="152"/>
      <c r="D49" s="152"/>
      <c r="E49" s="152"/>
      <c r="F49" s="152"/>
      <c r="G49" s="152"/>
      <c r="H49" s="152"/>
      <c r="I49" s="152"/>
      <c r="J49" s="152"/>
      <c r="K49" s="152"/>
      <c r="L49" s="152"/>
      <c r="M49" s="152"/>
      <c r="N49" s="152"/>
      <c r="O49" s="152"/>
      <c r="P49" s="152"/>
      <c r="Q49" s="152"/>
      <c r="R49" s="152"/>
      <c r="S49" s="152"/>
      <c r="T49" s="152"/>
      <c r="U49" s="152"/>
      <c r="V49" s="152"/>
      <c r="W49" s="152"/>
      <c r="X49" s="152"/>
      <c r="Y49" s="152"/>
      <c r="Z49" s="152"/>
      <c r="AA49" s="152"/>
      <c r="AB49" s="152"/>
      <c r="AC49" s="152"/>
    </row>
    <row r="50" spans="1:29" x14ac:dyDescent="0.2">
      <c r="A50" s="152"/>
      <c r="B50" s="152"/>
      <c r="C50" s="152"/>
      <c r="D50" s="152"/>
      <c r="E50" s="152"/>
      <c r="F50" s="152"/>
      <c r="G50" s="152"/>
      <c r="H50" s="152"/>
      <c r="I50" s="152"/>
      <c r="J50" s="152"/>
      <c r="K50" s="152"/>
      <c r="L50" s="152"/>
      <c r="M50" s="152"/>
      <c r="N50" s="152"/>
      <c r="O50" s="152"/>
      <c r="P50" s="152"/>
      <c r="Q50" s="152"/>
      <c r="R50" s="152"/>
      <c r="S50" s="152"/>
      <c r="T50" s="152"/>
      <c r="U50" s="152"/>
      <c r="V50" s="152"/>
      <c r="W50" s="152"/>
      <c r="X50" s="152"/>
      <c r="Y50" s="152"/>
      <c r="Z50" s="152"/>
      <c r="AA50" s="152"/>
      <c r="AB50" s="152"/>
      <c r="AC50" s="152"/>
    </row>
    <row r="51" spans="1:29" x14ac:dyDescent="0.2">
      <c r="A51" s="152"/>
      <c r="B51" s="152"/>
      <c r="C51" s="152"/>
      <c r="D51" s="152"/>
      <c r="E51" s="152"/>
      <c r="F51" s="152"/>
      <c r="G51" s="152"/>
      <c r="H51" s="152"/>
      <c r="I51" s="152"/>
      <c r="J51" s="152"/>
      <c r="K51" s="152"/>
      <c r="L51" s="152"/>
      <c r="M51" s="152"/>
      <c r="N51" s="152"/>
      <c r="O51" s="152"/>
      <c r="P51" s="152"/>
      <c r="Q51" s="152"/>
      <c r="R51" s="152"/>
      <c r="S51" s="152"/>
      <c r="T51" s="152"/>
      <c r="U51" s="152"/>
      <c r="V51" s="152"/>
      <c r="W51" s="152"/>
      <c r="X51" s="152"/>
      <c r="Y51" s="152"/>
      <c r="Z51" s="152"/>
      <c r="AA51" s="152"/>
      <c r="AB51" s="152"/>
      <c r="AC51" s="152"/>
    </row>
    <row r="52" spans="1:29" x14ac:dyDescent="0.2">
      <c r="A52" s="152"/>
      <c r="B52" s="152"/>
      <c r="C52" s="152"/>
      <c r="D52" s="152"/>
      <c r="E52" s="152"/>
      <c r="F52" s="152"/>
      <c r="G52" s="152"/>
      <c r="H52" s="152"/>
      <c r="I52" s="152"/>
      <c r="J52" s="152"/>
      <c r="K52" s="152"/>
      <c r="L52" s="152"/>
      <c r="M52" s="152"/>
      <c r="N52" s="152"/>
      <c r="O52" s="152"/>
      <c r="P52" s="152"/>
      <c r="Q52" s="152"/>
      <c r="R52" s="152"/>
      <c r="S52" s="152"/>
      <c r="T52" s="152"/>
      <c r="U52" s="152"/>
      <c r="V52" s="152"/>
      <c r="W52" s="152"/>
      <c r="X52" s="152"/>
      <c r="Y52" s="152"/>
      <c r="Z52" s="152"/>
      <c r="AA52" s="152"/>
      <c r="AB52" s="152"/>
      <c r="AC52" s="152"/>
    </row>
    <row r="53" spans="1:29" x14ac:dyDescent="0.2">
      <c r="A53" s="152"/>
      <c r="B53" s="152"/>
      <c r="C53" s="152"/>
      <c r="D53" s="152"/>
      <c r="E53" s="152"/>
      <c r="F53" s="152"/>
      <c r="G53" s="152"/>
      <c r="H53" s="152"/>
      <c r="I53" s="152"/>
      <c r="J53" s="152"/>
      <c r="K53" s="152"/>
      <c r="L53" s="152"/>
      <c r="M53" s="152"/>
      <c r="N53" s="152"/>
      <c r="O53" s="152"/>
      <c r="P53" s="152"/>
      <c r="Q53" s="152"/>
      <c r="R53" s="152"/>
      <c r="S53" s="152"/>
      <c r="T53" s="152"/>
      <c r="U53" s="152"/>
      <c r="V53" s="152"/>
      <c r="W53" s="152"/>
      <c r="X53" s="152"/>
      <c r="Y53" s="152"/>
      <c r="Z53" s="152"/>
      <c r="AA53" s="152"/>
      <c r="AB53" s="152"/>
      <c r="AC53" s="152"/>
    </row>
    <row r="54" spans="1:29" x14ac:dyDescent="0.2">
      <c r="A54" s="152"/>
      <c r="B54" s="152"/>
      <c r="C54" s="152"/>
      <c r="D54" s="152"/>
      <c r="E54" s="152"/>
      <c r="F54" s="152"/>
      <c r="G54" s="152"/>
      <c r="H54" s="152"/>
      <c r="I54" s="152"/>
      <c r="J54" s="152"/>
      <c r="K54" s="152"/>
      <c r="L54" s="152"/>
      <c r="M54" s="152"/>
      <c r="N54" s="152"/>
      <c r="O54" s="152"/>
      <c r="P54" s="152"/>
      <c r="Q54" s="152"/>
      <c r="R54" s="152"/>
      <c r="S54" s="152"/>
      <c r="T54" s="152"/>
      <c r="U54" s="152"/>
      <c r="V54" s="152"/>
      <c r="W54" s="152"/>
      <c r="X54" s="152"/>
      <c r="Y54" s="152"/>
      <c r="Z54" s="152"/>
      <c r="AA54" s="152"/>
      <c r="AB54" s="152"/>
      <c r="AC54" s="152"/>
    </row>
    <row r="55" spans="1:29" x14ac:dyDescent="0.2">
      <c r="A55" s="152"/>
      <c r="B55" s="152"/>
      <c r="C55" s="152"/>
      <c r="D55" s="152"/>
      <c r="E55" s="152"/>
      <c r="F55" s="152"/>
      <c r="G55" s="152"/>
      <c r="H55" s="152"/>
      <c r="I55" s="152"/>
      <c r="J55" s="152"/>
      <c r="K55" s="152"/>
      <c r="L55" s="152"/>
      <c r="M55" s="152"/>
      <c r="N55" s="152"/>
      <c r="O55" s="152"/>
      <c r="P55" s="152"/>
      <c r="Q55" s="152"/>
      <c r="R55" s="152"/>
      <c r="S55" s="152"/>
      <c r="T55" s="152"/>
      <c r="U55" s="152"/>
      <c r="V55" s="152"/>
      <c r="W55" s="152"/>
      <c r="X55" s="152"/>
      <c r="Y55" s="152"/>
      <c r="Z55" s="152"/>
      <c r="AA55" s="152"/>
      <c r="AB55" s="152"/>
      <c r="AC55" s="152"/>
    </row>
    <row r="56" spans="1:29" x14ac:dyDescent="0.2">
      <c r="A56" s="152"/>
      <c r="B56" s="152"/>
      <c r="C56" s="152"/>
      <c r="D56" s="152"/>
      <c r="E56" s="152"/>
      <c r="F56" s="152"/>
      <c r="G56" s="152"/>
      <c r="H56" s="152"/>
      <c r="I56" s="152"/>
      <c r="J56" s="152"/>
      <c r="K56" s="152"/>
      <c r="L56" s="152"/>
      <c r="M56" s="152"/>
      <c r="N56" s="152"/>
      <c r="O56" s="152"/>
      <c r="P56" s="152"/>
      <c r="Q56" s="152"/>
      <c r="R56" s="152"/>
      <c r="S56" s="152"/>
      <c r="T56" s="152"/>
      <c r="U56" s="152"/>
      <c r="V56" s="152"/>
      <c r="W56" s="152"/>
      <c r="X56" s="152"/>
      <c r="Y56" s="152"/>
      <c r="Z56" s="152"/>
      <c r="AA56" s="152"/>
      <c r="AB56" s="152"/>
      <c r="AC56" s="152"/>
    </row>
    <row r="57" spans="1:29" x14ac:dyDescent="0.2">
      <c r="A57" s="152"/>
      <c r="B57" s="152"/>
      <c r="C57" s="152"/>
      <c r="D57" s="152"/>
      <c r="E57" s="152"/>
      <c r="F57" s="152"/>
      <c r="G57" s="152"/>
      <c r="H57" s="152"/>
      <c r="I57" s="152"/>
      <c r="J57" s="152"/>
      <c r="K57" s="152"/>
      <c r="L57" s="152"/>
      <c r="M57" s="152"/>
      <c r="N57" s="152"/>
      <c r="O57" s="152"/>
      <c r="P57" s="152"/>
      <c r="Q57" s="152"/>
      <c r="R57" s="152"/>
      <c r="S57" s="152"/>
      <c r="T57" s="152"/>
      <c r="U57" s="152"/>
      <c r="V57" s="152"/>
      <c r="W57" s="152"/>
      <c r="X57" s="152"/>
      <c r="Y57" s="152"/>
      <c r="Z57" s="152"/>
      <c r="AA57" s="152"/>
      <c r="AB57" s="152"/>
      <c r="AC57" s="152"/>
    </row>
    <row r="58" spans="1:29" x14ac:dyDescent="0.2">
      <c r="A58" s="152"/>
      <c r="B58" s="152"/>
      <c r="C58" s="152"/>
      <c r="D58" s="152"/>
      <c r="E58" s="152"/>
      <c r="F58" s="152"/>
      <c r="G58" s="152"/>
      <c r="H58" s="152"/>
      <c r="I58" s="152"/>
      <c r="J58" s="152"/>
      <c r="K58" s="152"/>
      <c r="L58" s="152"/>
      <c r="M58" s="152"/>
      <c r="N58" s="152"/>
      <c r="O58" s="152"/>
      <c r="P58" s="152"/>
      <c r="Q58" s="152"/>
      <c r="R58" s="152"/>
      <c r="S58" s="152"/>
      <c r="T58" s="152"/>
      <c r="U58" s="152"/>
      <c r="V58" s="152"/>
      <c r="W58" s="152"/>
      <c r="X58" s="152"/>
      <c r="Y58" s="152"/>
      <c r="Z58" s="152"/>
      <c r="AA58" s="152"/>
      <c r="AB58" s="152"/>
      <c r="AC58" s="152"/>
    </row>
    <row r="59" spans="1:29" x14ac:dyDescent="0.2">
      <c r="A59" s="152"/>
      <c r="B59" s="152"/>
      <c r="C59" s="152"/>
      <c r="D59" s="152"/>
      <c r="E59" s="152"/>
      <c r="F59" s="152"/>
      <c r="G59" s="152"/>
      <c r="H59" s="152"/>
      <c r="I59" s="152"/>
      <c r="J59" s="152"/>
      <c r="K59" s="152"/>
      <c r="L59" s="152"/>
      <c r="M59" s="152"/>
      <c r="N59" s="152"/>
      <c r="O59" s="152"/>
      <c r="P59" s="152"/>
      <c r="Q59" s="152"/>
      <c r="R59" s="152"/>
      <c r="S59" s="152"/>
      <c r="T59" s="152"/>
      <c r="U59" s="152"/>
      <c r="V59" s="152"/>
      <c r="W59" s="152"/>
      <c r="X59" s="152"/>
      <c r="Y59" s="152"/>
      <c r="Z59" s="152"/>
      <c r="AA59" s="152"/>
      <c r="AB59" s="152"/>
      <c r="AC59" s="152"/>
    </row>
    <row r="60" spans="1:29" x14ac:dyDescent="0.2">
      <c r="A60" s="152"/>
      <c r="B60" s="152"/>
      <c r="C60" s="152"/>
      <c r="D60" s="152"/>
      <c r="E60" s="152"/>
      <c r="F60" s="152"/>
      <c r="G60" s="152"/>
      <c r="H60" s="152"/>
      <c r="I60" s="152"/>
      <c r="J60" s="152"/>
      <c r="K60" s="152"/>
      <c r="L60" s="152"/>
      <c r="M60" s="152"/>
      <c r="N60" s="152"/>
      <c r="O60" s="152"/>
      <c r="P60" s="152"/>
      <c r="Q60" s="152"/>
      <c r="R60" s="152"/>
      <c r="S60" s="152"/>
      <c r="T60" s="152"/>
      <c r="U60" s="152"/>
      <c r="V60" s="152"/>
      <c r="W60" s="152"/>
      <c r="X60" s="152"/>
      <c r="Y60" s="152"/>
      <c r="Z60" s="152"/>
      <c r="AA60" s="152"/>
      <c r="AB60" s="152"/>
      <c r="AC60" s="152"/>
    </row>
    <row r="61" spans="1:29" x14ac:dyDescent="0.2">
      <c r="A61" s="152"/>
      <c r="B61" s="152"/>
      <c r="C61" s="152"/>
      <c r="D61" s="152"/>
      <c r="E61" s="152"/>
      <c r="F61" s="152"/>
      <c r="G61" s="152"/>
      <c r="H61" s="152"/>
      <c r="I61" s="152"/>
      <c r="J61" s="152"/>
      <c r="K61" s="152"/>
      <c r="L61" s="152"/>
      <c r="M61" s="152"/>
      <c r="N61" s="152"/>
      <c r="O61" s="152"/>
      <c r="P61" s="152"/>
      <c r="Q61" s="152"/>
      <c r="R61" s="152"/>
      <c r="S61" s="152"/>
      <c r="T61" s="152"/>
      <c r="U61" s="152"/>
      <c r="V61" s="152"/>
      <c r="W61" s="152"/>
      <c r="X61" s="152"/>
      <c r="Y61" s="152"/>
      <c r="Z61" s="152"/>
      <c r="AA61" s="152"/>
      <c r="AB61" s="152"/>
      <c r="AC61" s="152"/>
    </row>
    <row r="62" spans="1:29" x14ac:dyDescent="0.2">
      <c r="A62" s="152"/>
      <c r="B62" s="152"/>
      <c r="C62" s="152"/>
      <c r="D62" s="152"/>
      <c r="E62" s="152"/>
      <c r="F62" s="152"/>
      <c r="G62" s="152"/>
      <c r="H62" s="152"/>
      <c r="I62" s="152"/>
      <c r="J62" s="152"/>
      <c r="K62" s="152"/>
      <c r="L62" s="152"/>
      <c r="M62" s="152"/>
      <c r="N62" s="152"/>
      <c r="O62" s="152"/>
      <c r="P62" s="152"/>
      <c r="Q62" s="152"/>
      <c r="R62" s="152"/>
      <c r="S62" s="152"/>
      <c r="T62" s="152"/>
      <c r="U62" s="152"/>
      <c r="V62" s="152"/>
      <c r="W62" s="152"/>
      <c r="X62" s="152"/>
      <c r="Y62" s="152"/>
      <c r="Z62" s="152"/>
      <c r="AA62" s="152"/>
      <c r="AB62" s="152"/>
      <c r="AC62" s="152"/>
    </row>
    <row r="63" spans="1:29" x14ac:dyDescent="0.2">
      <c r="A63" s="152"/>
      <c r="B63" s="152"/>
      <c r="C63" s="152"/>
      <c r="D63" s="152"/>
      <c r="E63" s="152"/>
      <c r="F63" s="152"/>
      <c r="G63" s="152"/>
      <c r="H63" s="152"/>
      <c r="I63" s="152"/>
      <c r="J63" s="152"/>
      <c r="K63" s="152"/>
      <c r="L63" s="152"/>
      <c r="M63" s="152"/>
      <c r="N63" s="152"/>
      <c r="O63" s="152"/>
      <c r="P63" s="152"/>
      <c r="Q63" s="152"/>
      <c r="R63" s="152"/>
      <c r="S63" s="152"/>
      <c r="T63" s="152"/>
      <c r="U63" s="152"/>
      <c r="V63" s="152"/>
      <c r="W63" s="152"/>
      <c r="X63" s="152"/>
      <c r="Y63" s="152"/>
      <c r="Z63" s="152"/>
      <c r="AA63" s="152"/>
      <c r="AB63" s="152"/>
      <c r="AC63" s="152"/>
    </row>
    <row r="64" spans="1:29" x14ac:dyDescent="0.2">
      <c r="A64" s="152"/>
      <c r="B64" s="152"/>
      <c r="C64" s="152"/>
      <c r="D64" s="152"/>
      <c r="E64" s="152"/>
      <c r="F64" s="152"/>
      <c r="G64" s="152"/>
      <c r="H64" s="152"/>
      <c r="I64" s="152"/>
      <c r="J64" s="152"/>
      <c r="K64" s="152"/>
      <c r="L64" s="152"/>
      <c r="M64" s="152"/>
      <c r="N64" s="152"/>
      <c r="O64" s="152"/>
      <c r="P64" s="152"/>
      <c r="Q64" s="152"/>
      <c r="R64" s="152"/>
      <c r="S64" s="152"/>
      <c r="T64" s="152"/>
      <c r="U64" s="152"/>
      <c r="V64" s="152"/>
      <c r="W64" s="152"/>
      <c r="X64" s="152"/>
      <c r="Y64" s="152"/>
      <c r="Z64" s="152"/>
      <c r="AA64" s="152"/>
      <c r="AB64" s="152"/>
      <c r="AC64" s="152"/>
    </row>
    <row r="65" spans="1:29" x14ac:dyDescent="0.2">
      <c r="A65" s="152"/>
      <c r="B65" s="152"/>
      <c r="C65" s="152"/>
      <c r="D65" s="152"/>
      <c r="E65" s="152"/>
      <c r="F65" s="152"/>
      <c r="G65" s="152"/>
      <c r="H65" s="152"/>
      <c r="I65" s="152"/>
      <c r="J65" s="152"/>
      <c r="K65" s="152"/>
      <c r="L65" s="152"/>
      <c r="M65" s="152"/>
      <c r="N65" s="152"/>
      <c r="O65" s="152"/>
      <c r="P65" s="152"/>
      <c r="Q65" s="152"/>
      <c r="R65" s="152"/>
      <c r="S65" s="152"/>
      <c r="T65" s="152"/>
      <c r="U65" s="152"/>
      <c r="V65" s="152"/>
      <c r="W65" s="152"/>
      <c r="X65" s="152"/>
      <c r="Y65" s="152"/>
      <c r="Z65" s="152"/>
      <c r="AA65" s="152"/>
      <c r="AB65" s="152"/>
      <c r="AC65" s="152"/>
    </row>
    <row r="66" spans="1:29" x14ac:dyDescent="0.2">
      <c r="A66" s="152"/>
      <c r="B66" s="152"/>
      <c r="C66" s="152"/>
      <c r="D66" s="152"/>
      <c r="E66" s="152"/>
      <c r="F66" s="152"/>
      <c r="G66" s="152"/>
      <c r="H66" s="152"/>
      <c r="I66" s="152"/>
      <c r="J66" s="152"/>
      <c r="K66" s="152"/>
      <c r="L66" s="152"/>
      <c r="M66" s="152"/>
      <c r="N66" s="152"/>
      <c r="O66" s="152"/>
      <c r="P66" s="152"/>
      <c r="Q66" s="152"/>
      <c r="R66" s="152"/>
      <c r="S66" s="152"/>
      <c r="T66" s="152"/>
      <c r="U66" s="152"/>
      <c r="V66" s="152"/>
      <c r="W66" s="152"/>
      <c r="X66" s="152"/>
      <c r="Y66" s="152"/>
      <c r="Z66" s="152"/>
      <c r="AA66" s="152"/>
      <c r="AB66" s="152"/>
      <c r="AC66" s="152"/>
    </row>
    <row r="67" spans="1:29" x14ac:dyDescent="0.2">
      <c r="A67" s="152"/>
      <c r="B67" s="152"/>
      <c r="C67" s="152"/>
      <c r="D67" s="152"/>
      <c r="E67" s="152"/>
      <c r="F67" s="152"/>
      <c r="G67" s="152"/>
      <c r="H67" s="152"/>
      <c r="I67" s="152"/>
      <c r="J67" s="152"/>
      <c r="K67" s="152"/>
      <c r="L67" s="152"/>
      <c r="M67" s="152"/>
      <c r="N67" s="152"/>
      <c r="O67" s="152"/>
      <c r="P67" s="152"/>
      <c r="Q67" s="152"/>
      <c r="R67" s="152"/>
      <c r="S67" s="152"/>
      <c r="T67" s="152"/>
      <c r="U67" s="152"/>
      <c r="V67" s="152"/>
      <c r="W67" s="152"/>
      <c r="X67" s="152"/>
      <c r="Y67" s="152"/>
      <c r="Z67" s="152"/>
      <c r="AA67" s="152"/>
      <c r="AB67" s="152"/>
      <c r="AC67" s="152"/>
    </row>
    <row r="68" spans="1:29" x14ac:dyDescent="0.2">
      <c r="A68" s="152"/>
      <c r="B68" s="152"/>
      <c r="C68" s="152"/>
      <c r="D68" s="152"/>
      <c r="E68" s="152"/>
      <c r="F68" s="152"/>
      <c r="G68" s="152"/>
      <c r="H68" s="152"/>
      <c r="I68" s="152"/>
      <c r="J68" s="152"/>
      <c r="K68" s="152"/>
      <c r="L68" s="152"/>
      <c r="M68" s="152"/>
      <c r="N68" s="152"/>
      <c r="O68" s="152"/>
      <c r="P68" s="152"/>
      <c r="Q68" s="152"/>
      <c r="R68" s="152"/>
      <c r="S68" s="152"/>
      <c r="T68" s="152"/>
      <c r="U68" s="152"/>
      <c r="V68" s="152"/>
      <c r="W68" s="152"/>
      <c r="X68" s="152"/>
      <c r="Y68" s="152"/>
      <c r="Z68" s="152"/>
      <c r="AA68" s="152"/>
      <c r="AB68" s="152"/>
      <c r="AC68" s="152"/>
    </row>
    <row r="69" spans="1:29" x14ac:dyDescent="0.2">
      <c r="A69" s="152"/>
      <c r="B69" s="152"/>
      <c r="C69" s="152"/>
      <c r="D69" s="152"/>
      <c r="E69" s="152"/>
      <c r="F69" s="152"/>
      <c r="G69" s="152"/>
      <c r="H69" s="152"/>
      <c r="I69" s="152"/>
      <c r="J69" s="152"/>
      <c r="K69" s="152"/>
      <c r="L69" s="152"/>
      <c r="M69" s="152"/>
      <c r="N69" s="152"/>
      <c r="O69" s="152"/>
      <c r="P69" s="152"/>
      <c r="Q69" s="152"/>
      <c r="R69" s="152"/>
      <c r="S69" s="152"/>
      <c r="T69" s="152"/>
      <c r="U69" s="152"/>
      <c r="V69" s="152"/>
      <c r="W69" s="152"/>
      <c r="X69" s="152"/>
      <c r="Y69" s="152"/>
      <c r="Z69" s="152"/>
      <c r="AA69" s="152"/>
      <c r="AB69" s="152"/>
      <c r="AC69" s="152"/>
    </row>
    <row r="70" spans="1:29" x14ac:dyDescent="0.2">
      <c r="A70" s="152"/>
      <c r="B70" s="152"/>
      <c r="C70" s="152"/>
      <c r="D70" s="152"/>
      <c r="E70" s="152"/>
      <c r="F70" s="152"/>
      <c r="G70" s="152"/>
      <c r="H70" s="152"/>
      <c r="I70" s="152"/>
      <c r="J70" s="152"/>
      <c r="K70" s="152"/>
      <c r="L70" s="152"/>
      <c r="M70" s="152"/>
      <c r="N70" s="152"/>
      <c r="O70" s="152"/>
      <c r="P70" s="152"/>
      <c r="Q70" s="152"/>
      <c r="R70" s="152"/>
      <c r="S70" s="152"/>
      <c r="T70" s="152"/>
      <c r="U70" s="152"/>
      <c r="V70" s="152"/>
      <c r="W70" s="152"/>
      <c r="X70" s="152"/>
      <c r="Y70" s="152"/>
      <c r="Z70" s="152"/>
      <c r="AA70" s="152"/>
      <c r="AB70" s="152"/>
      <c r="AC70" s="152"/>
    </row>
    <row r="71" spans="1:29" x14ac:dyDescent="0.2">
      <c r="A71" s="152"/>
      <c r="B71" s="152"/>
      <c r="C71" s="152"/>
      <c r="D71" s="152"/>
      <c r="E71" s="152"/>
      <c r="F71" s="152"/>
      <c r="G71" s="152"/>
      <c r="H71" s="152"/>
      <c r="I71" s="152"/>
      <c r="J71" s="152"/>
      <c r="K71" s="152"/>
      <c r="L71" s="152"/>
      <c r="M71" s="152"/>
      <c r="N71" s="152"/>
      <c r="O71" s="152"/>
      <c r="P71" s="152"/>
      <c r="Q71" s="152"/>
      <c r="R71" s="152"/>
      <c r="S71" s="152"/>
      <c r="T71" s="152"/>
      <c r="U71" s="152"/>
      <c r="V71" s="152"/>
      <c r="W71" s="152"/>
      <c r="X71" s="152"/>
      <c r="Y71" s="152"/>
      <c r="Z71" s="152"/>
      <c r="AA71" s="152"/>
      <c r="AB71" s="152"/>
      <c r="AC71" s="152"/>
    </row>
    <row r="72" spans="1:29" x14ac:dyDescent="0.2">
      <c r="A72" s="152"/>
      <c r="B72" s="152"/>
      <c r="C72" s="152"/>
      <c r="D72" s="152"/>
      <c r="E72" s="152"/>
      <c r="F72" s="152"/>
      <c r="G72" s="152"/>
      <c r="H72" s="152"/>
      <c r="I72" s="152"/>
      <c r="J72" s="152"/>
      <c r="K72" s="152"/>
      <c r="L72" s="152"/>
      <c r="M72" s="152"/>
      <c r="N72" s="152"/>
      <c r="O72" s="152"/>
      <c r="P72" s="152"/>
      <c r="Q72" s="152"/>
      <c r="R72" s="152"/>
      <c r="S72" s="152"/>
      <c r="T72" s="152"/>
      <c r="U72" s="152"/>
      <c r="V72" s="152"/>
      <c r="W72" s="152"/>
      <c r="X72" s="152"/>
      <c r="Y72" s="152"/>
      <c r="Z72" s="152"/>
      <c r="AA72" s="152"/>
      <c r="AB72" s="152"/>
      <c r="AC72" s="152"/>
    </row>
    <row r="73" spans="1:29" x14ac:dyDescent="0.2">
      <c r="A73" s="152"/>
      <c r="B73" s="152"/>
      <c r="C73" s="152"/>
      <c r="D73" s="152"/>
      <c r="E73" s="152"/>
      <c r="F73" s="152"/>
      <c r="G73" s="152"/>
      <c r="H73" s="152"/>
      <c r="I73" s="152"/>
      <c r="J73" s="152"/>
      <c r="K73" s="152"/>
      <c r="L73" s="152"/>
      <c r="M73" s="152"/>
      <c r="N73" s="152"/>
      <c r="O73" s="152"/>
      <c r="P73" s="152"/>
      <c r="Q73" s="152"/>
      <c r="R73" s="152"/>
      <c r="S73" s="152"/>
      <c r="T73" s="152"/>
      <c r="U73" s="152"/>
      <c r="V73" s="152"/>
      <c r="W73" s="152"/>
      <c r="X73" s="152"/>
      <c r="Y73" s="152"/>
      <c r="Z73" s="152"/>
      <c r="AA73" s="152"/>
      <c r="AB73" s="152"/>
      <c r="AC73" s="152"/>
    </row>
    <row r="74" spans="1:29" x14ac:dyDescent="0.2">
      <c r="A74" s="152"/>
      <c r="B74" s="152"/>
      <c r="C74" s="152"/>
      <c r="D74" s="152"/>
      <c r="E74" s="152"/>
      <c r="F74" s="152"/>
      <c r="G74" s="152"/>
      <c r="H74" s="152"/>
      <c r="I74" s="152"/>
      <c r="J74" s="152"/>
      <c r="K74" s="152"/>
      <c r="L74" s="152"/>
      <c r="M74" s="152"/>
      <c r="N74" s="152"/>
      <c r="O74" s="152"/>
      <c r="P74" s="152"/>
      <c r="Q74" s="152"/>
      <c r="R74" s="152"/>
      <c r="S74" s="152"/>
      <c r="T74" s="152"/>
      <c r="U74" s="152"/>
      <c r="V74" s="152"/>
      <c r="W74" s="152"/>
      <c r="X74" s="152"/>
      <c r="Y74" s="152"/>
      <c r="Z74" s="152"/>
      <c r="AA74" s="152"/>
      <c r="AB74" s="152"/>
      <c r="AC74" s="152"/>
    </row>
    <row r="75" spans="1:29" x14ac:dyDescent="0.2">
      <c r="A75" s="152"/>
      <c r="B75" s="152"/>
      <c r="C75" s="152"/>
      <c r="D75" s="152"/>
      <c r="E75" s="152"/>
      <c r="F75" s="152"/>
      <c r="G75" s="152"/>
      <c r="H75" s="152"/>
      <c r="I75" s="152"/>
      <c r="J75" s="152"/>
      <c r="K75" s="152"/>
      <c r="L75" s="152"/>
      <c r="M75" s="152"/>
      <c r="N75" s="152"/>
      <c r="O75" s="152"/>
      <c r="P75" s="152"/>
      <c r="Q75" s="152"/>
      <c r="R75" s="152"/>
      <c r="S75" s="152"/>
      <c r="T75" s="152"/>
      <c r="U75" s="152"/>
      <c r="V75" s="152"/>
      <c r="W75" s="152"/>
      <c r="X75" s="152"/>
      <c r="Y75" s="152"/>
      <c r="Z75" s="152"/>
      <c r="AA75" s="152"/>
      <c r="AB75" s="152"/>
      <c r="AC75" s="152"/>
    </row>
    <row r="76" spans="1:29" x14ac:dyDescent="0.2">
      <c r="A76" s="152"/>
      <c r="B76" s="152"/>
      <c r="C76" s="152"/>
      <c r="D76" s="152"/>
      <c r="E76" s="152"/>
      <c r="F76" s="152"/>
      <c r="G76" s="152"/>
      <c r="H76" s="152"/>
      <c r="I76" s="152"/>
      <c r="J76" s="152"/>
      <c r="K76" s="152"/>
      <c r="L76" s="152"/>
      <c r="M76" s="152"/>
      <c r="N76" s="152"/>
      <c r="O76" s="152"/>
      <c r="P76" s="152"/>
      <c r="Q76" s="152"/>
      <c r="R76" s="152"/>
      <c r="S76" s="152"/>
      <c r="T76" s="152"/>
      <c r="U76" s="152"/>
      <c r="V76" s="152"/>
      <c r="W76" s="152"/>
      <c r="X76" s="152"/>
      <c r="Y76" s="152"/>
      <c r="Z76" s="152"/>
      <c r="AA76" s="152"/>
      <c r="AB76" s="152"/>
      <c r="AC76" s="152"/>
    </row>
    <row r="77" spans="1:29" x14ac:dyDescent="0.2">
      <c r="A77" s="152"/>
      <c r="B77" s="152"/>
      <c r="C77" s="152"/>
      <c r="D77" s="152"/>
      <c r="E77" s="152"/>
      <c r="F77" s="152"/>
      <c r="G77" s="152"/>
      <c r="H77" s="152"/>
      <c r="I77" s="152"/>
      <c r="J77" s="152"/>
      <c r="K77" s="152"/>
      <c r="L77" s="152"/>
      <c r="M77" s="152"/>
      <c r="N77" s="152"/>
      <c r="O77" s="152"/>
      <c r="P77" s="152"/>
      <c r="Q77" s="152"/>
      <c r="R77" s="152"/>
      <c r="S77" s="152"/>
      <c r="T77" s="152"/>
      <c r="U77" s="152"/>
      <c r="V77" s="152"/>
      <c r="W77" s="152"/>
      <c r="X77" s="152"/>
      <c r="Y77" s="152"/>
      <c r="Z77" s="152"/>
      <c r="AA77" s="152"/>
      <c r="AB77" s="152"/>
      <c r="AC77" s="152"/>
    </row>
    <row r="78" spans="1:29" x14ac:dyDescent="0.2">
      <c r="A78" s="152"/>
      <c r="B78" s="152"/>
      <c r="C78" s="152"/>
      <c r="D78" s="152"/>
      <c r="E78" s="152"/>
      <c r="F78" s="152"/>
      <c r="G78" s="152"/>
      <c r="H78" s="152"/>
      <c r="I78" s="152"/>
      <c r="J78" s="152"/>
      <c r="K78" s="152"/>
      <c r="L78" s="152"/>
      <c r="M78" s="152"/>
      <c r="N78" s="152"/>
      <c r="O78" s="152"/>
      <c r="P78" s="152"/>
      <c r="Q78" s="152"/>
      <c r="R78" s="152"/>
      <c r="S78" s="152"/>
      <c r="T78" s="152"/>
      <c r="U78" s="152"/>
      <c r="V78" s="152"/>
      <c r="W78" s="152"/>
      <c r="X78" s="152"/>
      <c r="Y78" s="152"/>
      <c r="Z78" s="152"/>
      <c r="AA78" s="152"/>
      <c r="AB78" s="152"/>
      <c r="AC78" s="152"/>
    </row>
    <row r="79" spans="1:29" x14ac:dyDescent="0.2">
      <c r="A79" s="152"/>
      <c r="B79" s="152"/>
      <c r="C79" s="152"/>
      <c r="D79" s="152"/>
      <c r="E79" s="152"/>
      <c r="F79" s="152"/>
      <c r="G79" s="152"/>
      <c r="H79" s="152"/>
      <c r="I79" s="152"/>
      <c r="J79" s="152"/>
      <c r="K79" s="152"/>
      <c r="L79" s="152"/>
      <c r="M79" s="152"/>
      <c r="N79" s="152"/>
      <c r="O79" s="152"/>
      <c r="P79" s="152"/>
      <c r="Q79" s="152"/>
      <c r="R79" s="152"/>
      <c r="S79" s="152"/>
      <c r="T79" s="152"/>
      <c r="U79" s="152"/>
      <c r="V79" s="152"/>
      <c r="W79" s="152"/>
      <c r="X79" s="152"/>
      <c r="Y79" s="152"/>
      <c r="Z79" s="152"/>
      <c r="AA79" s="152"/>
      <c r="AB79" s="152"/>
      <c r="AC79" s="152"/>
    </row>
    <row r="80" spans="1:29" x14ac:dyDescent="0.2">
      <c r="A80" s="152"/>
      <c r="B80" s="152"/>
      <c r="C80" s="152"/>
      <c r="D80" s="152"/>
      <c r="E80" s="152"/>
      <c r="F80" s="152"/>
      <c r="G80" s="152"/>
      <c r="H80" s="152"/>
      <c r="I80" s="152"/>
      <c r="J80" s="152"/>
      <c r="K80" s="152"/>
      <c r="L80" s="152"/>
      <c r="M80" s="152"/>
      <c r="N80" s="152"/>
      <c r="O80" s="152"/>
      <c r="P80" s="152"/>
      <c r="Q80" s="152"/>
      <c r="R80" s="152"/>
      <c r="S80" s="152"/>
      <c r="T80" s="152"/>
      <c r="U80" s="152"/>
      <c r="V80" s="152"/>
      <c r="W80" s="152"/>
      <c r="X80" s="152"/>
      <c r="Y80" s="152"/>
      <c r="Z80" s="152"/>
      <c r="AA80" s="152"/>
      <c r="AB80" s="152"/>
      <c r="AC80" s="152"/>
    </row>
    <row r="81" spans="1:29" x14ac:dyDescent="0.2">
      <c r="A81" s="152"/>
      <c r="B81" s="152"/>
      <c r="C81" s="152"/>
      <c r="D81" s="152"/>
      <c r="E81" s="152"/>
      <c r="F81" s="152"/>
      <c r="G81" s="152"/>
      <c r="H81" s="152"/>
      <c r="I81" s="152"/>
      <c r="J81" s="152"/>
      <c r="K81" s="152"/>
      <c r="L81" s="152"/>
      <c r="M81" s="152"/>
      <c r="N81" s="152"/>
      <c r="O81" s="152"/>
      <c r="P81" s="152"/>
      <c r="Q81" s="152"/>
      <c r="R81" s="152"/>
      <c r="S81" s="152"/>
      <c r="T81" s="152"/>
      <c r="U81" s="152"/>
      <c r="V81" s="152"/>
      <c r="W81" s="152"/>
      <c r="X81" s="152"/>
      <c r="Y81" s="152"/>
      <c r="Z81" s="152"/>
      <c r="AA81" s="152"/>
      <c r="AB81" s="152"/>
      <c r="AC81" s="152"/>
    </row>
    <row r="82" spans="1:29" x14ac:dyDescent="0.2">
      <c r="A82" s="152"/>
      <c r="B82" s="152"/>
      <c r="C82" s="152"/>
      <c r="D82" s="152"/>
      <c r="E82" s="152"/>
      <c r="F82" s="152"/>
      <c r="G82" s="152"/>
      <c r="H82" s="152"/>
      <c r="I82" s="152"/>
      <c r="J82" s="152"/>
      <c r="K82" s="152"/>
      <c r="L82" s="152"/>
      <c r="M82" s="152"/>
      <c r="N82" s="152"/>
      <c r="O82" s="152"/>
      <c r="P82" s="152"/>
      <c r="Q82" s="152"/>
      <c r="R82" s="152"/>
      <c r="S82" s="152"/>
      <c r="T82" s="152"/>
      <c r="U82" s="152"/>
      <c r="V82" s="152"/>
      <c r="W82" s="152"/>
      <c r="X82" s="152"/>
      <c r="Y82" s="152"/>
      <c r="Z82" s="152"/>
      <c r="AA82" s="152"/>
      <c r="AB82" s="152"/>
      <c r="AC82" s="152"/>
    </row>
    <row r="83" spans="1:29" x14ac:dyDescent="0.2">
      <c r="A83" s="152"/>
      <c r="B83" s="152"/>
      <c r="C83" s="152"/>
      <c r="D83" s="152"/>
      <c r="E83" s="152"/>
      <c r="F83" s="152"/>
      <c r="G83" s="152"/>
      <c r="H83" s="152"/>
      <c r="I83" s="152"/>
      <c r="J83" s="152"/>
      <c r="K83" s="152"/>
      <c r="L83" s="152"/>
      <c r="M83" s="152"/>
      <c r="N83" s="152"/>
      <c r="O83" s="152"/>
      <c r="P83" s="152"/>
      <c r="Q83" s="152"/>
      <c r="R83" s="152"/>
      <c r="S83" s="152"/>
      <c r="T83" s="152"/>
      <c r="U83" s="152"/>
      <c r="V83" s="152"/>
      <c r="W83" s="152"/>
      <c r="X83" s="152"/>
      <c r="Y83" s="152"/>
      <c r="Z83" s="152"/>
      <c r="AA83" s="152"/>
      <c r="AB83" s="152"/>
      <c r="AC83" s="152"/>
    </row>
    <row r="84" spans="1:29" x14ac:dyDescent="0.2">
      <c r="A84" s="152"/>
      <c r="B84" s="152"/>
      <c r="C84" s="152"/>
      <c r="D84" s="152"/>
      <c r="E84" s="152"/>
      <c r="F84" s="152"/>
      <c r="G84" s="152"/>
      <c r="H84" s="152"/>
      <c r="I84" s="152"/>
      <c r="J84" s="152"/>
      <c r="K84" s="152"/>
      <c r="L84" s="152"/>
      <c r="M84" s="152"/>
      <c r="N84" s="152"/>
      <c r="O84" s="152"/>
      <c r="P84" s="152"/>
      <c r="Q84" s="152"/>
      <c r="R84" s="152"/>
      <c r="S84" s="152"/>
      <c r="T84" s="152"/>
      <c r="U84" s="152"/>
      <c r="V84" s="152"/>
      <c r="W84" s="152"/>
      <c r="X84" s="152"/>
      <c r="Y84" s="152"/>
      <c r="Z84" s="152"/>
      <c r="AA84" s="152"/>
      <c r="AB84" s="152"/>
      <c r="AC84" s="152"/>
    </row>
    <row r="85" spans="1:29" x14ac:dyDescent="0.2">
      <c r="A85" s="152"/>
      <c r="B85" s="152"/>
      <c r="C85" s="152"/>
      <c r="D85" s="152"/>
      <c r="E85" s="152"/>
      <c r="F85" s="152"/>
      <c r="G85" s="152"/>
      <c r="H85" s="152"/>
      <c r="I85" s="152"/>
      <c r="J85" s="152"/>
      <c r="K85" s="152"/>
      <c r="L85" s="152"/>
      <c r="M85" s="152"/>
      <c r="N85" s="152"/>
      <c r="O85" s="152"/>
      <c r="P85" s="152"/>
      <c r="Q85" s="152"/>
      <c r="R85" s="152"/>
      <c r="S85" s="152"/>
      <c r="T85" s="152"/>
      <c r="U85" s="152"/>
      <c r="V85" s="152"/>
      <c r="W85" s="152"/>
      <c r="X85" s="152"/>
      <c r="Y85" s="152"/>
      <c r="Z85" s="152"/>
      <c r="AA85" s="152"/>
      <c r="AB85" s="152"/>
      <c r="AC85" s="152"/>
    </row>
    <row r="86" spans="1:29" x14ac:dyDescent="0.2">
      <c r="A86" s="152"/>
      <c r="B86" s="152"/>
      <c r="C86" s="152"/>
      <c r="D86" s="152"/>
      <c r="E86" s="152"/>
      <c r="F86" s="152"/>
      <c r="G86" s="152"/>
      <c r="H86" s="152"/>
      <c r="I86" s="152"/>
      <c r="J86" s="152"/>
      <c r="K86" s="152"/>
      <c r="L86" s="152"/>
      <c r="M86" s="152"/>
      <c r="N86" s="152"/>
      <c r="O86" s="152"/>
      <c r="P86" s="152"/>
      <c r="Q86" s="152"/>
      <c r="R86" s="152"/>
      <c r="S86" s="152"/>
      <c r="T86" s="152"/>
      <c r="U86" s="152"/>
      <c r="V86" s="152"/>
      <c r="W86" s="152"/>
      <c r="X86" s="152"/>
      <c r="Y86" s="152"/>
      <c r="Z86" s="152"/>
      <c r="AA86" s="152"/>
      <c r="AB86" s="152"/>
      <c r="AC86" s="152"/>
    </row>
    <row r="87" spans="1:29" x14ac:dyDescent="0.2">
      <c r="A87" s="152"/>
      <c r="B87" s="152"/>
      <c r="C87" s="152"/>
      <c r="D87" s="152"/>
      <c r="E87" s="152"/>
      <c r="F87" s="152"/>
      <c r="G87" s="152"/>
      <c r="H87" s="152"/>
      <c r="I87" s="152"/>
      <c r="J87" s="152"/>
      <c r="K87" s="152"/>
      <c r="L87" s="152"/>
      <c r="M87" s="152"/>
      <c r="N87" s="152"/>
      <c r="O87" s="152"/>
      <c r="P87" s="152"/>
      <c r="Q87" s="152"/>
      <c r="R87" s="152"/>
      <c r="S87" s="152"/>
      <c r="T87" s="152"/>
      <c r="U87" s="152"/>
      <c r="V87" s="152"/>
      <c r="W87" s="152"/>
      <c r="X87" s="152"/>
      <c r="Y87" s="152"/>
      <c r="Z87" s="152"/>
      <c r="AA87" s="152"/>
      <c r="AB87" s="152"/>
      <c r="AC87" s="152"/>
    </row>
    <row r="88" spans="1:29" x14ac:dyDescent="0.2">
      <c r="A88" s="152"/>
      <c r="B88" s="152"/>
      <c r="C88" s="152"/>
      <c r="D88" s="152"/>
      <c r="E88" s="152"/>
      <c r="F88" s="152"/>
      <c r="G88" s="152"/>
      <c r="H88" s="152"/>
      <c r="I88" s="152"/>
      <c r="J88" s="152"/>
      <c r="K88" s="152"/>
      <c r="L88" s="152"/>
      <c r="M88" s="152"/>
      <c r="N88" s="152"/>
      <c r="O88" s="152"/>
      <c r="P88" s="152"/>
      <c r="Q88" s="152"/>
      <c r="R88" s="152"/>
      <c r="S88" s="152"/>
      <c r="T88" s="152"/>
      <c r="U88" s="152"/>
      <c r="V88" s="152"/>
      <c r="W88" s="152"/>
      <c r="X88" s="152"/>
      <c r="Y88" s="152"/>
      <c r="Z88" s="152"/>
      <c r="AA88" s="152"/>
      <c r="AB88" s="152"/>
      <c r="AC88" s="152"/>
    </row>
    <row r="89" spans="1:29" x14ac:dyDescent="0.2">
      <c r="A89" s="152"/>
      <c r="B89" s="152"/>
      <c r="C89" s="152"/>
      <c r="D89" s="152"/>
      <c r="E89" s="152"/>
      <c r="F89" s="152"/>
      <c r="G89" s="152"/>
      <c r="H89" s="152"/>
      <c r="I89" s="152"/>
      <c r="J89" s="152"/>
      <c r="K89" s="152"/>
      <c r="L89" s="152"/>
      <c r="M89" s="152"/>
      <c r="N89" s="152"/>
      <c r="O89" s="152"/>
      <c r="P89" s="152"/>
      <c r="Q89" s="152"/>
      <c r="R89" s="152"/>
      <c r="S89" s="152"/>
      <c r="T89" s="152"/>
      <c r="U89" s="152"/>
      <c r="V89" s="152"/>
      <c r="W89" s="152"/>
      <c r="X89" s="152"/>
      <c r="Y89" s="152"/>
      <c r="Z89" s="152"/>
      <c r="AA89" s="152"/>
      <c r="AB89" s="152"/>
      <c r="AC89" s="152"/>
    </row>
    <row r="90" spans="1:29" x14ac:dyDescent="0.2">
      <c r="A90" s="152"/>
      <c r="B90" s="152"/>
      <c r="C90" s="152"/>
      <c r="D90" s="152"/>
      <c r="E90" s="152"/>
      <c r="F90" s="152"/>
      <c r="G90" s="152"/>
      <c r="H90" s="152"/>
      <c r="I90" s="152"/>
      <c r="J90" s="152"/>
      <c r="K90" s="152"/>
      <c r="L90" s="152"/>
      <c r="M90" s="152"/>
      <c r="N90" s="152"/>
      <c r="O90" s="152"/>
      <c r="P90" s="152"/>
      <c r="Q90" s="152"/>
      <c r="R90" s="152"/>
      <c r="S90" s="152"/>
      <c r="T90" s="152"/>
      <c r="U90" s="152"/>
      <c r="V90" s="152"/>
      <c r="W90" s="152"/>
      <c r="X90" s="152"/>
      <c r="Y90" s="152"/>
      <c r="Z90" s="152"/>
      <c r="AA90" s="152"/>
      <c r="AB90" s="152"/>
      <c r="AC90" s="152"/>
    </row>
    <row r="91" spans="1:29" x14ac:dyDescent="0.2">
      <c r="A91" s="152"/>
      <c r="B91" s="152"/>
      <c r="C91" s="152"/>
      <c r="D91" s="152"/>
      <c r="E91" s="152"/>
      <c r="F91" s="152"/>
      <c r="G91" s="152"/>
      <c r="H91" s="152"/>
      <c r="I91" s="152"/>
      <c r="J91" s="152"/>
      <c r="K91" s="152"/>
      <c r="L91" s="152"/>
      <c r="M91" s="152"/>
      <c r="N91" s="152"/>
      <c r="O91" s="152"/>
      <c r="P91" s="152"/>
      <c r="Q91" s="152"/>
      <c r="R91" s="152"/>
      <c r="S91" s="152"/>
      <c r="T91" s="152"/>
      <c r="U91" s="152"/>
      <c r="V91" s="152"/>
      <c r="W91" s="152"/>
      <c r="X91" s="152"/>
      <c r="Y91" s="152"/>
      <c r="Z91" s="152"/>
      <c r="AA91" s="152"/>
      <c r="AB91" s="152"/>
      <c r="AC91" s="152"/>
    </row>
    <row r="92" spans="1:29" x14ac:dyDescent="0.2">
      <c r="A92" s="152"/>
      <c r="B92" s="152"/>
      <c r="C92" s="152"/>
      <c r="D92" s="152"/>
      <c r="E92" s="152"/>
      <c r="F92" s="152"/>
      <c r="G92" s="152"/>
      <c r="H92" s="152"/>
      <c r="I92" s="152"/>
      <c r="J92" s="152"/>
      <c r="K92" s="152"/>
      <c r="L92" s="152"/>
      <c r="M92" s="152"/>
      <c r="N92" s="152"/>
      <c r="O92" s="152"/>
      <c r="P92" s="152"/>
      <c r="Q92" s="152"/>
      <c r="R92" s="152"/>
      <c r="S92" s="152"/>
      <c r="T92" s="152"/>
      <c r="U92" s="152"/>
      <c r="V92" s="152"/>
      <c r="W92" s="152"/>
      <c r="X92" s="152"/>
      <c r="Y92" s="152"/>
      <c r="Z92" s="152"/>
      <c r="AA92" s="152"/>
      <c r="AB92" s="152"/>
      <c r="AC92" s="152"/>
    </row>
    <row r="93" spans="1:29" x14ac:dyDescent="0.2">
      <c r="A93" s="152"/>
      <c r="B93" s="152"/>
      <c r="C93" s="152"/>
      <c r="D93" s="152"/>
      <c r="E93" s="152"/>
      <c r="F93" s="152"/>
      <c r="G93" s="152"/>
      <c r="H93" s="152"/>
      <c r="I93" s="152"/>
      <c r="J93" s="152"/>
      <c r="K93" s="152"/>
      <c r="L93" s="152"/>
      <c r="M93" s="152"/>
      <c r="N93" s="152"/>
      <c r="O93" s="152"/>
      <c r="P93" s="152"/>
      <c r="Q93" s="152"/>
      <c r="R93" s="152"/>
      <c r="S93" s="152"/>
      <c r="T93" s="152"/>
      <c r="U93" s="152"/>
      <c r="V93" s="152"/>
      <c r="W93" s="152"/>
      <c r="X93" s="152"/>
      <c r="Y93" s="152"/>
      <c r="Z93" s="152"/>
      <c r="AA93" s="152"/>
      <c r="AB93" s="152"/>
      <c r="AC93" s="152"/>
    </row>
    <row r="94" spans="1:29" x14ac:dyDescent="0.2">
      <c r="A94" s="152"/>
      <c r="B94" s="152"/>
      <c r="C94" s="152"/>
      <c r="D94" s="152"/>
      <c r="E94" s="152"/>
      <c r="F94" s="152"/>
      <c r="G94" s="152"/>
      <c r="H94" s="152"/>
      <c r="I94" s="152"/>
      <c r="J94" s="152"/>
      <c r="K94" s="152"/>
      <c r="L94" s="152"/>
      <c r="M94" s="152"/>
      <c r="N94" s="152"/>
      <c r="O94" s="152"/>
      <c r="P94" s="152"/>
      <c r="Q94" s="152"/>
      <c r="R94" s="152"/>
      <c r="S94" s="152"/>
      <c r="T94" s="152"/>
      <c r="U94" s="152"/>
      <c r="V94" s="152"/>
      <c r="W94" s="152"/>
      <c r="X94" s="152"/>
      <c r="Y94" s="152"/>
      <c r="Z94" s="152"/>
      <c r="AA94" s="152"/>
      <c r="AB94" s="152"/>
      <c r="AC94" s="152"/>
    </row>
    <row r="95" spans="1:29" x14ac:dyDescent="0.2">
      <c r="A95" s="152"/>
      <c r="B95" s="152"/>
      <c r="C95" s="152"/>
      <c r="D95" s="152"/>
      <c r="E95" s="152"/>
      <c r="F95" s="152"/>
      <c r="G95" s="152"/>
      <c r="H95" s="152"/>
      <c r="I95" s="152"/>
      <c r="J95" s="152"/>
      <c r="K95" s="152"/>
      <c r="L95" s="152"/>
      <c r="M95" s="152"/>
      <c r="N95" s="152"/>
      <c r="O95" s="152"/>
      <c r="P95" s="152"/>
      <c r="Q95" s="152"/>
      <c r="R95" s="152"/>
      <c r="S95" s="152"/>
      <c r="T95" s="152"/>
      <c r="U95" s="152"/>
      <c r="V95" s="152"/>
      <c r="W95" s="152"/>
      <c r="X95" s="152"/>
      <c r="Y95" s="152"/>
      <c r="Z95" s="152"/>
      <c r="AA95" s="152"/>
      <c r="AB95" s="152"/>
      <c r="AC95" s="152"/>
    </row>
    <row r="96" spans="1:29" x14ac:dyDescent="0.2">
      <c r="A96" s="152"/>
      <c r="B96" s="152"/>
      <c r="C96" s="152"/>
      <c r="D96" s="152"/>
      <c r="E96" s="152"/>
      <c r="F96" s="152"/>
      <c r="G96" s="152"/>
      <c r="H96" s="152"/>
      <c r="I96" s="152"/>
      <c r="J96" s="152"/>
      <c r="K96" s="152"/>
      <c r="L96" s="152"/>
      <c r="M96" s="152"/>
      <c r="N96" s="152"/>
      <c r="O96" s="152"/>
      <c r="P96" s="152"/>
      <c r="Q96" s="152"/>
      <c r="R96" s="152"/>
      <c r="S96" s="152"/>
      <c r="T96" s="152"/>
      <c r="U96" s="152"/>
      <c r="V96" s="152"/>
      <c r="W96" s="152"/>
      <c r="X96" s="152"/>
      <c r="Y96" s="152"/>
      <c r="Z96" s="152"/>
      <c r="AA96" s="152"/>
      <c r="AB96" s="152"/>
      <c r="AC96" s="152"/>
    </row>
    <row r="97" spans="1:29" x14ac:dyDescent="0.2">
      <c r="A97" s="152"/>
      <c r="B97" s="152"/>
      <c r="C97" s="152"/>
      <c r="D97" s="152"/>
      <c r="E97" s="152"/>
      <c r="F97" s="152"/>
      <c r="G97" s="152"/>
      <c r="H97" s="152"/>
      <c r="I97" s="152"/>
      <c r="J97" s="152"/>
      <c r="K97" s="152"/>
      <c r="L97" s="152"/>
      <c r="M97" s="152"/>
      <c r="N97" s="152"/>
      <c r="O97" s="152"/>
      <c r="P97" s="152"/>
      <c r="Q97" s="152"/>
      <c r="R97" s="152"/>
      <c r="S97" s="152"/>
      <c r="T97" s="152"/>
      <c r="U97" s="152"/>
      <c r="V97" s="152"/>
      <c r="W97" s="152"/>
      <c r="X97" s="152"/>
      <c r="Y97" s="152"/>
      <c r="Z97" s="152"/>
      <c r="AA97" s="152"/>
      <c r="AB97" s="152"/>
      <c r="AC97" s="152"/>
    </row>
    <row r="98" spans="1:29" x14ac:dyDescent="0.2">
      <c r="A98" s="152"/>
      <c r="B98" s="152"/>
      <c r="C98" s="152"/>
      <c r="D98" s="152"/>
      <c r="E98" s="152"/>
      <c r="F98" s="152"/>
      <c r="G98" s="152"/>
      <c r="H98" s="152"/>
      <c r="I98" s="152"/>
      <c r="J98" s="152"/>
      <c r="K98" s="152"/>
      <c r="L98" s="152"/>
      <c r="M98" s="152"/>
      <c r="N98" s="152"/>
      <c r="O98" s="152"/>
      <c r="P98" s="152"/>
      <c r="Q98" s="152"/>
      <c r="R98" s="152"/>
      <c r="S98" s="152"/>
      <c r="T98" s="152"/>
      <c r="U98" s="152"/>
      <c r="V98" s="152"/>
      <c r="W98" s="152"/>
      <c r="X98" s="152"/>
      <c r="Y98" s="152"/>
      <c r="Z98" s="152"/>
      <c r="AA98" s="152"/>
      <c r="AB98" s="152"/>
      <c r="AC98" s="152"/>
    </row>
    <row r="99" spans="1:29" x14ac:dyDescent="0.2">
      <c r="A99" s="152"/>
      <c r="B99" s="152"/>
      <c r="C99" s="152"/>
      <c r="D99" s="152"/>
      <c r="E99" s="152"/>
      <c r="F99" s="152"/>
      <c r="G99" s="152"/>
      <c r="H99" s="152"/>
      <c r="I99" s="152"/>
      <c r="J99" s="152"/>
      <c r="K99" s="152"/>
      <c r="L99" s="152"/>
      <c r="M99" s="152"/>
      <c r="N99" s="152"/>
      <c r="O99" s="152"/>
      <c r="P99" s="152"/>
      <c r="Q99" s="152"/>
      <c r="R99" s="152"/>
      <c r="S99" s="152"/>
      <c r="T99" s="152"/>
      <c r="U99" s="152"/>
      <c r="V99" s="152"/>
      <c r="W99" s="152"/>
      <c r="X99" s="152"/>
      <c r="Y99" s="152"/>
      <c r="Z99" s="152"/>
      <c r="AA99" s="152"/>
      <c r="AB99" s="152"/>
      <c r="AC99" s="152"/>
    </row>
    <row r="100" spans="1:29" x14ac:dyDescent="0.2">
      <c r="A100" s="152"/>
      <c r="B100" s="152"/>
      <c r="C100" s="152"/>
      <c r="D100" s="152"/>
      <c r="E100" s="152"/>
      <c r="F100" s="152"/>
      <c r="G100" s="152"/>
      <c r="H100" s="152"/>
      <c r="I100" s="152"/>
      <c r="J100" s="152"/>
      <c r="K100" s="152"/>
      <c r="L100" s="152"/>
      <c r="M100" s="152"/>
      <c r="N100" s="152"/>
      <c r="O100" s="152"/>
      <c r="P100" s="152"/>
      <c r="Q100" s="152"/>
      <c r="R100" s="152"/>
      <c r="S100" s="152"/>
      <c r="T100" s="152"/>
      <c r="U100" s="152"/>
      <c r="V100" s="152"/>
      <c r="W100" s="152"/>
      <c r="X100" s="152"/>
      <c r="Y100" s="152"/>
      <c r="Z100" s="152"/>
      <c r="AA100" s="152"/>
      <c r="AB100" s="152"/>
      <c r="AC100" s="152"/>
    </row>
    <row r="101" spans="1:29" x14ac:dyDescent="0.2">
      <c r="A101" s="152"/>
      <c r="B101" s="152"/>
      <c r="C101" s="152"/>
      <c r="D101" s="152"/>
      <c r="E101" s="152"/>
      <c r="F101" s="152"/>
      <c r="G101" s="152"/>
      <c r="H101" s="152"/>
      <c r="I101" s="152"/>
      <c r="J101" s="152"/>
      <c r="K101" s="152"/>
      <c r="L101" s="152"/>
      <c r="M101" s="152"/>
      <c r="N101" s="152"/>
      <c r="O101" s="152"/>
      <c r="P101" s="152"/>
      <c r="Q101" s="152"/>
      <c r="R101" s="152"/>
      <c r="S101" s="152"/>
      <c r="T101" s="152"/>
      <c r="U101" s="152"/>
      <c r="V101" s="152"/>
      <c r="W101" s="152"/>
      <c r="X101" s="152"/>
      <c r="Y101" s="152"/>
      <c r="Z101" s="152"/>
      <c r="AA101" s="152"/>
      <c r="AB101" s="152"/>
      <c r="AC101" s="152"/>
    </row>
    <row r="102" spans="1:29" x14ac:dyDescent="0.2">
      <c r="A102" s="152"/>
      <c r="B102" s="152"/>
      <c r="C102" s="152"/>
      <c r="D102" s="152"/>
      <c r="E102" s="152"/>
      <c r="F102" s="152"/>
      <c r="G102" s="152"/>
      <c r="H102" s="152"/>
      <c r="I102" s="152"/>
      <c r="J102" s="152"/>
      <c r="K102" s="152"/>
      <c r="L102" s="152"/>
      <c r="M102" s="152"/>
      <c r="N102" s="152"/>
      <c r="O102" s="152"/>
      <c r="P102" s="152"/>
      <c r="Q102" s="152"/>
      <c r="R102" s="152"/>
      <c r="S102" s="152"/>
      <c r="T102" s="152"/>
      <c r="U102" s="152"/>
      <c r="V102" s="152"/>
      <c r="W102" s="152"/>
      <c r="X102" s="152"/>
      <c r="Y102" s="152"/>
      <c r="Z102" s="152"/>
      <c r="AA102" s="152"/>
      <c r="AB102" s="152"/>
      <c r="AC102" s="152"/>
    </row>
    <row r="103" spans="1:29" x14ac:dyDescent="0.2">
      <c r="A103" s="152"/>
      <c r="B103" s="152"/>
      <c r="C103" s="152"/>
      <c r="D103" s="152"/>
      <c r="E103" s="152"/>
      <c r="F103" s="152"/>
      <c r="G103" s="152"/>
      <c r="H103" s="152"/>
      <c r="I103" s="152"/>
      <c r="J103" s="152"/>
      <c r="K103" s="152"/>
      <c r="L103" s="152"/>
      <c r="M103" s="152"/>
      <c r="N103" s="152"/>
      <c r="O103" s="152"/>
      <c r="P103" s="152"/>
      <c r="Q103" s="152"/>
      <c r="R103" s="152"/>
      <c r="S103" s="152"/>
      <c r="T103" s="152"/>
      <c r="U103" s="152"/>
      <c r="V103" s="152"/>
      <c r="W103" s="152"/>
      <c r="X103" s="152"/>
      <c r="Y103" s="152"/>
      <c r="Z103" s="152"/>
      <c r="AA103" s="152"/>
      <c r="AB103" s="152"/>
      <c r="AC103" s="152"/>
    </row>
    <row r="104" spans="1:29" x14ac:dyDescent="0.2">
      <c r="A104" s="152"/>
      <c r="B104" s="152"/>
      <c r="C104" s="152"/>
      <c r="D104" s="152"/>
      <c r="E104" s="152"/>
      <c r="F104" s="152"/>
      <c r="G104" s="152"/>
      <c r="H104" s="152"/>
      <c r="I104" s="152"/>
      <c r="J104" s="152"/>
      <c r="K104" s="152"/>
      <c r="L104" s="152"/>
      <c r="M104" s="152"/>
      <c r="N104" s="152"/>
      <c r="O104" s="152"/>
      <c r="P104" s="152"/>
      <c r="Q104" s="152"/>
      <c r="R104" s="152"/>
      <c r="S104" s="152"/>
      <c r="T104" s="152"/>
      <c r="U104" s="152"/>
      <c r="V104" s="152"/>
      <c r="W104" s="152"/>
      <c r="X104" s="152"/>
      <c r="Y104" s="152"/>
      <c r="Z104" s="152"/>
      <c r="AA104" s="152"/>
      <c r="AB104" s="152"/>
      <c r="AC104" s="152"/>
    </row>
    <row r="105" spans="1:29" x14ac:dyDescent="0.2">
      <c r="A105" s="152"/>
      <c r="B105" s="152"/>
      <c r="C105" s="152"/>
      <c r="D105" s="152"/>
      <c r="E105" s="152"/>
      <c r="F105" s="152"/>
      <c r="G105" s="152"/>
      <c r="H105" s="152"/>
      <c r="I105" s="152"/>
      <c r="J105" s="152"/>
      <c r="K105" s="152"/>
      <c r="L105" s="152"/>
      <c r="M105" s="152"/>
      <c r="N105" s="152"/>
      <c r="O105" s="152"/>
      <c r="P105" s="152"/>
      <c r="Q105" s="152"/>
      <c r="R105" s="152"/>
      <c r="S105" s="152"/>
      <c r="T105" s="152"/>
      <c r="U105" s="152"/>
      <c r="V105" s="152"/>
      <c r="W105" s="152"/>
      <c r="X105" s="152"/>
      <c r="Y105" s="152"/>
      <c r="Z105" s="152"/>
      <c r="AA105" s="152"/>
      <c r="AB105" s="152"/>
      <c r="AC105" s="152"/>
    </row>
    <row r="106" spans="1:29" x14ac:dyDescent="0.2">
      <c r="A106" s="152"/>
      <c r="B106" s="152"/>
      <c r="C106" s="152"/>
      <c r="D106" s="152"/>
      <c r="E106" s="152"/>
      <c r="F106" s="152"/>
      <c r="G106" s="152"/>
      <c r="H106" s="152"/>
      <c r="I106" s="152"/>
      <c r="J106" s="152"/>
      <c r="K106" s="152"/>
      <c r="L106" s="152"/>
      <c r="M106" s="152"/>
      <c r="N106" s="152"/>
      <c r="O106" s="152"/>
      <c r="P106" s="152"/>
      <c r="Q106" s="152"/>
      <c r="R106" s="152"/>
      <c r="S106" s="152"/>
      <c r="T106" s="152"/>
      <c r="U106" s="152"/>
      <c r="V106" s="152"/>
      <c r="W106" s="152"/>
      <c r="X106" s="152"/>
      <c r="Y106" s="152"/>
      <c r="Z106" s="152"/>
      <c r="AA106" s="152"/>
      <c r="AB106" s="152"/>
      <c r="AC106" s="152"/>
    </row>
    <row r="107" spans="1:29" x14ac:dyDescent="0.2">
      <c r="A107" s="152"/>
      <c r="B107" s="152"/>
      <c r="C107" s="152"/>
      <c r="D107" s="152"/>
      <c r="E107" s="152"/>
      <c r="F107" s="152"/>
      <c r="G107" s="152"/>
      <c r="H107" s="152"/>
      <c r="I107" s="152"/>
      <c r="J107" s="152"/>
      <c r="K107" s="152"/>
      <c r="L107" s="152"/>
      <c r="M107" s="152"/>
      <c r="N107" s="152"/>
      <c r="O107" s="152"/>
      <c r="P107" s="152"/>
      <c r="Q107" s="152"/>
      <c r="R107" s="152"/>
      <c r="S107" s="152"/>
      <c r="T107" s="152"/>
      <c r="U107" s="152"/>
      <c r="V107" s="152"/>
      <c r="W107" s="152"/>
      <c r="X107" s="152"/>
      <c r="Y107" s="152"/>
      <c r="Z107" s="152"/>
      <c r="AA107" s="152"/>
      <c r="AB107" s="152"/>
      <c r="AC107" s="152"/>
    </row>
    <row r="108" spans="1:29" x14ac:dyDescent="0.2">
      <c r="A108" s="152"/>
      <c r="B108" s="152"/>
      <c r="C108" s="152"/>
      <c r="D108" s="152"/>
      <c r="E108" s="152"/>
      <c r="F108" s="152"/>
      <c r="G108" s="152"/>
      <c r="H108" s="152"/>
      <c r="I108" s="152"/>
      <c r="J108" s="152"/>
      <c r="K108" s="152"/>
      <c r="L108" s="152"/>
      <c r="M108" s="152"/>
      <c r="N108" s="152"/>
      <c r="O108" s="152"/>
      <c r="P108" s="152"/>
      <c r="Q108" s="152"/>
      <c r="R108" s="152"/>
      <c r="S108" s="152"/>
      <c r="T108" s="152"/>
      <c r="U108" s="152"/>
      <c r="V108" s="152"/>
      <c r="W108" s="152"/>
      <c r="X108" s="152"/>
      <c r="Y108" s="152"/>
      <c r="Z108" s="152"/>
      <c r="AA108" s="152"/>
      <c r="AB108" s="152"/>
      <c r="AC108" s="152"/>
    </row>
    <row r="109" spans="1:29" x14ac:dyDescent="0.2">
      <c r="A109" s="152"/>
      <c r="B109" s="152"/>
      <c r="C109" s="152"/>
      <c r="D109" s="152"/>
      <c r="E109" s="152"/>
      <c r="F109" s="152"/>
      <c r="G109" s="152"/>
      <c r="H109" s="152"/>
      <c r="I109" s="152"/>
      <c r="J109" s="152"/>
      <c r="K109" s="152"/>
      <c r="L109" s="152"/>
      <c r="M109" s="152"/>
      <c r="N109" s="152"/>
      <c r="O109" s="152"/>
      <c r="P109" s="152"/>
      <c r="Q109" s="152"/>
      <c r="R109" s="152"/>
      <c r="S109" s="152"/>
      <c r="T109" s="152"/>
      <c r="U109" s="152"/>
      <c r="V109" s="152"/>
      <c r="W109" s="152"/>
      <c r="X109" s="152"/>
      <c r="Y109" s="152"/>
      <c r="Z109" s="152"/>
      <c r="AA109" s="152"/>
      <c r="AB109" s="152"/>
      <c r="AC109" s="152"/>
    </row>
    <row r="110" spans="1:29" x14ac:dyDescent="0.2">
      <c r="A110" s="152"/>
      <c r="B110" s="152"/>
      <c r="C110" s="152"/>
      <c r="D110" s="152"/>
      <c r="E110" s="152"/>
      <c r="F110" s="152"/>
      <c r="G110" s="152"/>
      <c r="H110" s="152"/>
      <c r="I110" s="152"/>
      <c r="J110" s="152"/>
      <c r="K110" s="152"/>
      <c r="L110" s="152"/>
      <c r="M110" s="152"/>
      <c r="N110" s="152"/>
      <c r="O110" s="152"/>
      <c r="P110" s="152"/>
      <c r="Q110" s="152"/>
      <c r="R110" s="152"/>
      <c r="S110" s="152"/>
      <c r="T110" s="152"/>
      <c r="U110" s="152"/>
      <c r="V110" s="152"/>
      <c r="W110" s="152"/>
      <c r="X110" s="152"/>
      <c r="Y110" s="152"/>
      <c r="Z110" s="152"/>
      <c r="AA110" s="152"/>
      <c r="AB110" s="152"/>
      <c r="AC110" s="152"/>
    </row>
    <row r="111" spans="1:29" x14ac:dyDescent="0.2">
      <c r="A111" s="152"/>
      <c r="B111" s="152"/>
      <c r="C111" s="152"/>
      <c r="D111" s="152"/>
      <c r="E111" s="152"/>
      <c r="F111" s="152"/>
      <c r="G111" s="152"/>
      <c r="H111" s="152"/>
      <c r="I111" s="152"/>
      <c r="J111" s="152"/>
      <c r="K111" s="152"/>
      <c r="L111" s="152"/>
      <c r="M111" s="152"/>
      <c r="N111" s="152"/>
      <c r="O111" s="152"/>
      <c r="P111" s="152"/>
      <c r="Q111" s="152"/>
      <c r="R111" s="152"/>
      <c r="S111" s="152"/>
      <c r="T111" s="152"/>
      <c r="U111" s="152"/>
      <c r="V111" s="152"/>
      <c r="W111" s="152"/>
      <c r="X111" s="152"/>
      <c r="Y111" s="152"/>
      <c r="Z111" s="152"/>
      <c r="AA111" s="152"/>
      <c r="AB111" s="152"/>
      <c r="AC111" s="152"/>
    </row>
    <row r="112" spans="1:29" x14ac:dyDescent="0.2">
      <c r="A112" s="152"/>
      <c r="B112" s="152"/>
      <c r="C112" s="152"/>
      <c r="D112" s="152"/>
      <c r="E112" s="152"/>
      <c r="F112" s="152"/>
      <c r="G112" s="152"/>
      <c r="H112" s="152"/>
      <c r="I112" s="152"/>
      <c r="J112" s="152"/>
      <c r="K112" s="152"/>
      <c r="L112" s="152"/>
      <c r="M112" s="152"/>
      <c r="N112" s="152"/>
      <c r="O112" s="152"/>
      <c r="P112" s="152"/>
      <c r="Q112" s="152"/>
      <c r="R112" s="152"/>
      <c r="S112" s="152"/>
      <c r="T112" s="152"/>
      <c r="U112" s="152"/>
      <c r="V112" s="152"/>
      <c r="W112" s="152"/>
      <c r="X112" s="152"/>
      <c r="Y112" s="152"/>
      <c r="Z112" s="152"/>
      <c r="AA112" s="152"/>
      <c r="AB112" s="152"/>
      <c r="AC112" s="152"/>
    </row>
    <row r="113" spans="1:29" x14ac:dyDescent="0.2">
      <c r="A113" s="152"/>
      <c r="B113" s="152"/>
      <c r="C113" s="152"/>
      <c r="D113" s="152"/>
      <c r="E113" s="152"/>
      <c r="F113" s="152"/>
      <c r="G113" s="152"/>
      <c r="H113" s="152"/>
      <c r="I113" s="152"/>
      <c r="J113" s="152"/>
      <c r="K113" s="152"/>
      <c r="L113" s="152"/>
      <c r="M113" s="152"/>
      <c r="N113" s="152"/>
      <c r="O113" s="152"/>
      <c r="P113" s="152"/>
      <c r="Q113" s="152"/>
      <c r="R113" s="152"/>
      <c r="S113" s="152"/>
      <c r="T113" s="152"/>
      <c r="U113" s="152"/>
      <c r="V113" s="152"/>
      <c r="W113" s="152"/>
      <c r="X113" s="152"/>
      <c r="Y113" s="152"/>
      <c r="Z113" s="152"/>
      <c r="AA113" s="152"/>
      <c r="AB113" s="152"/>
      <c r="AC113" s="152"/>
    </row>
    <row r="114" spans="1:29" x14ac:dyDescent="0.2">
      <c r="A114" s="152"/>
      <c r="B114" s="152"/>
      <c r="C114" s="152"/>
      <c r="D114" s="152"/>
      <c r="E114" s="152"/>
      <c r="F114" s="152"/>
      <c r="G114" s="152"/>
      <c r="H114" s="152"/>
      <c r="I114" s="152"/>
      <c r="J114" s="152"/>
      <c r="K114" s="152"/>
      <c r="L114" s="152"/>
      <c r="M114" s="152"/>
      <c r="N114" s="152"/>
      <c r="O114" s="152"/>
      <c r="P114" s="152"/>
      <c r="Q114" s="152"/>
      <c r="R114" s="152"/>
      <c r="S114" s="152"/>
      <c r="T114" s="152"/>
      <c r="U114" s="152"/>
      <c r="V114" s="152"/>
      <c r="W114" s="152"/>
      <c r="X114" s="152"/>
      <c r="Y114" s="152"/>
      <c r="Z114" s="152"/>
      <c r="AA114" s="152"/>
      <c r="AB114" s="152"/>
      <c r="AC114" s="152"/>
    </row>
    <row r="115" spans="1:29" x14ac:dyDescent="0.2">
      <c r="A115" s="152"/>
      <c r="B115" s="152"/>
      <c r="C115" s="152"/>
      <c r="D115" s="152"/>
      <c r="E115" s="152"/>
      <c r="F115" s="152"/>
      <c r="G115" s="152"/>
      <c r="H115" s="152"/>
      <c r="I115" s="152"/>
      <c r="J115" s="152"/>
      <c r="K115" s="152"/>
      <c r="L115" s="152"/>
      <c r="M115" s="152"/>
      <c r="N115" s="152"/>
      <c r="O115" s="152"/>
      <c r="P115" s="152"/>
      <c r="Q115" s="152"/>
      <c r="R115" s="152"/>
      <c r="S115" s="152"/>
      <c r="T115" s="152"/>
      <c r="U115" s="152"/>
      <c r="V115" s="152"/>
      <c r="W115" s="152"/>
      <c r="X115" s="152"/>
      <c r="Y115" s="152"/>
      <c r="Z115" s="152"/>
      <c r="AA115" s="152"/>
      <c r="AB115" s="152"/>
      <c r="AC115" s="152"/>
    </row>
    <row r="116" spans="1:29" x14ac:dyDescent="0.2">
      <c r="A116" s="152"/>
      <c r="B116" s="152"/>
      <c r="C116" s="152"/>
      <c r="D116" s="152"/>
      <c r="E116" s="152"/>
      <c r="F116" s="152"/>
      <c r="G116" s="152"/>
      <c r="H116" s="152"/>
      <c r="I116" s="152"/>
      <c r="J116" s="152"/>
      <c r="K116" s="152"/>
      <c r="L116" s="152"/>
      <c r="M116" s="152"/>
      <c r="N116" s="152"/>
      <c r="O116" s="152"/>
      <c r="P116" s="152"/>
      <c r="Q116" s="152"/>
      <c r="R116" s="152"/>
      <c r="S116" s="152"/>
      <c r="T116" s="152"/>
      <c r="U116" s="152"/>
      <c r="V116" s="152"/>
      <c r="W116" s="152"/>
      <c r="X116" s="152"/>
      <c r="Y116" s="152"/>
      <c r="Z116" s="152"/>
      <c r="AA116" s="152"/>
      <c r="AB116" s="152"/>
      <c r="AC116" s="152"/>
    </row>
    <row r="117" spans="1:29" x14ac:dyDescent="0.2">
      <c r="A117" s="152"/>
      <c r="B117" s="152"/>
      <c r="C117" s="152"/>
      <c r="D117" s="152"/>
      <c r="E117" s="152"/>
      <c r="F117" s="152"/>
      <c r="G117" s="152"/>
      <c r="H117" s="152"/>
      <c r="I117" s="152"/>
      <c r="J117" s="152"/>
      <c r="K117" s="152"/>
      <c r="L117" s="152"/>
      <c r="M117" s="152"/>
      <c r="N117" s="152"/>
      <c r="O117" s="152"/>
      <c r="P117" s="152"/>
      <c r="Q117" s="152"/>
      <c r="R117" s="152"/>
      <c r="S117" s="152"/>
      <c r="T117" s="152"/>
      <c r="U117" s="152"/>
      <c r="V117" s="152"/>
      <c r="W117" s="152"/>
      <c r="X117" s="152"/>
      <c r="Y117" s="152"/>
      <c r="Z117" s="152"/>
      <c r="AA117" s="152"/>
      <c r="AB117" s="152"/>
      <c r="AC117" s="152"/>
    </row>
    <row r="118" spans="1:29" x14ac:dyDescent="0.2">
      <c r="A118" s="152"/>
      <c r="B118" s="152"/>
      <c r="C118" s="152"/>
      <c r="D118" s="152"/>
      <c r="E118" s="152"/>
      <c r="F118" s="152"/>
      <c r="G118" s="152"/>
      <c r="H118" s="152"/>
      <c r="I118" s="152"/>
      <c r="J118" s="152"/>
      <c r="K118" s="152"/>
      <c r="L118" s="152"/>
      <c r="M118" s="152"/>
      <c r="N118" s="152"/>
      <c r="O118" s="152"/>
      <c r="P118" s="152"/>
      <c r="Q118" s="152"/>
      <c r="R118" s="152"/>
      <c r="S118" s="152"/>
      <c r="T118" s="152"/>
      <c r="U118" s="152"/>
      <c r="V118" s="152"/>
      <c r="W118" s="152"/>
      <c r="X118" s="152"/>
      <c r="Y118" s="152"/>
      <c r="Z118" s="152"/>
      <c r="AA118" s="152"/>
      <c r="AB118" s="152"/>
      <c r="AC118" s="152"/>
    </row>
    <row r="119" spans="1:29" x14ac:dyDescent="0.2">
      <c r="A119" s="152"/>
      <c r="B119" s="152"/>
      <c r="C119" s="152"/>
      <c r="D119" s="152"/>
      <c r="E119" s="152"/>
      <c r="F119" s="152"/>
      <c r="G119" s="152"/>
      <c r="H119" s="152"/>
      <c r="I119" s="152"/>
      <c r="J119" s="152"/>
      <c r="K119" s="152"/>
      <c r="L119" s="152"/>
      <c r="M119" s="152"/>
      <c r="N119" s="152"/>
      <c r="O119" s="152"/>
      <c r="P119" s="152"/>
      <c r="Q119" s="152"/>
      <c r="R119" s="152"/>
      <c r="S119" s="152"/>
      <c r="T119" s="152"/>
      <c r="U119" s="152"/>
      <c r="V119" s="152"/>
      <c r="W119" s="152"/>
      <c r="X119" s="152"/>
      <c r="Y119" s="152"/>
      <c r="Z119" s="152"/>
      <c r="AA119" s="152"/>
      <c r="AB119" s="152"/>
      <c r="AC119" s="152"/>
    </row>
    <row r="120" spans="1:29" x14ac:dyDescent="0.2">
      <c r="A120" s="152"/>
      <c r="B120" s="152"/>
      <c r="C120" s="152"/>
      <c r="D120" s="152"/>
      <c r="E120" s="152"/>
      <c r="F120" s="152"/>
      <c r="G120" s="152"/>
      <c r="H120" s="152"/>
      <c r="I120" s="152"/>
      <c r="J120" s="152"/>
      <c r="K120" s="152"/>
      <c r="L120" s="152"/>
      <c r="M120" s="152"/>
      <c r="N120" s="152"/>
      <c r="O120" s="152"/>
      <c r="P120" s="152"/>
      <c r="Q120" s="152"/>
      <c r="R120" s="152"/>
      <c r="S120" s="152"/>
      <c r="T120" s="152"/>
      <c r="U120" s="152"/>
      <c r="V120" s="152"/>
      <c r="W120" s="152"/>
      <c r="X120" s="152"/>
      <c r="Y120" s="152"/>
      <c r="Z120" s="152"/>
      <c r="AA120" s="152"/>
      <c r="AB120" s="152"/>
      <c r="AC120" s="152"/>
    </row>
    <row r="121" spans="1:29" x14ac:dyDescent="0.2">
      <c r="A121" s="152"/>
      <c r="B121" s="152"/>
      <c r="C121" s="152"/>
      <c r="D121" s="152"/>
      <c r="E121" s="152"/>
      <c r="F121" s="152"/>
      <c r="G121" s="152"/>
      <c r="H121" s="152"/>
      <c r="I121" s="152"/>
      <c r="J121" s="152"/>
      <c r="K121" s="152"/>
      <c r="L121" s="152"/>
      <c r="M121" s="152"/>
      <c r="N121" s="152"/>
      <c r="O121" s="152"/>
      <c r="P121" s="152"/>
      <c r="Q121" s="152"/>
      <c r="R121" s="152"/>
      <c r="S121" s="152"/>
      <c r="T121" s="152"/>
      <c r="U121" s="152"/>
      <c r="V121" s="152"/>
      <c r="W121" s="152"/>
      <c r="X121" s="152"/>
      <c r="Y121" s="152"/>
      <c r="Z121" s="152"/>
      <c r="AA121" s="152"/>
      <c r="AB121" s="152"/>
      <c r="AC121" s="152"/>
    </row>
    <row r="122" spans="1:29" x14ac:dyDescent="0.2">
      <c r="A122" s="152"/>
      <c r="B122" s="152"/>
      <c r="C122" s="152"/>
      <c r="D122" s="152"/>
      <c r="E122" s="152"/>
      <c r="F122" s="152"/>
      <c r="G122" s="152"/>
      <c r="H122" s="152"/>
      <c r="I122" s="152"/>
      <c r="J122" s="152"/>
      <c r="K122" s="152"/>
      <c r="L122" s="152"/>
      <c r="M122" s="152"/>
      <c r="N122" s="152"/>
      <c r="O122" s="152"/>
      <c r="P122" s="152"/>
      <c r="Q122" s="152"/>
      <c r="R122" s="152"/>
      <c r="S122" s="152"/>
      <c r="T122" s="152"/>
      <c r="U122" s="152"/>
      <c r="V122" s="152"/>
      <c r="W122" s="152"/>
      <c r="X122" s="152"/>
      <c r="Y122" s="152"/>
      <c r="Z122" s="152"/>
      <c r="AA122" s="152"/>
      <c r="AB122" s="152"/>
      <c r="AC122" s="152"/>
    </row>
    <row r="123" spans="1:29" x14ac:dyDescent="0.2">
      <c r="A123" s="152"/>
      <c r="B123" s="152"/>
      <c r="C123" s="152"/>
      <c r="D123" s="152"/>
      <c r="E123" s="152"/>
      <c r="F123" s="152"/>
      <c r="G123" s="152"/>
      <c r="H123" s="152"/>
      <c r="I123" s="152"/>
      <c r="J123" s="152"/>
      <c r="K123" s="152"/>
      <c r="L123" s="152"/>
      <c r="M123" s="152"/>
      <c r="N123" s="152"/>
      <c r="O123" s="152"/>
      <c r="P123" s="152"/>
      <c r="Q123" s="152"/>
      <c r="R123" s="152"/>
      <c r="S123" s="152"/>
      <c r="T123" s="152"/>
      <c r="U123" s="152"/>
      <c r="V123" s="152"/>
      <c r="W123" s="152"/>
      <c r="X123" s="152"/>
      <c r="Y123" s="152"/>
      <c r="Z123" s="152"/>
      <c r="AA123" s="152"/>
      <c r="AB123" s="152"/>
      <c r="AC123" s="152"/>
    </row>
    <row r="124" spans="1:29" x14ac:dyDescent="0.2">
      <c r="A124" s="152"/>
      <c r="B124" s="152"/>
      <c r="C124" s="152"/>
      <c r="D124" s="152"/>
      <c r="E124" s="152"/>
      <c r="F124" s="152"/>
      <c r="G124" s="152"/>
      <c r="H124" s="152"/>
      <c r="I124" s="152"/>
      <c r="J124" s="152"/>
      <c r="K124" s="152"/>
      <c r="L124" s="152"/>
      <c r="M124" s="152"/>
      <c r="N124" s="152"/>
      <c r="O124" s="152"/>
      <c r="P124" s="152"/>
      <c r="Q124" s="152"/>
      <c r="R124" s="152"/>
      <c r="S124" s="152"/>
      <c r="T124" s="152"/>
      <c r="U124" s="152"/>
      <c r="V124" s="152"/>
      <c r="W124" s="152"/>
      <c r="X124" s="152"/>
      <c r="Y124" s="152"/>
      <c r="Z124" s="152"/>
      <c r="AA124" s="152"/>
      <c r="AB124" s="152"/>
      <c r="AC124" s="152"/>
    </row>
    <row r="125" spans="1:29" x14ac:dyDescent="0.2">
      <c r="A125" s="152"/>
      <c r="B125" s="152"/>
      <c r="C125" s="152"/>
      <c r="D125" s="152"/>
      <c r="E125" s="152"/>
      <c r="F125" s="152"/>
      <c r="G125" s="152"/>
      <c r="H125" s="152"/>
      <c r="I125" s="152"/>
      <c r="J125" s="152"/>
      <c r="K125" s="152"/>
      <c r="L125" s="152"/>
      <c r="M125" s="152"/>
      <c r="N125" s="152"/>
      <c r="O125" s="152"/>
      <c r="P125" s="152"/>
      <c r="Q125" s="152"/>
      <c r="R125" s="152"/>
      <c r="S125" s="152"/>
      <c r="T125" s="152"/>
      <c r="U125" s="152"/>
      <c r="V125" s="152"/>
      <c r="W125" s="152"/>
      <c r="X125" s="152"/>
      <c r="Y125" s="152"/>
      <c r="Z125" s="152"/>
      <c r="AA125" s="152"/>
      <c r="AB125" s="152"/>
      <c r="AC125" s="152"/>
    </row>
    <row r="126" spans="1:29" x14ac:dyDescent="0.2">
      <c r="A126" s="152"/>
      <c r="B126" s="152"/>
      <c r="C126" s="152"/>
      <c r="D126" s="152"/>
      <c r="E126" s="152"/>
      <c r="F126" s="152"/>
      <c r="G126" s="152"/>
      <c r="H126" s="152"/>
      <c r="I126" s="152"/>
      <c r="J126" s="152"/>
      <c r="K126" s="152"/>
      <c r="L126" s="152"/>
      <c r="M126" s="152"/>
      <c r="N126" s="152"/>
      <c r="O126" s="152"/>
      <c r="P126" s="152"/>
      <c r="Q126" s="152"/>
      <c r="R126" s="152"/>
      <c r="S126" s="152"/>
      <c r="T126" s="152"/>
      <c r="U126" s="152"/>
      <c r="V126" s="152"/>
      <c r="W126" s="152"/>
      <c r="X126" s="152"/>
      <c r="Y126" s="152"/>
      <c r="Z126" s="152"/>
      <c r="AA126" s="152"/>
      <c r="AB126" s="152"/>
      <c r="AC126" s="152"/>
    </row>
    <row r="127" spans="1:29" x14ac:dyDescent="0.2">
      <c r="A127" s="152"/>
      <c r="B127" s="152"/>
      <c r="C127" s="152"/>
      <c r="D127" s="152"/>
      <c r="E127" s="152"/>
      <c r="F127" s="152"/>
      <c r="G127" s="152"/>
      <c r="H127" s="152"/>
      <c r="I127" s="152"/>
      <c r="J127" s="152"/>
      <c r="K127" s="152"/>
      <c r="L127" s="152"/>
      <c r="M127" s="152"/>
      <c r="N127" s="152"/>
      <c r="O127" s="152"/>
      <c r="P127" s="152"/>
      <c r="Q127" s="152"/>
      <c r="R127" s="152"/>
      <c r="S127" s="152"/>
      <c r="T127" s="152"/>
      <c r="U127" s="152"/>
      <c r="V127" s="152"/>
      <c r="W127" s="152"/>
      <c r="X127" s="152"/>
      <c r="Y127" s="152"/>
      <c r="Z127" s="152"/>
      <c r="AA127" s="152"/>
      <c r="AB127" s="152"/>
      <c r="AC127" s="152"/>
    </row>
    <row r="128" spans="1:29" x14ac:dyDescent="0.2">
      <c r="A128" s="152"/>
      <c r="B128" s="152"/>
      <c r="C128" s="152"/>
      <c r="D128" s="152"/>
      <c r="E128" s="152"/>
      <c r="F128" s="152"/>
      <c r="G128" s="152"/>
      <c r="H128" s="152"/>
      <c r="I128" s="152"/>
      <c r="J128" s="152"/>
      <c r="K128" s="152"/>
      <c r="L128" s="152"/>
      <c r="M128" s="152"/>
      <c r="N128" s="152"/>
      <c r="O128" s="152"/>
      <c r="P128" s="152"/>
      <c r="Q128" s="152"/>
      <c r="R128" s="152"/>
      <c r="S128" s="152"/>
      <c r="T128" s="152"/>
      <c r="U128" s="152"/>
      <c r="V128" s="152"/>
      <c r="W128" s="152"/>
      <c r="X128" s="152"/>
      <c r="Y128" s="152"/>
      <c r="Z128" s="152"/>
      <c r="AA128" s="152"/>
      <c r="AB128" s="152"/>
      <c r="AC128" s="152"/>
    </row>
    <row r="129" spans="1:29" x14ac:dyDescent="0.2">
      <c r="A129" s="152"/>
      <c r="B129" s="152"/>
      <c r="C129" s="152"/>
      <c r="D129" s="152"/>
      <c r="E129" s="152"/>
      <c r="F129" s="152"/>
      <c r="G129" s="152"/>
      <c r="H129" s="152"/>
      <c r="I129" s="152"/>
      <c r="J129" s="152"/>
      <c r="K129" s="152"/>
      <c r="L129" s="152"/>
      <c r="M129" s="152"/>
      <c r="N129" s="152"/>
      <c r="O129" s="152"/>
      <c r="P129" s="152"/>
      <c r="Q129" s="152"/>
      <c r="R129" s="152"/>
      <c r="S129" s="152"/>
      <c r="T129" s="152"/>
      <c r="U129" s="152"/>
      <c r="V129" s="152"/>
      <c r="W129" s="152"/>
      <c r="X129" s="152"/>
      <c r="Y129" s="152"/>
      <c r="Z129" s="152"/>
      <c r="AA129" s="152"/>
      <c r="AB129" s="152"/>
      <c r="AC129" s="152"/>
    </row>
    <row r="130" spans="1:29" x14ac:dyDescent="0.2">
      <c r="A130" s="152"/>
      <c r="B130" s="152"/>
      <c r="C130" s="152"/>
      <c r="D130" s="152"/>
      <c r="E130" s="152"/>
      <c r="F130" s="152"/>
      <c r="G130" s="152"/>
      <c r="H130" s="152"/>
      <c r="I130" s="152"/>
      <c r="J130" s="152"/>
      <c r="K130" s="152"/>
      <c r="L130" s="152"/>
      <c r="M130" s="152"/>
      <c r="N130" s="152"/>
      <c r="O130" s="152"/>
      <c r="P130" s="152"/>
      <c r="Q130" s="152"/>
      <c r="R130" s="152"/>
      <c r="S130" s="152"/>
      <c r="T130" s="152"/>
      <c r="U130" s="152"/>
      <c r="V130" s="152"/>
      <c r="W130" s="152"/>
      <c r="X130" s="152"/>
      <c r="Y130" s="152"/>
      <c r="Z130" s="152"/>
      <c r="AA130" s="152"/>
      <c r="AB130" s="152"/>
      <c r="AC130" s="152"/>
    </row>
    <row r="131" spans="1:29" x14ac:dyDescent="0.2">
      <c r="A131" s="152"/>
      <c r="B131" s="152"/>
      <c r="C131" s="152"/>
      <c r="D131" s="152"/>
      <c r="E131" s="152"/>
      <c r="F131" s="152"/>
      <c r="G131" s="152"/>
      <c r="H131" s="152"/>
      <c r="I131" s="152"/>
      <c r="J131" s="152"/>
      <c r="K131" s="152"/>
      <c r="L131" s="152"/>
      <c r="M131" s="152"/>
      <c r="N131" s="152"/>
      <c r="O131" s="152"/>
      <c r="P131" s="152"/>
      <c r="Q131" s="152"/>
      <c r="R131" s="152"/>
      <c r="S131" s="152"/>
      <c r="T131" s="152"/>
      <c r="U131" s="152"/>
      <c r="V131" s="152"/>
      <c r="W131" s="152"/>
      <c r="X131" s="152"/>
      <c r="Y131" s="152"/>
      <c r="Z131" s="152"/>
      <c r="AA131" s="152"/>
      <c r="AB131" s="152"/>
      <c r="AC131" s="152"/>
    </row>
    <row r="132" spans="1:29" x14ac:dyDescent="0.2">
      <c r="A132" s="152"/>
      <c r="B132" s="152"/>
      <c r="C132" s="152"/>
      <c r="D132" s="152"/>
      <c r="E132" s="152"/>
      <c r="F132" s="152"/>
      <c r="G132" s="152"/>
      <c r="H132" s="152"/>
      <c r="I132" s="152"/>
      <c r="J132" s="152"/>
      <c r="K132" s="152"/>
      <c r="L132" s="152"/>
      <c r="M132" s="152"/>
      <c r="N132" s="152"/>
      <c r="O132" s="152"/>
      <c r="P132" s="152"/>
      <c r="Q132" s="152"/>
      <c r="R132" s="152"/>
      <c r="S132" s="152"/>
      <c r="T132" s="152"/>
      <c r="U132" s="152"/>
      <c r="V132" s="152"/>
      <c r="W132" s="152"/>
      <c r="X132" s="152"/>
      <c r="Y132" s="152"/>
      <c r="Z132" s="152"/>
      <c r="AA132" s="152"/>
      <c r="AB132" s="152"/>
      <c r="AC132" s="152"/>
    </row>
    <row r="133" spans="1:29" x14ac:dyDescent="0.2">
      <c r="A133" s="152"/>
      <c r="B133" s="152"/>
      <c r="C133" s="152"/>
      <c r="D133" s="152"/>
      <c r="E133" s="152"/>
      <c r="F133" s="152"/>
      <c r="G133" s="152"/>
      <c r="H133" s="152"/>
      <c r="I133" s="152"/>
      <c r="J133" s="152"/>
      <c r="K133" s="152"/>
      <c r="L133" s="152"/>
      <c r="M133" s="152"/>
      <c r="N133" s="152"/>
      <c r="O133" s="152"/>
      <c r="P133" s="152"/>
      <c r="Q133" s="152"/>
      <c r="R133" s="152"/>
      <c r="S133" s="152"/>
      <c r="T133" s="152"/>
      <c r="U133" s="152"/>
      <c r="V133" s="152"/>
      <c r="W133" s="152"/>
      <c r="X133" s="152"/>
      <c r="Y133" s="152"/>
      <c r="Z133" s="152"/>
      <c r="AA133" s="152"/>
      <c r="AB133" s="152"/>
      <c r="AC133" s="152"/>
    </row>
    <row r="134" spans="1:29" x14ac:dyDescent="0.2">
      <c r="A134" s="152"/>
      <c r="B134" s="152"/>
      <c r="C134" s="152"/>
      <c r="D134" s="152"/>
      <c r="E134" s="152"/>
      <c r="F134" s="152"/>
      <c r="G134" s="152"/>
      <c r="H134" s="152"/>
      <c r="I134" s="152"/>
      <c r="J134" s="152"/>
      <c r="K134" s="152"/>
      <c r="L134" s="152"/>
      <c r="M134" s="152"/>
      <c r="N134" s="152"/>
      <c r="O134" s="152"/>
      <c r="P134" s="152"/>
      <c r="Q134" s="152"/>
      <c r="R134" s="152"/>
      <c r="S134" s="152"/>
      <c r="T134" s="152"/>
      <c r="U134" s="152"/>
      <c r="V134" s="152"/>
      <c r="W134" s="152"/>
      <c r="X134" s="152"/>
      <c r="Y134" s="152"/>
      <c r="Z134" s="152"/>
      <c r="AA134" s="152"/>
      <c r="AB134" s="152"/>
      <c r="AC134" s="152"/>
    </row>
    <row r="135" spans="1:29" x14ac:dyDescent="0.2">
      <c r="A135" s="152"/>
      <c r="B135" s="152"/>
      <c r="C135" s="152"/>
      <c r="D135" s="152"/>
      <c r="E135" s="152"/>
      <c r="F135" s="152"/>
      <c r="G135" s="152"/>
      <c r="H135" s="152"/>
      <c r="I135" s="152"/>
      <c r="J135" s="152"/>
      <c r="K135" s="152"/>
      <c r="L135" s="152"/>
      <c r="M135" s="152"/>
      <c r="N135" s="152"/>
      <c r="O135" s="152"/>
      <c r="P135" s="152"/>
      <c r="Q135" s="152"/>
      <c r="R135" s="152"/>
      <c r="S135" s="152"/>
      <c r="T135" s="152"/>
      <c r="U135" s="152"/>
      <c r="V135" s="152"/>
      <c r="W135" s="152"/>
      <c r="X135" s="152"/>
      <c r="Y135" s="152"/>
      <c r="Z135" s="152"/>
      <c r="AA135" s="152"/>
      <c r="AB135" s="152"/>
      <c r="AC135" s="152"/>
    </row>
    <row r="136" spans="1:29" x14ac:dyDescent="0.2">
      <c r="A136" s="152"/>
      <c r="B136" s="152"/>
      <c r="C136" s="152"/>
      <c r="D136" s="152"/>
      <c r="E136" s="152"/>
      <c r="F136" s="152"/>
      <c r="G136" s="152"/>
      <c r="H136" s="152"/>
      <c r="I136" s="152"/>
      <c r="J136" s="152"/>
      <c r="K136" s="152"/>
      <c r="L136" s="152"/>
      <c r="M136" s="152"/>
      <c r="N136" s="152"/>
      <c r="O136" s="152"/>
      <c r="P136" s="152"/>
      <c r="Q136" s="152"/>
      <c r="R136" s="152"/>
      <c r="S136" s="152"/>
      <c r="T136" s="152"/>
      <c r="U136" s="152"/>
      <c r="V136" s="152"/>
      <c r="W136" s="152"/>
      <c r="X136" s="152"/>
      <c r="Y136" s="152"/>
      <c r="Z136" s="152"/>
      <c r="AA136" s="152"/>
      <c r="AB136" s="152"/>
      <c r="AC136" s="152"/>
    </row>
    <row r="137" spans="1:29" x14ac:dyDescent="0.2">
      <c r="A137" s="152"/>
      <c r="B137" s="152"/>
      <c r="C137" s="152"/>
      <c r="D137" s="152"/>
      <c r="E137" s="152"/>
      <c r="F137" s="152"/>
      <c r="G137" s="152"/>
      <c r="H137" s="152"/>
      <c r="I137" s="152"/>
      <c r="J137" s="152"/>
      <c r="K137" s="152"/>
      <c r="L137" s="152"/>
      <c r="M137" s="152"/>
      <c r="N137" s="152"/>
      <c r="O137" s="152"/>
      <c r="P137" s="152"/>
      <c r="Q137" s="152"/>
      <c r="R137" s="152"/>
      <c r="S137" s="152"/>
      <c r="T137" s="152"/>
      <c r="U137" s="152"/>
      <c r="V137" s="152"/>
      <c r="W137" s="152"/>
      <c r="X137" s="152"/>
      <c r="Y137" s="152"/>
      <c r="Z137" s="152"/>
      <c r="AA137" s="152"/>
      <c r="AB137" s="152"/>
      <c r="AC137" s="152"/>
    </row>
    <row r="138" spans="1:29" x14ac:dyDescent="0.2">
      <c r="A138" s="152"/>
      <c r="B138" s="152"/>
      <c r="C138" s="152"/>
      <c r="D138" s="152"/>
      <c r="E138" s="152"/>
      <c r="F138" s="152"/>
      <c r="G138" s="152"/>
      <c r="H138" s="152"/>
      <c r="I138" s="152"/>
      <c r="J138" s="152"/>
      <c r="K138" s="152"/>
      <c r="L138" s="152"/>
      <c r="M138" s="152"/>
      <c r="N138" s="152"/>
      <c r="O138" s="152"/>
      <c r="P138" s="152"/>
      <c r="Q138" s="152"/>
      <c r="R138" s="152"/>
      <c r="S138" s="152"/>
      <c r="T138" s="152"/>
      <c r="U138" s="152"/>
      <c r="V138" s="152"/>
      <c r="W138" s="152"/>
      <c r="X138" s="152"/>
      <c r="Y138" s="152"/>
      <c r="Z138" s="152"/>
      <c r="AA138" s="152"/>
      <c r="AB138" s="152"/>
      <c r="AC138" s="152"/>
    </row>
    <row r="139" spans="1:29" x14ac:dyDescent="0.2">
      <c r="A139" s="152"/>
      <c r="B139" s="152"/>
      <c r="C139" s="152"/>
      <c r="D139" s="152"/>
      <c r="E139" s="152"/>
      <c r="F139" s="152"/>
      <c r="G139" s="152"/>
      <c r="H139" s="152"/>
      <c r="I139" s="152"/>
      <c r="J139" s="152"/>
      <c r="K139" s="152"/>
      <c r="L139" s="152"/>
      <c r="M139" s="152"/>
      <c r="N139" s="152"/>
      <c r="O139" s="152"/>
      <c r="P139" s="152"/>
      <c r="Q139" s="152"/>
      <c r="R139" s="152"/>
      <c r="S139" s="152"/>
      <c r="T139" s="152"/>
      <c r="U139" s="152"/>
      <c r="V139" s="152"/>
      <c r="W139" s="152"/>
      <c r="X139" s="152"/>
      <c r="Y139" s="152"/>
      <c r="Z139" s="152"/>
      <c r="AA139" s="152"/>
      <c r="AB139" s="152"/>
      <c r="AC139" s="152"/>
    </row>
    <row r="140" spans="1:29" x14ac:dyDescent="0.2">
      <c r="A140" s="152"/>
      <c r="B140" s="152"/>
      <c r="C140" s="152"/>
      <c r="D140" s="152"/>
      <c r="E140" s="152"/>
      <c r="F140" s="152"/>
      <c r="G140" s="152"/>
      <c r="H140" s="152"/>
      <c r="I140" s="152"/>
      <c r="J140" s="152"/>
      <c r="K140" s="152"/>
      <c r="L140" s="152"/>
      <c r="M140" s="152"/>
      <c r="N140" s="152"/>
      <c r="O140" s="152"/>
      <c r="P140" s="152"/>
      <c r="Q140" s="152"/>
      <c r="R140" s="152"/>
      <c r="S140" s="152"/>
      <c r="T140" s="152"/>
      <c r="U140" s="152"/>
      <c r="V140" s="152"/>
      <c r="W140" s="152"/>
      <c r="X140" s="152"/>
      <c r="Y140" s="152"/>
      <c r="Z140" s="152"/>
      <c r="AA140" s="152"/>
      <c r="AB140" s="152"/>
      <c r="AC140" s="152"/>
    </row>
    <row r="141" spans="1:29" x14ac:dyDescent="0.2">
      <c r="A141" s="152"/>
      <c r="B141" s="152"/>
      <c r="C141" s="152"/>
      <c r="D141" s="152"/>
      <c r="E141" s="152"/>
      <c r="F141" s="152"/>
      <c r="G141" s="152"/>
      <c r="H141" s="152"/>
      <c r="I141" s="152"/>
      <c r="J141" s="152"/>
      <c r="K141" s="152"/>
      <c r="L141" s="152"/>
      <c r="M141" s="152"/>
      <c r="N141" s="152"/>
      <c r="O141" s="152"/>
      <c r="P141" s="152"/>
      <c r="Q141" s="152"/>
      <c r="R141" s="152"/>
      <c r="S141" s="152"/>
      <c r="T141" s="152"/>
      <c r="U141" s="152"/>
      <c r="V141" s="152"/>
      <c r="W141" s="152"/>
      <c r="X141" s="152"/>
      <c r="Y141" s="152"/>
      <c r="Z141" s="152"/>
      <c r="AA141" s="152"/>
      <c r="AB141" s="152"/>
      <c r="AC141" s="152"/>
    </row>
    <row r="142" spans="1:29" x14ac:dyDescent="0.2">
      <c r="A142" s="152"/>
      <c r="B142" s="152"/>
      <c r="C142" s="152"/>
      <c r="D142" s="152"/>
      <c r="E142" s="152"/>
      <c r="F142" s="152"/>
      <c r="G142" s="152"/>
      <c r="H142" s="152"/>
      <c r="I142" s="152"/>
      <c r="J142" s="152"/>
      <c r="K142" s="152"/>
      <c r="L142" s="152"/>
      <c r="M142" s="152"/>
      <c r="N142" s="152"/>
      <c r="O142" s="152"/>
      <c r="P142" s="152"/>
      <c r="Q142" s="152"/>
      <c r="R142" s="152"/>
      <c r="S142" s="152"/>
      <c r="T142" s="152"/>
      <c r="U142" s="152"/>
      <c r="V142" s="152"/>
      <c r="W142" s="152"/>
      <c r="X142" s="152"/>
      <c r="Y142" s="152"/>
      <c r="Z142" s="152"/>
      <c r="AA142" s="152"/>
      <c r="AB142" s="152"/>
      <c r="AC142" s="152"/>
    </row>
    <row r="143" spans="1:29" x14ac:dyDescent="0.2">
      <c r="A143" s="152"/>
      <c r="B143" s="152"/>
      <c r="C143" s="152"/>
      <c r="D143" s="152"/>
      <c r="E143" s="152"/>
      <c r="F143" s="152"/>
      <c r="G143" s="152"/>
      <c r="H143" s="152"/>
      <c r="I143" s="152"/>
      <c r="J143" s="152"/>
      <c r="K143" s="152"/>
      <c r="L143" s="152"/>
      <c r="M143" s="152"/>
      <c r="N143" s="152"/>
      <c r="O143" s="152"/>
      <c r="P143" s="152"/>
      <c r="Q143" s="152"/>
      <c r="R143" s="152"/>
      <c r="S143" s="152"/>
      <c r="T143" s="152"/>
      <c r="U143" s="152"/>
      <c r="V143" s="152"/>
      <c r="W143" s="152"/>
      <c r="X143" s="152"/>
      <c r="Y143" s="152"/>
      <c r="Z143" s="152"/>
      <c r="AA143" s="152"/>
      <c r="AB143" s="152"/>
      <c r="AC143" s="152"/>
    </row>
    <row r="144" spans="1:29" x14ac:dyDescent="0.2">
      <c r="A144" s="152"/>
      <c r="B144" s="152"/>
      <c r="C144" s="152"/>
      <c r="D144" s="152"/>
      <c r="E144" s="152"/>
      <c r="F144" s="152"/>
      <c r="G144" s="152"/>
      <c r="H144" s="152"/>
      <c r="I144" s="152"/>
      <c r="J144" s="152"/>
      <c r="K144" s="152"/>
      <c r="L144" s="152"/>
      <c r="M144" s="152"/>
      <c r="N144" s="152"/>
      <c r="O144" s="152"/>
      <c r="P144" s="152"/>
      <c r="Q144" s="152"/>
      <c r="R144" s="152"/>
      <c r="S144" s="152"/>
      <c r="T144" s="152"/>
      <c r="U144" s="152"/>
      <c r="V144" s="152"/>
      <c r="W144" s="152"/>
      <c r="X144" s="152"/>
      <c r="Y144" s="152"/>
      <c r="Z144" s="152"/>
      <c r="AA144" s="152"/>
      <c r="AB144" s="152"/>
      <c r="AC144" s="152"/>
    </row>
    <row r="145" spans="1:29" x14ac:dyDescent="0.2">
      <c r="A145" s="152"/>
      <c r="B145" s="152"/>
      <c r="C145" s="152"/>
      <c r="D145" s="152"/>
      <c r="E145" s="152"/>
      <c r="F145" s="152"/>
      <c r="G145" s="152"/>
      <c r="H145" s="152"/>
      <c r="I145" s="152"/>
      <c r="J145" s="152"/>
      <c r="K145" s="152"/>
      <c r="L145" s="152"/>
      <c r="M145" s="152"/>
      <c r="N145" s="152"/>
      <c r="O145" s="152"/>
      <c r="P145" s="152"/>
      <c r="Q145" s="152"/>
      <c r="R145" s="152"/>
      <c r="S145" s="152"/>
      <c r="T145" s="152"/>
      <c r="U145" s="152"/>
      <c r="V145" s="152"/>
      <c r="W145" s="152"/>
      <c r="X145" s="152"/>
      <c r="Y145" s="152"/>
      <c r="Z145" s="152"/>
      <c r="AA145" s="152"/>
      <c r="AB145" s="152"/>
      <c r="AC145" s="152"/>
    </row>
    <row r="146" spans="1:29" x14ac:dyDescent="0.2">
      <c r="A146" s="152"/>
      <c r="B146" s="152"/>
      <c r="C146" s="152"/>
      <c r="D146" s="152"/>
      <c r="E146" s="152"/>
      <c r="F146" s="152"/>
      <c r="G146" s="152"/>
      <c r="H146" s="152"/>
      <c r="I146" s="152"/>
      <c r="J146" s="152"/>
      <c r="K146" s="152"/>
      <c r="L146" s="152"/>
      <c r="M146" s="152"/>
      <c r="N146" s="152"/>
      <c r="O146" s="152"/>
      <c r="P146" s="152"/>
      <c r="Q146" s="152"/>
      <c r="R146" s="152"/>
      <c r="S146" s="152"/>
      <c r="T146" s="152"/>
      <c r="U146" s="152"/>
      <c r="V146" s="152"/>
      <c r="W146" s="152"/>
      <c r="X146" s="152"/>
      <c r="Y146" s="152"/>
      <c r="Z146" s="152"/>
      <c r="AA146" s="152"/>
      <c r="AB146" s="152"/>
      <c r="AC146" s="152"/>
    </row>
    <row r="147" spans="1:29" x14ac:dyDescent="0.2">
      <c r="A147" s="152"/>
      <c r="B147" s="152"/>
      <c r="C147" s="152"/>
      <c r="D147" s="152"/>
      <c r="E147" s="152"/>
      <c r="F147" s="152"/>
      <c r="G147" s="152"/>
      <c r="H147" s="152"/>
      <c r="I147" s="152"/>
      <c r="J147" s="152"/>
      <c r="K147" s="152"/>
      <c r="L147" s="152"/>
      <c r="M147" s="152"/>
      <c r="N147" s="152"/>
      <c r="O147" s="152"/>
      <c r="P147" s="152"/>
      <c r="Q147" s="152"/>
      <c r="R147" s="152"/>
      <c r="S147" s="152"/>
      <c r="T147" s="152"/>
      <c r="U147" s="152"/>
      <c r="V147" s="152"/>
      <c r="W147" s="152"/>
      <c r="X147" s="152"/>
      <c r="Y147" s="152"/>
      <c r="Z147" s="152"/>
      <c r="AA147" s="152"/>
      <c r="AB147" s="152"/>
      <c r="AC147" s="152"/>
    </row>
    <row r="148" spans="1:29" x14ac:dyDescent="0.2">
      <c r="A148" s="152"/>
      <c r="B148" s="152"/>
      <c r="C148" s="152"/>
      <c r="D148" s="152"/>
      <c r="E148" s="152"/>
      <c r="F148" s="152"/>
      <c r="G148" s="152"/>
      <c r="H148" s="152"/>
      <c r="I148" s="152"/>
      <c r="J148" s="152"/>
      <c r="K148" s="152"/>
      <c r="L148" s="152"/>
      <c r="M148" s="152"/>
      <c r="N148" s="152"/>
      <c r="O148" s="152"/>
      <c r="P148" s="152"/>
      <c r="Q148" s="152"/>
      <c r="R148" s="152"/>
      <c r="S148" s="152"/>
      <c r="T148" s="152"/>
      <c r="U148" s="152"/>
      <c r="V148" s="152"/>
      <c r="W148" s="152"/>
      <c r="X148" s="152"/>
      <c r="Y148" s="152"/>
      <c r="Z148" s="152"/>
      <c r="AA148" s="152"/>
      <c r="AB148" s="152"/>
      <c r="AC148" s="152"/>
    </row>
    <row r="149" spans="1:29" x14ac:dyDescent="0.2">
      <c r="A149" s="152"/>
      <c r="B149" s="152"/>
      <c r="C149" s="152"/>
      <c r="D149" s="152"/>
      <c r="E149" s="152"/>
      <c r="F149" s="152"/>
      <c r="G149" s="152"/>
      <c r="H149" s="152"/>
      <c r="I149" s="152"/>
      <c r="J149" s="152"/>
      <c r="K149" s="152"/>
      <c r="L149" s="152"/>
      <c r="M149" s="152"/>
      <c r="N149" s="152"/>
      <c r="O149" s="152"/>
      <c r="P149" s="152"/>
      <c r="Q149" s="152"/>
      <c r="R149" s="152"/>
      <c r="S149" s="152"/>
      <c r="T149" s="152"/>
      <c r="U149" s="152"/>
      <c r="V149" s="152"/>
      <c r="W149" s="152"/>
      <c r="X149" s="152"/>
      <c r="Y149" s="152"/>
      <c r="Z149" s="152"/>
      <c r="AA149" s="152"/>
      <c r="AB149" s="152"/>
      <c r="AC149" s="152"/>
    </row>
    <row r="150" spans="1:29" x14ac:dyDescent="0.2">
      <c r="A150" s="152"/>
      <c r="B150" s="152"/>
      <c r="C150" s="152"/>
      <c r="D150" s="152"/>
      <c r="E150" s="152"/>
      <c r="F150" s="152"/>
      <c r="G150" s="152"/>
      <c r="H150" s="152"/>
      <c r="I150" s="152"/>
      <c r="J150" s="152"/>
      <c r="K150" s="152"/>
      <c r="L150" s="152"/>
      <c r="M150" s="152"/>
      <c r="N150" s="152"/>
      <c r="O150" s="152"/>
      <c r="P150" s="152"/>
      <c r="Q150" s="152"/>
      <c r="R150" s="152"/>
      <c r="S150" s="152"/>
      <c r="T150" s="152"/>
      <c r="U150" s="152"/>
      <c r="V150" s="152"/>
      <c r="W150" s="152"/>
      <c r="X150" s="152"/>
      <c r="Y150" s="152"/>
      <c r="Z150" s="152"/>
      <c r="AA150" s="152"/>
      <c r="AB150" s="152"/>
      <c r="AC150" s="152"/>
    </row>
    <row r="151" spans="1:29" x14ac:dyDescent="0.2">
      <c r="A151" s="152"/>
      <c r="B151" s="152"/>
      <c r="C151" s="152"/>
      <c r="D151" s="152"/>
      <c r="E151" s="152"/>
      <c r="F151" s="152"/>
      <c r="G151" s="152"/>
      <c r="H151" s="152"/>
      <c r="I151" s="152"/>
      <c r="J151" s="152"/>
      <c r="K151" s="152"/>
      <c r="L151" s="152"/>
      <c r="M151" s="152"/>
      <c r="N151" s="152"/>
      <c r="O151" s="152"/>
      <c r="P151" s="152"/>
      <c r="Q151" s="152"/>
      <c r="R151" s="152"/>
      <c r="S151" s="152"/>
      <c r="T151" s="152"/>
      <c r="U151" s="152"/>
      <c r="V151" s="152"/>
      <c r="W151" s="152"/>
      <c r="X151" s="152"/>
      <c r="Y151" s="152"/>
      <c r="Z151" s="152"/>
      <c r="AA151" s="152"/>
      <c r="AB151" s="152"/>
      <c r="AC151" s="152"/>
    </row>
    <row r="152" spans="1:29" x14ac:dyDescent="0.2">
      <c r="A152" s="152"/>
      <c r="B152" s="152"/>
      <c r="C152" s="152"/>
      <c r="D152" s="152"/>
      <c r="E152" s="152"/>
      <c r="F152" s="152"/>
      <c r="G152" s="152"/>
      <c r="H152" s="152"/>
      <c r="I152" s="152"/>
      <c r="J152" s="152"/>
      <c r="K152" s="152"/>
      <c r="L152" s="152"/>
      <c r="M152" s="152"/>
      <c r="N152" s="152"/>
      <c r="O152" s="152"/>
      <c r="P152" s="152"/>
      <c r="Q152" s="152"/>
      <c r="R152" s="152"/>
      <c r="S152" s="152"/>
      <c r="T152" s="152"/>
      <c r="U152" s="152"/>
      <c r="V152" s="152"/>
      <c r="W152" s="152"/>
      <c r="X152" s="152"/>
      <c r="Y152" s="152"/>
      <c r="Z152" s="152"/>
      <c r="AA152" s="152"/>
      <c r="AB152" s="152"/>
      <c r="AC152" s="152"/>
    </row>
    <row r="153" spans="1:29" x14ac:dyDescent="0.2">
      <c r="A153" s="152"/>
      <c r="B153" s="152"/>
      <c r="C153" s="152"/>
      <c r="D153" s="152"/>
      <c r="E153" s="152"/>
      <c r="F153" s="152"/>
      <c r="G153" s="152"/>
      <c r="H153" s="152"/>
      <c r="I153" s="152"/>
      <c r="J153" s="152"/>
      <c r="K153" s="152"/>
      <c r="L153" s="152"/>
      <c r="M153" s="152"/>
      <c r="N153" s="152"/>
      <c r="O153" s="152"/>
      <c r="P153" s="152"/>
      <c r="Q153" s="152"/>
      <c r="R153" s="152"/>
      <c r="S153" s="152"/>
      <c r="T153" s="152"/>
      <c r="U153" s="152"/>
      <c r="V153" s="152"/>
      <c r="W153" s="152"/>
      <c r="X153" s="152"/>
      <c r="Y153" s="152"/>
      <c r="Z153" s="152"/>
      <c r="AA153" s="152"/>
      <c r="AB153" s="152"/>
      <c r="AC153" s="152"/>
    </row>
    <row r="154" spans="1:29" x14ac:dyDescent="0.2">
      <c r="A154" s="152"/>
      <c r="B154" s="152"/>
      <c r="C154" s="152"/>
      <c r="D154" s="152"/>
      <c r="E154" s="152"/>
      <c r="F154" s="152"/>
      <c r="G154" s="152"/>
      <c r="H154" s="152"/>
      <c r="I154" s="152"/>
      <c r="J154" s="152"/>
      <c r="K154" s="152"/>
      <c r="L154" s="152"/>
      <c r="M154" s="152"/>
      <c r="N154" s="152"/>
      <c r="O154" s="152"/>
      <c r="P154" s="152"/>
      <c r="Q154" s="152"/>
      <c r="R154" s="152"/>
      <c r="S154" s="152"/>
      <c r="T154" s="152"/>
      <c r="U154" s="152"/>
      <c r="V154" s="152"/>
      <c r="W154" s="152"/>
      <c r="X154" s="152"/>
      <c r="Y154" s="152"/>
      <c r="Z154" s="152"/>
      <c r="AA154" s="152"/>
      <c r="AB154" s="152"/>
      <c r="AC154" s="152"/>
    </row>
    <row r="155" spans="1:29" x14ac:dyDescent="0.2">
      <c r="A155" s="152"/>
      <c r="B155" s="152"/>
      <c r="C155" s="152"/>
      <c r="D155" s="152"/>
      <c r="E155" s="152"/>
      <c r="F155" s="152"/>
      <c r="G155" s="152"/>
      <c r="H155" s="152"/>
      <c r="I155" s="152"/>
      <c r="J155" s="152"/>
      <c r="K155" s="152"/>
      <c r="L155" s="152"/>
      <c r="M155" s="152"/>
      <c r="N155" s="152"/>
      <c r="O155" s="152"/>
      <c r="P155" s="152"/>
      <c r="Q155" s="152"/>
      <c r="R155" s="152"/>
      <c r="S155" s="152"/>
      <c r="T155" s="152"/>
      <c r="U155" s="152"/>
      <c r="V155" s="152"/>
      <c r="W155" s="152"/>
      <c r="X155" s="152"/>
      <c r="Y155" s="152"/>
      <c r="Z155" s="152"/>
      <c r="AA155" s="152"/>
      <c r="AB155" s="152"/>
      <c r="AC155" s="152"/>
    </row>
    <row r="156" spans="1:29" x14ac:dyDescent="0.2">
      <c r="A156" s="152"/>
      <c r="B156" s="152"/>
      <c r="C156" s="152"/>
      <c r="D156" s="152"/>
      <c r="E156" s="152"/>
      <c r="F156" s="152"/>
      <c r="G156" s="152"/>
      <c r="H156" s="152"/>
      <c r="I156" s="152"/>
      <c r="J156" s="152"/>
      <c r="K156" s="152"/>
      <c r="L156" s="152"/>
      <c r="M156" s="152"/>
      <c r="N156" s="152"/>
      <c r="O156" s="152"/>
      <c r="P156" s="152"/>
      <c r="Q156" s="152"/>
      <c r="R156" s="152"/>
      <c r="S156" s="152"/>
      <c r="T156" s="152"/>
      <c r="U156" s="152"/>
      <c r="V156" s="152"/>
      <c r="W156" s="152"/>
      <c r="X156" s="152"/>
      <c r="Y156" s="152"/>
      <c r="Z156" s="152"/>
      <c r="AA156" s="152"/>
      <c r="AB156" s="152"/>
      <c r="AC156" s="152"/>
    </row>
    <row r="157" spans="1:29" x14ac:dyDescent="0.2">
      <c r="A157" s="152"/>
      <c r="B157" s="152"/>
      <c r="C157" s="152"/>
      <c r="D157" s="152"/>
      <c r="E157" s="152"/>
      <c r="F157" s="152"/>
      <c r="G157" s="152"/>
      <c r="H157" s="152"/>
      <c r="I157" s="152"/>
      <c r="J157" s="152"/>
      <c r="K157" s="152"/>
      <c r="L157" s="152"/>
      <c r="M157" s="152"/>
      <c r="N157" s="152"/>
      <c r="O157" s="152"/>
      <c r="P157" s="152"/>
      <c r="Q157" s="152"/>
      <c r="R157" s="152"/>
      <c r="S157" s="152"/>
      <c r="T157" s="152"/>
      <c r="U157" s="152"/>
      <c r="V157" s="152"/>
      <c r="W157" s="152"/>
      <c r="X157" s="152"/>
      <c r="Y157" s="152"/>
      <c r="Z157" s="152"/>
      <c r="AA157" s="152"/>
      <c r="AB157" s="152"/>
      <c r="AC157" s="152"/>
    </row>
    <row r="158" spans="1:29" x14ac:dyDescent="0.2">
      <c r="A158" s="152"/>
      <c r="B158" s="152"/>
      <c r="C158" s="152"/>
      <c r="D158" s="152"/>
      <c r="E158" s="152"/>
      <c r="F158" s="152"/>
      <c r="G158" s="152"/>
      <c r="H158" s="152"/>
      <c r="I158" s="152"/>
      <c r="J158" s="152"/>
      <c r="K158" s="152"/>
      <c r="L158" s="152"/>
      <c r="M158" s="152"/>
      <c r="N158" s="152"/>
      <c r="O158" s="152"/>
      <c r="P158" s="152"/>
      <c r="Q158" s="152"/>
      <c r="R158" s="152"/>
      <c r="S158" s="152"/>
      <c r="T158" s="152"/>
      <c r="U158" s="152"/>
      <c r="V158" s="152"/>
      <c r="W158" s="152"/>
      <c r="X158" s="152"/>
      <c r="Y158" s="152"/>
      <c r="Z158" s="152"/>
      <c r="AA158" s="152"/>
      <c r="AB158" s="152"/>
      <c r="AC158" s="152"/>
    </row>
    <row r="159" spans="1:29" x14ac:dyDescent="0.2">
      <c r="A159" s="152"/>
      <c r="B159" s="152"/>
      <c r="C159" s="152"/>
      <c r="D159" s="152"/>
      <c r="E159" s="152"/>
      <c r="F159" s="152"/>
      <c r="G159" s="152"/>
      <c r="H159" s="152"/>
      <c r="I159" s="152"/>
      <c r="J159" s="152"/>
      <c r="K159" s="152"/>
      <c r="L159" s="152"/>
      <c r="M159" s="152"/>
      <c r="N159" s="152"/>
      <c r="O159" s="152"/>
      <c r="P159" s="152"/>
      <c r="Q159" s="152"/>
      <c r="R159" s="152"/>
      <c r="S159" s="152"/>
      <c r="T159" s="152"/>
      <c r="U159" s="152"/>
      <c r="V159" s="152"/>
      <c r="W159" s="152"/>
      <c r="X159" s="152"/>
      <c r="Y159" s="152"/>
      <c r="Z159" s="152"/>
      <c r="AA159" s="152"/>
      <c r="AB159" s="152"/>
      <c r="AC159" s="152"/>
    </row>
    <row r="160" spans="1:29" x14ac:dyDescent="0.2">
      <c r="A160" s="152"/>
      <c r="B160" s="152"/>
      <c r="C160" s="152"/>
      <c r="D160" s="152"/>
      <c r="E160" s="152"/>
      <c r="F160" s="152"/>
      <c r="G160" s="152"/>
      <c r="H160" s="152"/>
      <c r="I160" s="152"/>
      <c r="J160" s="152"/>
      <c r="K160" s="152"/>
      <c r="L160" s="152"/>
      <c r="M160" s="152"/>
      <c r="N160" s="152"/>
      <c r="O160" s="152"/>
      <c r="P160" s="152"/>
      <c r="Q160" s="152"/>
      <c r="R160" s="152"/>
      <c r="S160" s="152"/>
      <c r="T160" s="152"/>
      <c r="U160" s="152"/>
      <c r="V160" s="152"/>
      <c r="W160" s="152"/>
      <c r="X160" s="152"/>
      <c r="Y160" s="152"/>
      <c r="Z160" s="152"/>
      <c r="AA160" s="152"/>
      <c r="AB160" s="152"/>
      <c r="AC160" s="152"/>
    </row>
    <row r="161" spans="1:29" x14ac:dyDescent="0.2">
      <c r="A161" s="152"/>
      <c r="B161" s="152"/>
      <c r="C161" s="152"/>
      <c r="D161" s="152"/>
      <c r="E161" s="152"/>
      <c r="F161" s="152"/>
      <c r="G161" s="152"/>
      <c r="H161" s="152"/>
      <c r="I161" s="152"/>
      <c r="J161" s="152"/>
      <c r="K161" s="152"/>
      <c r="L161" s="152"/>
      <c r="M161" s="152"/>
      <c r="N161" s="152"/>
      <c r="O161" s="152"/>
      <c r="P161" s="152"/>
      <c r="Q161" s="152"/>
      <c r="R161" s="152"/>
      <c r="S161" s="152"/>
      <c r="T161" s="152"/>
      <c r="U161" s="152"/>
      <c r="V161" s="152"/>
      <c r="W161" s="152"/>
      <c r="X161" s="152"/>
      <c r="Y161" s="152"/>
      <c r="Z161" s="152"/>
      <c r="AA161" s="152"/>
      <c r="AB161" s="152"/>
      <c r="AC161" s="152"/>
    </row>
    <row r="162" spans="1:29" x14ac:dyDescent="0.2">
      <c r="A162" s="152"/>
      <c r="B162" s="152"/>
      <c r="C162" s="152"/>
      <c r="D162" s="152"/>
      <c r="E162" s="152"/>
      <c r="F162" s="152"/>
      <c r="G162" s="152"/>
      <c r="H162" s="152"/>
      <c r="I162" s="152"/>
      <c r="J162" s="152"/>
      <c r="K162" s="152"/>
      <c r="L162" s="152"/>
      <c r="M162" s="152"/>
      <c r="N162" s="152"/>
      <c r="O162" s="152"/>
      <c r="P162" s="152"/>
      <c r="Q162" s="152"/>
      <c r="R162" s="152"/>
      <c r="S162" s="152"/>
      <c r="T162" s="152"/>
      <c r="U162" s="152"/>
      <c r="V162" s="152"/>
      <c r="W162" s="152"/>
      <c r="X162" s="152"/>
      <c r="Y162" s="152"/>
      <c r="Z162" s="152"/>
      <c r="AA162" s="152"/>
      <c r="AB162" s="152"/>
      <c r="AC162" s="152"/>
    </row>
    <row r="163" spans="1:29" x14ac:dyDescent="0.2">
      <c r="A163" s="152"/>
      <c r="B163" s="152"/>
      <c r="C163" s="152"/>
      <c r="D163" s="152"/>
      <c r="E163" s="152"/>
      <c r="F163" s="152"/>
      <c r="G163" s="152"/>
      <c r="H163" s="152"/>
      <c r="I163" s="152"/>
      <c r="J163" s="152"/>
      <c r="K163" s="152"/>
      <c r="L163" s="152"/>
      <c r="M163" s="152"/>
      <c r="N163" s="152"/>
      <c r="O163" s="152"/>
      <c r="P163" s="152"/>
      <c r="Q163" s="152"/>
      <c r="R163" s="152"/>
      <c r="S163" s="152"/>
      <c r="T163" s="152"/>
      <c r="U163" s="152"/>
      <c r="V163" s="152"/>
      <c r="W163" s="152"/>
      <c r="X163" s="152"/>
      <c r="Y163" s="152"/>
      <c r="Z163" s="152"/>
      <c r="AA163" s="152"/>
      <c r="AB163" s="152"/>
      <c r="AC163" s="152"/>
    </row>
    <row r="164" spans="1:29" x14ac:dyDescent="0.2">
      <c r="A164" s="152"/>
      <c r="B164" s="152"/>
      <c r="C164" s="152"/>
      <c r="D164" s="152"/>
      <c r="E164" s="152"/>
      <c r="F164" s="152"/>
      <c r="G164" s="152"/>
      <c r="H164" s="152"/>
      <c r="I164" s="152"/>
      <c r="J164" s="152"/>
      <c r="K164" s="152"/>
      <c r="L164" s="152"/>
      <c r="M164" s="152"/>
      <c r="N164" s="152"/>
      <c r="O164" s="152"/>
      <c r="P164" s="152"/>
      <c r="Q164" s="152"/>
      <c r="R164" s="152"/>
      <c r="S164" s="152"/>
      <c r="T164" s="152"/>
      <c r="U164" s="152"/>
      <c r="V164" s="152"/>
      <c r="W164" s="152"/>
      <c r="X164" s="152"/>
      <c r="Y164" s="152"/>
      <c r="Z164" s="152"/>
      <c r="AA164" s="152"/>
      <c r="AB164" s="152"/>
      <c r="AC164" s="152"/>
    </row>
    <row r="165" spans="1:29" x14ac:dyDescent="0.2">
      <c r="A165" s="152"/>
      <c r="B165" s="152"/>
      <c r="C165" s="152"/>
      <c r="D165" s="152"/>
      <c r="E165" s="152"/>
      <c r="F165" s="152"/>
      <c r="G165" s="152"/>
      <c r="H165" s="152"/>
      <c r="I165" s="152"/>
      <c r="J165" s="152"/>
      <c r="K165" s="152"/>
      <c r="L165" s="152"/>
      <c r="M165" s="152"/>
      <c r="N165" s="152"/>
      <c r="O165" s="152"/>
      <c r="P165" s="152"/>
      <c r="Q165" s="152"/>
      <c r="R165" s="152"/>
      <c r="S165" s="152"/>
      <c r="T165" s="152"/>
      <c r="U165" s="152"/>
      <c r="V165" s="152"/>
      <c r="W165" s="152"/>
      <c r="X165" s="152"/>
      <c r="Y165" s="152"/>
      <c r="Z165" s="152"/>
      <c r="AA165" s="152"/>
      <c r="AB165" s="152"/>
      <c r="AC165" s="152"/>
    </row>
    <row r="166" spans="1:29" x14ac:dyDescent="0.2">
      <c r="A166" s="152"/>
      <c r="B166" s="152"/>
      <c r="C166" s="152"/>
      <c r="D166" s="152"/>
      <c r="E166" s="152"/>
      <c r="F166" s="152"/>
      <c r="G166" s="152"/>
      <c r="H166" s="152"/>
      <c r="I166" s="152"/>
      <c r="J166" s="152"/>
      <c r="K166" s="152"/>
      <c r="L166" s="152"/>
      <c r="M166" s="152"/>
      <c r="N166" s="152"/>
      <c r="O166" s="152"/>
      <c r="P166" s="152"/>
      <c r="Q166" s="152"/>
      <c r="R166" s="152"/>
      <c r="S166" s="152"/>
      <c r="T166" s="152"/>
      <c r="U166" s="152"/>
      <c r="V166" s="152"/>
      <c r="W166" s="152"/>
      <c r="X166" s="152"/>
      <c r="Y166" s="152"/>
      <c r="Z166" s="152"/>
      <c r="AA166" s="152"/>
      <c r="AB166" s="152"/>
      <c r="AC166" s="152"/>
    </row>
    <row r="167" spans="1:29" x14ac:dyDescent="0.2">
      <c r="A167" s="152"/>
      <c r="B167" s="152"/>
      <c r="C167" s="152"/>
      <c r="D167" s="152"/>
      <c r="E167" s="152"/>
      <c r="F167" s="152"/>
      <c r="G167" s="152"/>
      <c r="H167" s="152"/>
      <c r="I167" s="152"/>
      <c r="J167" s="152"/>
      <c r="K167" s="152"/>
      <c r="L167" s="152"/>
      <c r="M167" s="152"/>
      <c r="N167" s="152"/>
      <c r="O167" s="152"/>
      <c r="P167" s="152"/>
      <c r="Q167" s="152"/>
      <c r="R167" s="152"/>
      <c r="S167" s="152"/>
      <c r="T167" s="152"/>
      <c r="U167" s="152"/>
      <c r="V167" s="152"/>
      <c r="W167" s="152"/>
      <c r="X167" s="152"/>
      <c r="Y167" s="152"/>
      <c r="Z167" s="152"/>
      <c r="AA167" s="152"/>
      <c r="AB167" s="152"/>
      <c r="AC167" s="152"/>
    </row>
    <row r="168" spans="1:29" x14ac:dyDescent="0.2">
      <c r="A168" s="152"/>
      <c r="B168" s="152"/>
      <c r="C168" s="152"/>
      <c r="D168" s="152"/>
      <c r="E168" s="152"/>
      <c r="F168" s="152"/>
      <c r="G168" s="152"/>
      <c r="H168" s="152"/>
      <c r="I168" s="152"/>
      <c r="J168" s="152"/>
      <c r="K168" s="152"/>
      <c r="L168" s="152"/>
      <c r="M168" s="152"/>
      <c r="N168" s="152"/>
      <c r="O168" s="152"/>
      <c r="P168" s="152"/>
      <c r="Q168" s="152"/>
      <c r="R168" s="152"/>
      <c r="S168" s="152"/>
      <c r="T168" s="152"/>
      <c r="U168" s="152"/>
      <c r="V168" s="152"/>
      <c r="W168" s="152"/>
      <c r="X168" s="152"/>
      <c r="Y168" s="152"/>
      <c r="Z168" s="152"/>
      <c r="AA168" s="152"/>
      <c r="AB168" s="152"/>
      <c r="AC168" s="152"/>
    </row>
    <row r="169" spans="1:29" x14ac:dyDescent="0.2">
      <c r="A169" s="152"/>
      <c r="B169" s="152"/>
      <c r="C169" s="152"/>
      <c r="D169" s="152"/>
      <c r="E169" s="152"/>
      <c r="F169" s="152"/>
      <c r="G169" s="152"/>
      <c r="H169" s="152"/>
      <c r="I169" s="152"/>
      <c r="J169" s="152"/>
      <c r="K169" s="152"/>
      <c r="L169" s="152"/>
      <c r="M169" s="152"/>
      <c r="N169" s="152"/>
      <c r="O169" s="152"/>
      <c r="P169" s="152"/>
      <c r="Q169" s="152"/>
      <c r="R169" s="152"/>
      <c r="S169" s="152"/>
      <c r="T169" s="152"/>
      <c r="U169" s="152"/>
      <c r="V169" s="152"/>
      <c r="W169" s="152"/>
      <c r="X169" s="152"/>
      <c r="Y169" s="152"/>
      <c r="Z169" s="152"/>
      <c r="AA169" s="152"/>
      <c r="AB169" s="152"/>
      <c r="AC169" s="152"/>
    </row>
    <row r="170" spans="1:29" x14ac:dyDescent="0.2">
      <c r="A170" s="152"/>
      <c r="B170" s="152"/>
      <c r="C170" s="152"/>
      <c r="D170" s="152"/>
      <c r="E170" s="152"/>
      <c r="F170" s="152"/>
      <c r="G170" s="152"/>
      <c r="H170" s="152"/>
      <c r="I170" s="152"/>
      <c r="J170" s="152"/>
      <c r="K170" s="152"/>
      <c r="L170" s="152"/>
      <c r="M170" s="152"/>
      <c r="N170" s="152"/>
      <c r="O170" s="152"/>
      <c r="P170" s="152"/>
      <c r="Q170" s="152"/>
      <c r="R170" s="152"/>
      <c r="S170" s="152"/>
      <c r="T170" s="152"/>
      <c r="U170" s="152"/>
      <c r="V170" s="152"/>
      <c r="W170" s="152"/>
      <c r="X170" s="152"/>
      <c r="Y170" s="152"/>
      <c r="Z170" s="152"/>
      <c r="AA170" s="152"/>
      <c r="AB170" s="152"/>
      <c r="AC170" s="152"/>
    </row>
    <row r="171" spans="1:29" x14ac:dyDescent="0.2">
      <c r="A171" s="152"/>
      <c r="B171" s="152"/>
      <c r="C171" s="152"/>
      <c r="D171" s="152"/>
      <c r="E171" s="152"/>
      <c r="F171" s="152"/>
      <c r="G171" s="152"/>
      <c r="H171" s="152"/>
      <c r="I171" s="152"/>
      <c r="J171" s="152"/>
      <c r="K171" s="152"/>
      <c r="L171" s="152"/>
      <c r="M171" s="152"/>
      <c r="N171" s="152"/>
      <c r="O171" s="152"/>
      <c r="P171" s="152"/>
      <c r="Q171" s="152"/>
      <c r="R171" s="152"/>
      <c r="S171" s="152"/>
      <c r="T171" s="152"/>
      <c r="U171" s="152"/>
      <c r="V171" s="152"/>
      <c r="W171" s="152"/>
      <c r="X171" s="152"/>
      <c r="Y171" s="152"/>
      <c r="Z171" s="152"/>
      <c r="AA171" s="152"/>
      <c r="AB171" s="152"/>
      <c r="AC171" s="152"/>
    </row>
    <row r="172" spans="1:29" x14ac:dyDescent="0.2">
      <c r="A172" s="152"/>
      <c r="B172" s="152"/>
      <c r="C172" s="152"/>
      <c r="D172" s="152"/>
      <c r="E172" s="152"/>
      <c r="F172" s="152"/>
      <c r="G172" s="152"/>
      <c r="H172" s="152"/>
      <c r="I172" s="152"/>
      <c r="J172" s="152"/>
      <c r="K172" s="152"/>
      <c r="L172" s="152"/>
      <c r="M172" s="152"/>
      <c r="N172" s="152"/>
      <c r="O172" s="152"/>
      <c r="P172" s="152"/>
      <c r="Q172" s="152"/>
      <c r="R172" s="152"/>
      <c r="S172" s="152"/>
      <c r="T172" s="152"/>
      <c r="U172" s="152"/>
      <c r="V172" s="152"/>
      <c r="W172" s="152"/>
      <c r="X172" s="152"/>
      <c r="Y172" s="152"/>
      <c r="Z172" s="152"/>
      <c r="AA172" s="152"/>
      <c r="AB172" s="152"/>
      <c r="AC172" s="152"/>
    </row>
    <row r="173" spans="1:29" x14ac:dyDescent="0.2">
      <c r="A173" s="152"/>
      <c r="B173" s="152"/>
      <c r="C173" s="152"/>
      <c r="D173" s="152"/>
      <c r="E173" s="152"/>
      <c r="F173" s="152"/>
      <c r="G173" s="152"/>
      <c r="H173" s="152"/>
      <c r="I173" s="152"/>
      <c r="J173" s="152"/>
      <c r="K173" s="152"/>
      <c r="L173" s="152"/>
      <c r="M173" s="152"/>
      <c r="N173" s="152"/>
      <c r="O173" s="152"/>
      <c r="P173" s="152"/>
      <c r="Q173" s="152"/>
      <c r="R173" s="152"/>
      <c r="S173" s="152"/>
      <c r="T173" s="152"/>
      <c r="U173" s="152"/>
      <c r="V173" s="152"/>
      <c r="W173" s="152"/>
      <c r="X173" s="152"/>
      <c r="Y173" s="152"/>
      <c r="Z173" s="152"/>
      <c r="AA173" s="152"/>
      <c r="AB173" s="152"/>
      <c r="AC173" s="152"/>
    </row>
    <row r="174" spans="1:29" x14ac:dyDescent="0.2">
      <c r="A174" s="152"/>
      <c r="B174" s="152"/>
      <c r="C174" s="152"/>
      <c r="D174" s="152"/>
      <c r="E174" s="152"/>
      <c r="F174" s="152"/>
      <c r="G174" s="152"/>
      <c r="H174" s="152"/>
      <c r="I174" s="152"/>
      <c r="J174" s="152"/>
      <c r="K174" s="152"/>
      <c r="L174" s="152"/>
      <c r="M174" s="152"/>
      <c r="N174" s="152"/>
      <c r="O174" s="152"/>
      <c r="P174" s="152"/>
      <c r="Q174" s="152"/>
      <c r="R174" s="152"/>
      <c r="S174" s="152"/>
      <c r="T174" s="152"/>
      <c r="U174" s="152"/>
      <c r="V174" s="152"/>
      <c r="W174" s="152"/>
      <c r="X174" s="152"/>
      <c r="Y174" s="152"/>
      <c r="Z174" s="152"/>
      <c r="AA174" s="152"/>
      <c r="AB174" s="152"/>
      <c r="AC174" s="152"/>
    </row>
    <row r="175" spans="1:29" x14ac:dyDescent="0.2">
      <c r="A175" s="152"/>
      <c r="B175" s="152"/>
      <c r="C175" s="152"/>
      <c r="D175" s="152"/>
      <c r="E175" s="152"/>
      <c r="F175" s="152"/>
      <c r="G175" s="152"/>
      <c r="H175" s="152"/>
      <c r="I175" s="152"/>
      <c r="J175" s="152"/>
      <c r="K175" s="152"/>
      <c r="L175" s="152"/>
      <c r="M175" s="152"/>
      <c r="N175" s="152"/>
      <c r="O175" s="152"/>
      <c r="P175" s="152"/>
      <c r="Q175" s="152"/>
      <c r="R175" s="152"/>
      <c r="S175" s="152"/>
      <c r="T175" s="152"/>
      <c r="U175" s="152"/>
      <c r="V175" s="152"/>
      <c r="W175" s="152"/>
      <c r="X175" s="152"/>
      <c r="Y175" s="152"/>
      <c r="Z175" s="152"/>
      <c r="AA175" s="152"/>
      <c r="AB175" s="152"/>
      <c r="AC175" s="152"/>
    </row>
    <row r="176" spans="1:29" x14ac:dyDescent="0.2">
      <c r="A176" s="152"/>
      <c r="B176" s="152"/>
      <c r="C176" s="152"/>
      <c r="D176" s="152"/>
      <c r="E176" s="152"/>
      <c r="F176" s="152"/>
      <c r="G176" s="152"/>
      <c r="H176" s="152"/>
      <c r="I176" s="152"/>
      <c r="J176" s="152"/>
      <c r="K176" s="152"/>
      <c r="L176" s="152"/>
      <c r="M176" s="152"/>
      <c r="N176" s="152"/>
      <c r="O176" s="152"/>
      <c r="P176" s="152"/>
      <c r="Q176" s="152"/>
      <c r="R176" s="152"/>
      <c r="S176" s="152"/>
      <c r="T176" s="152"/>
      <c r="U176" s="152"/>
      <c r="V176" s="152"/>
      <c r="W176" s="152"/>
      <c r="X176" s="152"/>
      <c r="Y176" s="152"/>
      <c r="Z176" s="152"/>
      <c r="AA176" s="152"/>
      <c r="AB176" s="152"/>
      <c r="AC176" s="152"/>
    </row>
    <row r="177" spans="1:29" x14ac:dyDescent="0.2">
      <c r="A177" s="152"/>
      <c r="B177" s="152"/>
      <c r="C177" s="152"/>
      <c r="D177" s="152"/>
      <c r="E177" s="152"/>
      <c r="F177" s="152"/>
      <c r="G177" s="152"/>
      <c r="H177" s="152"/>
      <c r="I177" s="152"/>
      <c r="J177" s="152"/>
      <c r="K177" s="152"/>
      <c r="L177" s="152"/>
      <c r="M177" s="152"/>
      <c r="N177" s="152"/>
      <c r="O177" s="152"/>
      <c r="P177" s="152"/>
      <c r="Q177" s="152"/>
      <c r="R177" s="152"/>
      <c r="S177" s="152"/>
      <c r="T177" s="152"/>
      <c r="U177" s="152"/>
      <c r="V177" s="152"/>
      <c r="W177" s="152"/>
      <c r="X177" s="152"/>
      <c r="Y177" s="152"/>
      <c r="Z177" s="152"/>
      <c r="AA177" s="152"/>
      <c r="AB177" s="152"/>
      <c r="AC177" s="152"/>
    </row>
    <row r="178" spans="1:29" x14ac:dyDescent="0.2">
      <c r="A178" s="152"/>
      <c r="B178" s="152"/>
      <c r="C178" s="152"/>
      <c r="D178" s="152"/>
      <c r="E178" s="152"/>
      <c r="F178" s="152"/>
      <c r="G178" s="152"/>
      <c r="H178" s="152"/>
      <c r="I178" s="152"/>
      <c r="J178" s="152"/>
      <c r="K178" s="152"/>
      <c r="L178" s="152"/>
      <c r="M178" s="152"/>
      <c r="N178" s="152"/>
      <c r="O178" s="152"/>
      <c r="P178" s="152"/>
      <c r="Q178" s="152"/>
      <c r="R178" s="152"/>
      <c r="S178" s="152"/>
      <c r="T178" s="152"/>
      <c r="U178" s="152"/>
      <c r="V178" s="152"/>
      <c r="W178" s="152"/>
      <c r="X178" s="152"/>
      <c r="Y178" s="152"/>
      <c r="Z178" s="152"/>
      <c r="AA178" s="152"/>
      <c r="AB178" s="152"/>
      <c r="AC178" s="152"/>
    </row>
    <row r="179" spans="1:29" x14ac:dyDescent="0.2">
      <c r="A179" s="152"/>
      <c r="B179" s="152"/>
      <c r="C179" s="152"/>
      <c r="D179" s="152"/>
      <c r="E179" s="152"/>
      <c r="F179" s="152"/>
      <c r="G179" s="152"/>
      <c r="H179" s="152"/>
      <c r="I179" s="152"/>
      <c r="J179" s="152"/>
      <c r="K179" s="152"/>
      <c r="L179" s="152"/>
      <c r="M179" s="152"/>
      <c r="N179" s="152"/>
      <c r="O179" s="152"/>
      <c r="P179" s="152"/>
      <c r="Q179" s="152"/>
      <c r="R179" s="152"/>
      <c r="S179" s="152"/>
      <c r="T179" s="152"/>
      <c r="U179" s="152"/>
      <c r="V179" s="152"/>
      <c r="W179" s="152"/>
      <c r="X179" s="152"/>
      <c r="Y179" s="152"/>
      <c r="Z179" s="152"/>
      <c r="AA179" s="152"/>
      <c r="AB179" s="152"/>
      <c r="AC179" s="152"/>
    </row>
    <row r="180" spans="1:29" x14ac:dyDescent="0.2">
      <c r="A180" s="152"/>
      <c r="B180" s="152"/>
      <c r="C180" s="152"/>
      <c r="D180" s="152"/>
      <c r="E180" s="152"/>
      <c r="F180" s="152"/>
      <c r="G180" s="152"/>
      <c r="H180" s="152"/>
      <c r="I180" s="152"/>
      <c r="J180" s="152"/>
      <c r="K180" s="152"/>
      <c r="L180" s="152"/>
      <c r="M180" s="152"/>
      <c r="N180" s="152"/>
      <c r="O180" s="152"/>
      <c r="P180" s="152"/>
      <c r="Q180" s="152"/>
      <c r="R180" s="152"/>
      <c r="S180" s="152"/>
      <c r="T180" s="152"/>
      <c r="U180" s="152"/>
      <c r="V180" s="152"/>
      <c r="W180" s="152"/>
      <c r="X180" s="152"/>
      <c r="Y180" s="152"/>
      <c r="Z180" s="152"/>
      <c r="AA180" s="152"/>
      <c r="AB180" s="152"/>
      <c r="AC180" s="152"/>
    </row>
    <row r="181" spans="1:29" x14ac:dyDescent="0.2">
      <c r="A181" s="152"/>
      <c r="B181" s="152"/>
      <c r="C181" s="152"/>
      <c r="D181" s="152"/>
      <c r="E181" s="152"/>
      <c r="F181" s="152"/>
      <c r="G181" s="152"/>
      <c r="H181" s="152"/>
      <c r="I181" s="152"/>
      <c r="J181" s="152"/>
      <c r="K181" s="152"/>
      <c r="L181" s="152"/>
      <c r="M181" s="152"/>
      <c r="N181" s="152"/>
      <c r="O181" s="152"/>
      <c r="P181" s="152"/>
      <c r="Q181" s="152"/>
      <c r="R181" s="152"/>
      <c r="S181" s="152"/>
      <c r="T181" s="152"/>
      <c r="U181" s="152"/>
      <c r="V181" s="152"/>
      <c r="W181" s="152"/>
      <c r="X181" s="152"/>
      <c r="Y181" s="152"/>
      <c r="Z181" s="152"/>
      <c r="AA181" s="152"/>
      <c r="AB181" s="152"/>
      <c r="AC181" s="152"/>
    </row>
    <row r="182" spans="1:29" x14ac:dyDescent="0.2">
      <c r="A182" s="152"/>
      <c r="B182" s="152"/>
      <c r="C182" s="152"/>
      <c r="D182" s="152"/>
      <c r="E182" s="152"/>
      <c r="F182" s="152"/>
      <c r="G182" s="152"/>
      <c r="H182" s="152"/>
      <c r="I182" s="152"/>
      <c r="J182" s="152"/>
      <c r="K182" s="152"/>
      <c r="L182" s="152"/>
      <c r="M182" s="152"/>
      <c r="N182" s="152"/>
      <c r="O182" s="152"/>
      <c r="P182" s="152"/>
      <c r="Q182" s="152"/>
      <c r="R182" s="152"/>
      <c r="S182" s="152"/>
      <c r="T182" s="152"/>
      <c r="U182" s="152"/>
      <c r="V182" s="152"/>
      <c r="W182" s="152"/>
      <c r="X182" s="152"/>
      <c r="Y182" s="152"/>
      <c r="Z182" s="152"/>
      <c r="AA182" s="152"/>
      <c r="AB182" s="152"/>
      <c r="AC182" s="152"/>
    </row>
    <row r="183" spans="1:29" x14ac:dyDescent="0.2">
      <c r="A183" s="152"/>
      <c r="B183" s="152"/>
      <c r="C183" s="152"/>
      <c r="D183" s="152"/>
      <c r="E183" s="152"/>
      <c r="F183" s="152"/>
      <c r="G183" s="152"/>
      <c r="H183" s="152"/>
      <c r="I183" s="152"/>
      <c r="J183" s="152"/>
      <c r="K183" s="152"/>
      <c r="L183" s="152"/>
      <c r="M183" s="152"/>
      <c r="N183" s="152"/>
      <c r="O183" s="152"/>
      <c r="P183" s="152"/>
      <c r="Q183" s="152"/>
      <c r="R183" s="152"/>
      <c r="S183" s="152"/>
      <c r="T183" s="152"/>
      <c r="U183" s="152"/>
      <c r="V183" s="152"/>
      <c r="W183" s="152"/>
      <c r="X183" s="152"/>
      <c r="Y183" s="152"/>
      <c r="Z183" s="152"/>
      <c r="AA183" s="152"/>
      <c r="AB183" s="152"/>
      <c r="AC183" s="152"/>
    </row>
    <row r="184" spans="1:29" x14ac:dyDescent="0.2">
      <c r="A184" s="152"/>
      <c r="B184" s="152"/>
      <c r="C184" s="152"/>
      <c r="D184" s="152"/>
      <c r="E184" s="152"/>
      <c r="F184" s="152"/>
      <c r="G184" s="152"/>
      <c r="H184" s="152"/>
      <c r="I184" s="152"/>
      <c r="J184" s="152"/>
      <c r="K184" s="152"/>
      <c r="L184" s="152"/>
      <c r="M184" s="152"/>
      <c r="N184" s="152"/>
      <c r="O184" s="152"/>
      <c r="P184" s="152"/>
      <c r="Q184" s="152"/>
      <c r="R184" s="152"/>
      <c r="S184" s="152"/>
      <c r="T184" s="152"/>
      <c r="U184" s="152"/>
      <c r="V184" s="152"/>
      <c r="W184" s="152"/>
      <c r="X184" s="152"/>
      <c r="Y184" s="152"/>
      <c r="Z184" s="152"/>
      <c r="AA184" s="152"/>
      <c r="AB184" s="152"/>
      <c r="AC184" s="152"/>
    </row>
    <row r="185" spans="1:29" x14ac:dyDescent="0.2">
      <c r="A185" s="152"/>
      <c r="B185" s="152"/>
      <c r="C185" s="152"/>
      <c r="D185" s="152"/>
      <c r="E185" s="152"/>
      <c r="F185" s="152"/>
      <c r="G185" s="152"/>
      <c r="H185" s="152"/>
      <c r="I185" s="152"/>
      <c r="J185" s="152"/>
      <c r="K185" s="152"/>
      <c r="L185" s="152"/>
      <c r="M185" s="152"/>
      <c r="N185" s="152"/>
      <c r="O185" s="152"/>
      <c r="P185" s="152"/>
      <c r="Q185" s="152"/>
      <c r="R185" s="152"/>
      <c r="S185" s="152"/>
      <c r="T185" s="152"/>
      <c r="U185" s="152"/>
      <c r="V185" s="152"/>
      <c r="W185" s="152"/>
      <c r="X185" s="152"/>
      <c r="Y185" s="152"/>
      <c r="Z185" s="152"/>
      <c r="AA185" s="152"/>
      <c r="AB185" s="152"/>
      <c r="AC185" s="152"/>
    </row>
    <row r="186" spans="1:29" x14ac:dyDescent="0.2">
      <c r="A186" s="152"/>
      <c r="B186" s="152"/>
      <c r="C186" s="152"/>
      <c r="D186" s="152"/>
      <c r="E186" s="152"/>
      <c r="F186" s="152"/>
      <c r="G186" s="152"/>
      <c r="H186" s="152"/>
      <c r="I186" s="152"/>
      <c r="J186" s="152"/>
      <c r="K186" s="152"/>
      <c r="L186" s="152"/>
      <c r="M186" s="152"/>
      <c r="N186" s="152"/>
      <c r="O186" s="152"/>
      <c r="P186" s="152"/>
      <c r="Q186" s="152"/>
      <c r="R186" s="152"/>
      <c r="S186" s="152"/>
      <c r="T186" s="152"/>
      <c r="U186" s="152"/>
      <c r="V186" s="152"/>
      <c r="W186" s="152"/>
      <c r="X186" s="152"/>
      <c r="Y186" s="152"/>
      <c r="Z186" s="152"/>
      <c r="AA186" s="152"/>
      <c r="AB186" s="152"/>
      <c r="AC186" s="152"/>
    </row>
    <row r="187" spans="1:29" x14ac:dyDescent="0.2">
      <c r="A187" s="152"/>
      <c r="B187" s="152"/>
      <c r="C187" s="152"/>
      <c r="D187" s="152"/>
      <c r="E187" s="152"/>
      <c r="F187" s="152"/>
      <c r="G187" s="152"/>
      <c r="H187" s="152"/>
      <c r="I187" s="152"/>
      <c r="J187" s="152"/>
      <c r="K187" s="152"/>
      <c r="L187" s="152"/>
      <c r="M187" s="152"/>
      <c r="N187" s="152"/>
      <c r="O187" s="152"/>
      <c r="P187" s="152"/>
      <c r="Q187" s="152"/>
      <c r="R187" s="152"/>
      <c r="S187" s="152"/>
      <c r="T187" s="152"/>
      <c r="U187" s="152"/>
      <c r="V187" s="152"/>
      <c r="W187" s="152"/>
      <c r="X187" s="152"/>
      <c r="Y187" s="152"/>
      <c r="Z187" s="152"/>
      <c r="AA187" s="152"/>
      <c r="AB187" s="152"/>
      <c r="AC187" s="152"/>
    </row>
    <row r="188" spans="1:29" x14ac:dyDescent="0.2">
      <c r="A188" s="152"/>
      <c r="B188" s="152"/>
      <c r="C188" s="152"/>
      <c r="D188" s="152"/>
      <c r="E188" s="152"/>
      <c r="F188" s="152"/>
      <c r="G188" s="152"/>
      <c r="H188" s="152"/>
      <c r="I188" s="152"/>
      <c r="J188" s="152"/>
      <c r="K188" s="152"/>
      <c r="L188" s="152"/>
      <c r="M188" s="152"/>
      <c r="N188" s="152"/>
      <c r="O188" s="152"/>
      <c r="P188" s="152"/>
      <c r="Q188" s="152"/>
      <c r="R188" s="152"/>
      <c r="S188" s="152"/>
      <c r="T188" s="152"/>
      <c r="U188" s="152"/>
      <c r="V188" s="152"/>
      <c r="W188" s="152"/>
      <c r="X188" s="152"/>
      <c r="Y188" s="152"/>
      <c r="Z188" s="152"/>
      <c r="AA188" s="152"/>
      <c r="AB188" s="152"/>
      <c r="AC188" s="152"/>
    </row>
    <row r="189" spans="1:29" x14ac:dyDescent="0.2">
      <c r="A189" s="152"/>
      <c r="B189" s="152"/>
      <c r="C189" s="152"/>
      <c r="D189" s="152"/>
      <c r="E189" s="152"/>
      <c r="F189" s="152"/>
      <c r="G189" s="152"/>
      <c r="H189" s="152"/>
      <c r="I189" s="152"/>
      <c r="J189" s="152"/>
      <c r="K189" s="152"/>
      <c r="L189" s="152"/>
      <c r="M189" s="152"/>
      <c r="N189" s="152"/>
      <c r="O189" s="152"/>
      <c r="P189" s="152"/>
      <c r="Q189" s="152"/>
      <c r="R189" s="152"/>
      <c r="S189" s="152"/>
      <c r="T189" s="152"/>
      <c r="U189" s="152"/>
      <c r="V189" s="152"/>
      <c r="W189" s="152"/>
      <c r="X189" s="152"/>
      <c r="Y189" s="152"/>
      <c r="Z189" s="152"/>
      <c r="AA189" s="152"/>
      <c r="AB189" s="152"/>
      <c r="AC189" s="152"/>
    </row>
    <row r="190" spans="1:29" x14ac:dyDescent="0.2">
      <c r="A190" s="152"/>
      <c r="B190" s="152"/>
      <c r="C190" s="152"/>
      <c r="D190" s="152"/>
      <c r="E190" s="152"/>
      <c r="F190" s="152"/>
      <c r="G190" s="152"/>
      <c r="H190" s="152"/>
      <c r="I190" s="152"/>
      <c r="J190" s="152"/>
      <c r="K190" s="152"/>
      <c r="L190" s="152"/>
      <c r="M190" s="152"/>
      <c r="N190" s="152"/>
      <c r="O190" s="152"/>
      <c r="P190" s="152"/>
      <c r="Q190" s="152"/>
      <c r="R190" s="152"/>
      <c r="S190" s="152"/>
      <c r="T190" s="152"/>
      <c r="U190" s="152"/>
      <c r="V190" s="152"/>
      <c r="W190" s="152"/>
      <c r="X190" s="152"/>
      <c r="Y190" s="152"/>
      <c r="Z190" s="152"/>
      <c r="AA190" s="152"/>
      <c r="AB190" s="152"/>
      <c r="AC190" s="152"/>
    </row>
    <row r="191" spans="1:29" x14ac:dyDescent="0.2">
      <c r="A191" s="152"/>
      <c r="B191" s="152"/>
      <c r="C191" s="152"/>
      <c r="D191" s="152"/>
      <c r="E191" s="152"/>
      <c r="F191" s="152"/>
      <c r="G191" s="152"/>
      <c r="H191" s="152"/>
      <c r="I191" s="152"/>
      <c r="J191" s="152"/>
      <c r="K191" s="152"/>
      <c r="L191" s="152"/>
      <c r="M191" s="152"/>
      <c r="N191" s="152"/>
      <c r="O191" s="152"/>
      <c r="P191" s="152"/>
      <c r="Q191" s="152"/>
      <c r="R191" s="152"/>
      <c r="S191" s="152"/>
      <c r="T191" s="152"/>
      <c r="U191" s="152"/>
      <c r="V191" s="152"/>
      <c r="W191" s="152"/>
      <c r="X191" s="152"/>
      <c r="Y191" s="152"/>
      <c r="Z191" s="152"/>
      <c r="AA191" s="152"/>
      <c r="AB191" s="152"/>
      <c r="AC191" s="152"/>
    </row>
    <row r="192" spans="1:29" x14ac:dyDescent="0.2">
      <c r="A192" s="152"/>
      <c r="B192" s="152"/>
      <c r="C192" s="152"/>
      <c r="D192" s="152"/>
      <c r="E192" s="152"/>
      <c r="F192" s="152"/>
      <c r="G192" s="152"/>
      <c r="H192" s="152"/>
      <c r="I192" s="152"/>
      <c r="J192" s="152"/>
      <c r="K192" s="152"/>
      <c r="L192" s="152"/>
      <c r="M192" s="152"/>
      <c r="N192" s="152"/>
      <c r="O192" s="152"/>
      <c r="P192" s="152"/>
      <c r="Q192" s="152"/>
      <c r="R192" s="152"/>
      <c r="S192" s="152"/>
      <c r="T192" s="152"/>
      <c r="U192" s="152"/>
      <c r="V192" s="152"/>
      <c r="W192" s="152"/>
      <c r="X192" s="152"/>
      <c r="Y192" s="152"/>
      <c r="Z192" s="152"/>
      <c r="AA192" s="152"/>
      <c r="AB192" s="152"/>
      <c r="AC192" s="152"/>
    </row>
    <row r="193" spans="1:29" x14ac:dyDescent="0.2">
      <c r="A193" s="152"/>
      <c r="B193" s="152"/>
      <c r="C193" s="152"/>
      <c r="D193" s="152"/>
      <c r="E193" s="152"/>
      <c r="F193" s="152"/>
      <c r="G193" s="152"/>
      <c r="H193" s="152"/>
      <c r="I193" s="152"/>
      <c r="J193" s="152"/>
      <c r="K193" s="152"/>
      <c r="L193" s="152"/>
      <c r="M193" s="152"/>
      <c r="N193" s="152"/>
      <c r="O193" s="152"/>
      <c r="P193" s="152"/>
      <c r="Q193" s="152"/>
      <c r="R193" s="152"/>
      <c r="S193" s="152"/>
      <c r="T193" s="152"/>
      <c r="U193" s="152"/>
      <c r="V193" s="152"/>
      <c r="W193" s="152"/>
      <c r="X193" s="152"/>
      <c r="Y193" s="152"/>
      <c r="Z193" s="152"/>
      <c r="AA193" s="152"/>
      <c r="AB193" s="152"/>
      <c r="AC193" s="152"/>
    </row>
    <row r="194" spans="1:29" x14ac:dyDescent="0.2">
      <c r="A194" s="152"/>
      <c r="B194" s="152"/>
      <c r="C194" s="152"/>
      <c r="D194" s="152"/>
      <c r="E194" s="152"/>
      <c r="F194" s="152"/>
      <c r="G194" s="152"/>
      <c r="H194" s="152"/>
      <c r="I194" s="152"/>
      <c r="J194" s="152"/>
      <c r="K194" s="152"/>
      <c r="L194" s="152"/>
      <c r="M194" s="152"/>
      <c r="N194" s="152"/>
      <c r="O194" s="152"/>
      <c r="P194" s="152"/>
      <c r="Q194" s="152"/>
      <c r="R194" s="152"/>
      <c r="S194" s="152"/>
      <c r="T194" s="152"/>
      <c r="U194" s="152"/>
      <c r="V194" s="152"/>
      <c r="W194" s="152"/>
      <c r="X194" s="152"/>
      <c r="Y194" s="152"/>
      <c r="Z194" s="152"/>
      <c r="AA194" s="152"/>
      <c r="AB194" s="152"/>
      <c r="AC194" s="152"/>
    </row>
    <row r="195" spans="1:29" x14ac:dyDescent="0.2">
      <c r="A195" s="152"/>
      <c r="B195" s="152"/>
      <c r="C195" s="152"/>
      <c r="D195" s="152"/>
      <c r="E195" s="152"/>
      <c r="F195" s="152"/>
      <c r="G195" s="152"/>
      <c r="H195" s="152"/>
      <c r="I195" s="152"/>
      <c r="J195" s="152"/>
      <c r="K195" s="152"/>
      <c r="L195" s="152"/>
      <c r="M195" s="152"/>
      <c r="N195" s="152"/>
      <c r="O195" s="152"/>
      <c r="P195" s="152"/>
      <c r="Q195" s="152"/>
      <c r="R195" s="152"/>
      <c r="S195" s="152"/>
      <c r="T195" s="152"/>
      <c r="U195" s="152"/>
      <c r="V195" s="152"/>
      <c r="W195" s="152"/>
      <c r="X195" s="152"/>
      <c r="Y195" s="152"/>
      <c r="Z195" s="152"/>
      <c r="AA195" s="152"/>
      <c r="AB195" s="152"/>
      <c r="AC195" s="152"/>
    </row>
    <row r="196" spans="1:29" x14ac:dyDescent="0.2">
      <c r="A196" s="152"/>
      <c r="B196" s="152"/>
      <c r="C196" s="152"/>
      <c r="D196" s="152"/>
      <c r="E196" s="152"/>
      <c r="F196" s="152"/>
      <c r="G196" s="152"/>
      <c r="H196" s="152"/>
      <c r="I196" s="152"/>
      <c r="J196" s="152"/>
      <c r="K196" s="152"/>
      <c r="L196" s="152"/>
      <c r="M196" s="152"/>
      <c r="N196" s="152"/>
      <c r="O196" s="152"/>
      <c r="P196" s="152"/>
      <c r="Q196" s="152"/>
      <c r="R196" s="152"/>
      <c r="S196" s="152"/>
      <c r="T196" s="152"/>
      <c r="U196" s="152"/>
      <c r="V196" s="152"/>
      <c r="W196" s="152"/>
      <c r="X196" s="152"/>
      <c r="Y196" s="152"/>
      <c r="Z196" s="152"/>
      <c r="AA196" s="152"/>
      <c r="AB196" s="152"/>
      <c r="AC196" s="152"/>
    </row>
    <row r="197" spans="1:29" x14ac:dyDescent="0.2">
      <c r="A197" s="152"/>
      <c r="B197" s="152"/>
      <c r="C197" s="152"/>
      <c r="D197" s="152"/>
      <c r="E197" s="152"/>
      <c r="F197" s="152"/>
      <c r="G197" s="152"/>
      <c r="H197" s="152"/>
      <c r="I197" s="152"/>
      <c r="J197" s="152"/>
      <c r="K197" s="152"/>
      <c r="L197" s="152"/>
      <c r="M197" s="152"/>
      <c r="N197" s="152"/>
      <c r="O197" s="152"/>
      <c r="P197" s="152"/>
      <c r="Q197" s="152"/>
      <c r="R197" s="152"/>
      <c r="S197" s="152"/>
      <c r="T197" s="152"/>
      <c r="U197" s="152"/>
      <c r="V197" s="152"/>
      <c r="W197" s="152"/>
      <c r="X197" s="152"/>
      <c r="Y197" s="152"/>
      <c r="Z197" s="152"/>
      <c r="AA197" s="152"/>
      <c r="AB197" s="152"/>
      <c r="AC197" s="152"/>
    </row>
    <row r="198" spans="1:29" x14ac:dyDescent="0.2">
      <c r="A198" s="152"/>
      <c r="B198" s="152"/>
      <c r="C198" s="152"/>
      <c r="D198" s="152"/>
      <c r="E198" s="152"/>
      <c r="F198" s="152"/>
      <c r="G198" s="152"/>
      <c r="H198" s="152"/>
      <c r="I198" s="152"/>
      <c r="J198" s="152"/>
      <c r="K198" s="152"/>
      <c r="L198" s="152"/>
      <c r="M198" s="152"/>
      <c r="N198" s="152"/>
      <c r="O198" s="152"/>
      <c r="P198" s="152"/>
      <c r="Q198" s="152"/>
      <c r="R198" s="152"/>
      <c r="S198" s="152"/>
      <c r="T198" s="152"/>
      <c r="U198" s="152"/>
      <c r="V198" s="152"/>
      <c r="W198" s="152"/>
      <c r="X198" s="152"/>
      <c r="Y198" s="152"/>
      <c r="Z198" s="152"/>
      <c r="AA198" s="152"/>
      <c r="AB198" s="152"/>
      <c r="AC198" s="152"/>
    </row>
    <row r="199" spans="1:29" x14ac:dyDescent="0.2">
      <c r="A199" s="152"/>
      <c r="B199" s="152"/>
      <c r="C199" s="152"/>
      <c r="D199" s="152"/>
      <c r="E199" s="152"/>
      <c r="F199" s="152"/>
      <c r="G199" s="152"/>
      <c r="H199" s="152"/>
      <c r="I199" s="152"/>
      <c r="J199" s="152"/>
      <c r="K199" s="152"/>
      <c r="L199" s="152"/>
      <c r="M199" s="152"/>
      <c r="N199" s="152"/>
      <c r="O199" s="152"/>
      <c r="P199" s="152"/>
      <c r="Q199" s="152"/>
      <c r="R199" s="152"/>
      <c r="S199" s="152"/>
      <c r="T199" s="152"/>
      <c r="U199" s="152"/>
      <c r="V199" s="152"/>
      <c r="W199" s="152"/>
      <c r="X199" s="152"/>
      <c r="Y199" s="152"/>
      <c r="Z199" s="152"/>
      <c r="AA199" s="152"/>
      <c r="AB199" s="152"/>
      <c r="AC199" s="152"/>
    </row>
    <row r="200" spans="1:29" x14ac:dyDescent="0.2">
      <c r="A200" s="152"/>
      <c r="B200" s="152"/>
      <c r="C200" s="152"/>
      <c r="D200" s="152"/>
      <c r="E200" s="152"/>
      <c r="F200" s="152"/>
      <c r="G200" s="152"/>
      <c r="H200" s="152"/>
      <c r="I200" s="152"/>
      <c r="J200" s="152"/>
      <c r="K200" s="152"/>
      <c r="L200" s="152"/>
      <c r="M200" s="152"/>
      <c r="N200" s="152"/>
      <c r="O200" s="152"/>
      <c r="P200" s="152"/>
      <c r="Q200" s="152"/>
      <c r="R200" s="152"/>
      <c r="S200" s="152"/>
      <c r="T200" s="152"/>
      <c r="U200" s="152"/>
      <c r="V200" s="152"/>
      <c r="W200" s="152"/>
      <c r="X200" s="152"/>
      <c r="Y200" s="152"/>
      <c r="Z200" s="152"/>
      <c r="AA200" s="152"/>
      <c r="AB200" s="152"/>
      <c r="AC200" s="152"/>
    </row>
    <row r="201" spans="1:29" x14ac:dyDescent="0.2">
      <c r="A201" s="152"/>
      <c r="B201" s="152"/>
      <c r="C201" s="152"/>
      <c r="D201" s="152"/>
      <c r="E201" s="152"/>
      <c r="F201" s="152"/>
      <c r="G201" s="152"/>
      <c r="H201" s="152"/>
      <c r="I201" s="152"/>
      <c r="J201" s="152"/>
      <c r="K201" s="152"/>
      <c r="L201" s="152"/>
      <c r="M201" s="152"/>
      <c r="N201" s="152"/>
      <c r="O201" s="152"/>
      <c r="P201" s="152"/>
      <c r="Q201" s="152"/>
      <c r="R201" s="152"/>
      <c r="S201" s="152"/>
      <c r="T201" s="152"/>
      <c r="U201" s="152"/>
      <c r="V201" s="152"/>
      <c r="W201" s="152"/>
      <c r="X201" s="152"/>
      <c r="Y201" s="152"/>
      <c r="Z201" s="152"/>
      <c r="AA201" s="152"/>
      <c r="AB201" s="152"/>
      <c r="AC201" s="152"/>
    </row>
  </sheetData>
  <mergeCells count="2">
    <mergeCell ref="A2:AC2"/>
    <mergeCell ref="A1:AC1"/>
  </mergeCells>
  <dataValidations count="11">
    <dataValidation type="list" allowBlank="1" showInputMessage="1" showErrorMessage="1" errorTitle="Invalid entry" error="Select a value from the approved list." promptTitle="Controlled input" prompt="Select from the drop-down list." sqref="I5:I201" xr:uid="{00000000-0002-0000-0100-000000000000}">
      <formula1>AgentStatus</formula1>
    </dataValidation>
    <dataValidation type="list" allowBlank="1" showInputMessage="1" showErrorMessage="1" errorTitle="Invalid entry" error="Select a value from the approved list." promptTitle="Controlled input" prompt="Select from the drop-down list." sqref="J5:J201" xr:uid="{00000000-0002-0000-0100-000001000000}">
      <formula1>Autonomy</formula1>
    </dataValidation>
    <dataValidation type="list" allowBlank="1" showInputMessage="1" showErrorMessage="1" errorTitle="Invalid entry" error="Select a value from the approved list." promptTitle="Controlled input" prompt="Select from the drop-down list." sqref="K5:K201" xr:uid="{00000000-0002-0000-0100-000002000000}">
      <formula1>SolutionType</formula1>
    </dataValidation>
    <dataValidation type="list" allowBlank="1" showInputMessage="1" showErrorMessage="1" errorTitle="Invalid entry" error="Select a value from the approved list." promptTitle="Controlled input" prompt="Select from the drop-down list." sqref="L5:L201" xr:uid="{00000000-0002-0000-0100-000003000000}">
      <formula1>AgentPattern</formula1>
    </dataValidation>
    <dataValidation type="list" allowBlank="1" showInputMessage="1" showErrorMessage="1" errorTitle="Invalid entry" error="Select a value from the approved list." promptTitle="Controlled input" prompt="Select from the drop-down list." sqref="M5:M201" xr:uid="{00000000-0002-0000-0100-000004000000}">
      <formula1>Technology</formula1>
    </dataValidation>
    <dataValidation type="list" allowBlank="1" showInputMessage="1" showErrorMessage="1" errorTitle="Invalid entry" error="Select a value from the approved list." promptTitle="Controlled input" prompt="Select from the drop-down list." sqref="N5:N201" xr:uid="{00000000-0002-0000-0100-000005000000}">
      <formula1>"Simple,Medium,Complex,Highly complex,Other(s)"</formula1>
    </dataValidation>
    <dataValidation type="list" allowBlank="1" showInputMessage="1" showErrorMessage="1" errorTitle="Invalid entry" error="Select a value from the approved list." promptTitle="Controlled input" prompt="Select from the drop-down list." sqref="T5:V201" xr:uid="{00000000-0002-0000-0100-000006000000}">
      <formula1>"Yes,No,N/A,Other(s)"</formula1>
    </dataValidation>
    <dataValidation type="list" allowBlank="1" showInputMessage="1" showErrorMessage="1" errorTitle="Invalid entry" error="Select a value from the approved list." promptTitle="Controlled input" prompt="Select from the drop-down list." sqref="W5:Y201" xr:uid="{00000000-0002-0000-0100-000007000000}">
      <formula1>Owner</formula1>
    </dataValidation>
    <dataValidation type="list" allowBlank="1" showInputMessage="1" showErrorMessage="1" errorTitle="Invalid entry" error="Select a value from the approved list." promptTitle="Controlled input" prompt="Select from the drop-down list." sqref="Z5:Z201" xr:uid="{00000000-0002-0000-0100-000008000000}">
      <formula1>Hosting</formula1>
    </dataValidation>
    <dataValidation type="list" allowBlank="1" showInputMessage="1" showErrorMessage="1" errorTitle="Invalid entry" error="Select a value from the approved list." promptTitle="Controlled input" prompt="Select from the drop-down list." sqref="AB5:AB201" xr:uid="{00000000-0002-0000-0100-000009000000}">
      <formula1>InputSource</formula1>
    </dataValidation>
    <dataValidation type="whole" operator="greaterThanOrEqual" allowBlank="1" sqref="O5:P201" xr:uid="{00000000-0002-0000-0100-00000A000000}">
      <formula1>0</formula1>
    </dataValidation>
  </dataValidations>
  <pageMargins left="0.75" right="0.75" top="1" bottom="1" header="0.5" footer="0.5"/>
  <pageSetup fitToHeight="0" orientation="portrait"/>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T504"/>
  <sheetViews>
    <sheetView showGridLines="0" workbookViewId="0">
      <pane ySplit="4" topLeftCell="A5" activePane="bottomLeft" state="frozen"/>
      <selection pane="bottomLeft" activeCell="D20" sqref="D20"/>
    </sheetView>
  </sheetViews>
  <sheetFormatPr baseColWidth="10" defaultColWidth="8.83203125" defaultRowHeight="25.5" customHeight="1" x14ac:dyDescent="0.2"/>
  <cols>
    <col min="1" max="2" width="19.1640625" customWidth="1"/>
    <col min="3" max="3" width="21.83203125" customWidth="1"/>
    <col min="4" max="17" width="16.6640625" customWidth="1"/>
    <col min="18" max="18" width="24.5" customWidth="1"/>
    <col min="19" max="19" width="38.1640625" customWidth="1"/>
    <col min="20" max="20" width="45.5" customWidth="1"/>
  </cols>
  <sheetData>
    <row r="1" spans="1:20" ht="25.5" customHeight="1" x14ac:dyDescent="0.2">
      <c r="A1" s="180" t="s">
        <v>166</v>
      </c>
      <c r="B1" s="181"/>
      <c r="C1" s="181"/>
      <c r="D1" s="181"/>
      <c r="E1" s="181"/>
      <c r="F1" s="181"/>
      <c r="G1" s="181"/>
      <c r="H1" s="181"/>
      <c r="I1" s="181"/>
      <c r="J1" s="181"/>
      <c r="K1" s="181"/>
      <c r="L1" s="181"/>
      <c r="M1" s="181"/>
      <c r="N1" s="181"/>
      <c r="O1" s="181"/>
      <c r="P1" s="181"/>
      <c r="Q1" s="181"/>
      <c r="R1" s="181"/>
      <c r="S1" s="181"/>
      <c r="T1" s="181"/>
    </row>
    <row r="2" spans="1:20" ht="25.5" customHeight="1" x14ac:dyDescent="0.2">
      <c r="A2" s="187" t="s">
        <v>167</v>
      </c>
      <c r="B2" s="181"/>
      <c r="C2" s="181"/>
      <c r="D2" s="181"/>
      <c r="E2" s="181"/>
      <c r="F2" s="181"/>
      <c r="G2" s="181"/>
      <c r="H2" s="181"/>
      <c r="I2" s="181"/>
      <c r="J2" s="181"/>
      <c r="K2" s="181"/>
      <c r="L2" s="181"/>
      <c r="M2" s="181"/>
      <c r="N2" s="181"/>
      <c r="O2" s="181"/>
      <c r="P2" s="181"/>
      <c r="Q2" s="181"/>
      <c r="R2" s="181"/>
      <c r="S2" s="181"/>
      <c r="T2" s="181"/>
    </row>
    <row r="4" spans="1:20" ht="25.5" customHeight="1" x14ac:dyDescent="0.2">
      <c r="A4" s="62" t="s">
        <v>137</v>
      </c>
      <c r="B4" s="62" t="s">
        <v>168</v>
      </c>
      <c r="C4" s="62" t="s">
        <v>169</v>
      </c>
      <c r="D4" s="156" t="s">
        <v>170</v>
      </c>
      <c r="E4" s="62" t="s">
        <v>171</v>
      </c>
      <c r="F4" s="62" t="s">
        <v>172</v>
      </c>
      <c r="G4" s="62" t="s">
        <v>173</v>
      </c>
      <c r="H4" s="110" t="s">
        <v>676</v>
      </c>
      <c r="I4" s="110" t="s">
        <v>675</v>
      </c>
      <c r="J4" s="110" t="s">
        <v>674</v>
      </c>
      <c r="K4" s="110" t="s">
        <v>673</v>
      </c>
      <c r="L4" s="62" t="s">
        <v>175</v>
      </c>
      <c r="M4" s="156" t="s">
        <v>176</v>
      </c>
      <c r="N4" s="62" t="s">
        <v>177</v>
      </c>
      <c r="O4" s="156" t="s">
        <v>672</v>
      </c>
      <c r="P4" s="156" t="s">
        <v>178</v>
      </c>
      <c r="Q4" s="62" t="s">
        <v>179</v>
      </c>
      <c r="R4" s="156" t="s">
        <v>180</v>
      </c>
      <c r="S4" s="156" t="s">
        <v>163</v>
      </c>
      <c r="T4" s="156" t="s">
        <v>165</v>
      </c>
    </row>
    <row r="5" spans="1:20" ht="25.5" customHeight="1" x14ac:dyDescent="0.2">
      <c r="A5" s="50" t="s">
        <v>679</v>
      </c>
      <c r="B5" s="50" t="s">
        <v>545</v>
      </c>
      <c r="C5" s="50" t="s">
        <v>785</v>
      </c>
      <c r="D5" s="50">
        <v>7000</v>
      </c>
      <c r="E5" s="114">
        <v>1</v>
      </c>
      <c r="F5" s="114">
        <v>0.25</v>
      </c>
      <c r="G5" s="115">
        <v>1</v>
      </c>
      <c r="H5" s="116">
        <v>0.04</v>
      </c>
      <c r="I5" s="114">
        <v>0.92</v>
      </c>
      <c r="J5" s="114">
        <v>0.25</v>
      </c>
      <c r="K5" s="114">
        <v>0.12</v>
      </c>
      <c r="L5" s="50">
        <v>1.3</v>
      </c>
      <c r="M5" s="50">
        <v>8</v>
      </c>
      <c r="N5" s="50">
        <v>1.8</v>
      </c>
      <c r="O5" s="51">
        <v>5.0000000000000001E-3</v>
      </c>
      <c r="P5" s="50">
        <v>1</v>
      </c>
      <c r="Q5" s="50">
        <v>1</v>
      </c>
      <c r="R5" s="50" t="s">
        <v>603</v>
      </c>
      <c r="S5" s="50" t="s">
        <v>786</v>
      </c>
      <c r="T5" s="50" t="s">
        <v>1083</v>
      </c>
    </row>
    <row r="6" spans="1:20" ht="25.5" customHeight="1" x14ac:dyDescent="0.2">
      <c r="A6" s="50" t="s">
        <v>679</v>
      </c>
      <c r="B6" s="50" t="s">
        <v>555</v>
      </c>
      <c r="C6" s="50" t="s">
        <v>785</v>
      </c>
      <c r="D6" s="50">
        <v>7000</v>
      </c>
      <c r="E6" s="114">
        <v>1</v>
      </c>
      <c r="F6" s="114">
        <v>0.6</v>
      </c>
      <c r="G6" s="115">
        <v>1</v>
      </c>
      <c r="H6" s="114">
        <v>0.06</v>
      </c>
      <c r="I6" s="114">
        <v>0.94</v>
      </c>
      <c r="J6" s="114">
        <v>0.45</v>
      </c>
      <c r="K6" s="114">
        <v>0.1</v>
      </c>
      <c r="L6" s="50">
        <v>1.6</v>
      </c>
      <c r="M6" s="50">
        <v>16</v>
      </c>
      <c r="N6" s="50">
        <v>1.8</v>
      </c>
      <c r="O6" s="51">
        <v>0.01</v>
      </c>
      <c r="P6" s="50">
        <v>1</v>
      </c>
      <c r="Q6" s="50">
        <v>1</v>
      </c>
      <c r="R6" s="50" t="s">
        <v>603</v>
      </c>
      <c r="S6" s="50" t="s">
        <v>786</v>
      </c>
      <c r="T6" s="50" t="s">
        <v>1083</v>
      </c>
    </row>
    <row r="7" spans="1:20" ht="25.5" customHeight="1" x14ac:dyDescent="0.2">
      <c r="A7" s="50" t="s">
        <v>679</v>
      </c>
      <c r="B7" s="50" t="s">
        <v>556</v>
      </c>
      <c r="C7" s="50" t="s">
        <v>785</v>
      </c>
      <c r="D7" s="50">
        <v>7000</v>
      </c>
      <c r="E7" s="114">
        <v>1</v>
      </c>
      <c r="F7" s="114">
        <v>0.8</v>
      </c>
      <c r="G7" s="115">
        <v>1</v>
      </c>
      <c r="H7" s="114">
        <v>0.08</v>
      </c>
      <c r="I7" s="114">
        <v>0.95</v>
      </c>
      <c r="J7" s="114">
        <v>0.6</v>
      </c>
      <c r="K7" s="114">
        <v>0.08</v>
      </c>
      <c r="L7" s="50">
        <v>1.9</v>
      </c>
      <c r="M7" s="50">
        <v>28</v>
      </c>
      <c r="N7" s="50">
        <v>1.8</v>
      </c>
      <c r="O7" s="51">
        <v>1.4999999999999999E-2</v>
      </c>
      <c r="P7" s="50">
        <v>1</v>
      </c>
      <c r="Q7" s="50">
        <v>1</v>
      </c>
      <c r="R7" s="50" t="s">
        <v>603</v>
      </c>
      <c r="S7" s="50" t="s">
        <v>786</v>
      </c>
      <c r="T7" s="50" t="s">
        <v>1083</v>
      </c>
    </row>
    <row r="8" spans="1:20" ht="25.5" customHeight="1" x14ac:dyDescent="0.2">
      <c r="A8" s="50" t="s">
        <v>679</v>
      </c>
      <c r="B8" s="50" t="s">
        <v>557</v>
      </c>
      <c r="C8" s="50" t="s">
        <v>785</v>
      </c>
      <c r="D8" s="50">
        <v>7000</v>
      </c>
      <c r="E8" s="114">
        <v>1</v>
      </c>
      <c r="F8" s="114">
        <v>0.95</v>
      </c>
      <c r="G8" s="115">
        <v>1</v>
      </c>
      <c r="H8" s="114">
        <v>0.12</v>
      </c>
      <c r="I8" s="114">
        <v>0.93</v>
      </c>
      <c r="J8" s="114">
        <v>0.65</v>
      </c>
      <c r="K8" s="114">
        <v>0.12</v>
      </c>
      <c r="L8" s="50">
        <v>2.5</v>
      </c>
      <c r="M8" s="50">
        <v>45</v>
      </c>
      <c r="N8" s="50">
        <v>1.8</v>
      </c>
      <c r="O8" s="51">
        <v>0.02</v>
      </c>
      <c r="P8" s="50">
        <v>1</v>
      </c>
      <c r="Q8" s="50">
        <v>1</v>
      </c>
      <c r="R8" s="50" t="s">
        <v>603</v>
      </c>
      <c r="S8" s="50" t="s">
        <v>786</v>
      </c>
      <c r="T8" s="50" t="s">
        <v>1083</v>
      </c>
    </row>
    <row r="9" spans="1:20" ht="25.5" customHeight="1" x14ac:dyDescent="0.2">
      <c r="A9" s="50" t="s">
        <v>679</v>
      </c>
      <c r="B9" s="50" t="s">
        <v>558</v>
      </c>
      <c r="C9" s="50" t="s">
        <v>785</v>
      </c>
      <c r="D9" s="50">
        <v>7000</v>
      </c>
      <c r="E9" s="114">
        <v>1</v>
      </c>
      <c r="F9" s="114">
        <v>0.7</v>
      </c>
      <c r="G9" s="115">
        <v>1</v>
      </c>
      <c r="H9" s="114">
        <v>7.0000000000000007E-2</v>
      </c>
      <c r="I9" s="114">
        <v>0.95</v>
      </c>
      <c r="J9" s="114">
        <v>0.5</v>
      </c>
      <c r="K9" s="114">
        <v>0.09</v>
      </c>
      <c r="L9" s="50">
        <v>1.8</v>
      </c>
      <c r="M9" s="50">
        <v>20</v>
      </c>
      <c r="N9" s="50">
        <v>1.8</v>
      </c>
      <c r="O9" s="51">
        <v>0.01</v>
      </c>
      <c r="P9" s="50">
        <v>1</v>
      </c>
      <c r="Q9" s="50">
        <v>1</v>
      </c>
      <c r="R9" s="50" t="s">
        <v>661</v>
      </c>
      <c r="S9" s="50" t="s">
        <v>786</v>
      </c>
      <c r="T9" s="50" t="s">
        <v>1084</v>
      </c>
    </row>
    <row r="10" spans="1:20" ht="25.5" customHeight="1" x14ac:dyDescent="0.2">
      <c r="A10" s="50" t="s">
        <v>692</v>
      </c>
      <c r="B10" s="50" t="s">
        <v>545</v>
      </c>
      <c r="C10" s="50" t="s">
        <v>787</v>
      </c>
      <c r="D10" s="50">
        <v>500</v>
      </c>
      <c r="E10" s="114">
        <v>0.65</v>
      </c>
      <c r="F10" s="114">
        <v>0.25</v>
      </c>
      <c r="G10" s="115">
        <v>1</v>
      </c>
      <c r="H10" s="114">
        <v>0.04</v>
      </c>
      <c r="I10" s="114">
        <v>0.92</v>
      </c>
      <c r="J10" s="114">
        <v>0.25</v>
      </c>
      <c r="K10" s="114">
        <v>0.12</v>
      </c>
      <c r="L10" s="50">
        <v>1.3</v>
      </c>
      <c r="M10" s="50">
        <v>8</v>
      </c>
      <c r="N10" s="50">
        <v>4.5</v>
      </c>
      <c r="O10" s="51">
        <v>5.0000000000000001E-3</v>
      </c>
      <c r="P10" s="50">
        <v>1</v>
      </c>
      <c r="Q10" s="50">
        <v>2</v>
      </c>
      <c r="R10" s="50" t="s">
        <v>603</v>
      </c>
      <c r="S10" s="50" t="s">
        <v>786</v>
      </c>
      <c r="T10" s="50" t="s">
        <v>1083</v>
      </c>
    </row>
    <row r="11" spans="1:20" ht="25.5" customHeight="1" x14ac:dyDescent="0.2">
      <c r="A11" s="50" t="s">
        <v>692</v>
      </c>
      <c r="B11" s="50" t="s">
        <v>555</v>
      </c>
      <c r="C11" s="50" t="s">
        <v>787</v>
      </c>
      <c r="D11" s="50">
        <v>500</v>
      </c>
      <c r="E11" s="114">
        <v>0.65</v>
      </c>
      <c r="F11" s="114">
        <v>0.6</v>
      </c>
      <c r="G11" s="115">
        <v>1</v>
      </c>
      <c r="H11" s="114">
        <v>0.06</v>
      </c>
      <c r="I11" s="114">
        <v>0.94</v>
      </c>
      <c r="J11" s="114">
        <v>0.45</v>
      </c>
      <c r="K11" s="114">
        <v>0.1</v>
      </c>
      <c r="L11" s="50">
        <v>1.6</v>
      </c>
      <c r="M11" s="50">
        <v>16</v>
      </c>
      <c r="N11" s="50">
        <v>4.5</v>
      </c>
      <c r="O11" s="51">
        <v>0.01</v>
      </c>
      <c r="P11" s="50">
        <v>1</v>
      </c>
      <c r="Q11" s="50">
        <v>2</v>
      </c>
      <c r="R11" s="50" t="s">
        <v>603</v>
      </c>
      <c r="S11" s="50" t="s">
        <v>786</v>
      </c>
      <c r="T11" s="50" t="s">
        <v>1083</v>
      </c>
    </row>
    <row r="12" spans="1:20" ht="25.5" customHeight="1" x14ac:dyDescent="0.2">
      <c r="A12" s="50" t="s">
        <v>692</v>
      </c>
      <c r="B12" s="50" t="s">
        <v>556</v>
      </c>
      <c r="C12" s="50" t="s">
        <v>787</v>
      </c>
      <c r="D12" s="50">
        <v>500</v>
      </c>
      <c r="E12" s="114">
        <v>0.65</v>
      </c>
      <c r="F12" s="114">
        <v>0.8</v>
      </c>
      <c r="G12" s="115">
        <v>1</v>
      </c>
      <c r="H12" s="114">
        <v>0.08</v>
      </c>
      <c r="I12" s="114">
        <v>0.95</v>
      </c>
      <c r="J12" s="114">
        <v>0.6</v>
      </c>
      <c r="K12" s="114">
        <v>0.08</v>
      </c>
      <c r="L12" s="50">
        <v>1.9</v>
      </c>
      <c r="M12" s="50">
        <v>28</v>
      </c>
      <c r="N12" s="50">
        <v>4.5</v>
      </c>
      <c r="O12" s="51">
        <v>1.4999999999999999E-2</v>
      </c>
      <c r="P12" s="50">
        <v>1</v>
      </c>
      <c r="Q12" s="50">
        <v>2</v>
      </c>
      <c r="R12" s="50" t="s">
        <v>603</v>
      </c>
      <c r="S12" s="50" t="s">
        <v>786</v>
      </c>
      <c r="T12" s="50" t="s">
        <v>1083</v>
      </c>
    </row>
    <row r="13" spans="1:20" ht="25.5" customHeight="1" x14ac:dyDescent="0.2">
      <c r="A13" s="50" t="s">
        <v>692</v>
      </c>
      <c r="B13" s="50" t="s">
        <v>557</v>
      </c>
      <c r="C13" s="50" t="s">
        <v>787</v>
      </c>
      <c r="D13" s="50">
        <v>500</v>
      </c>
      <c r="E13" s="114">
        <v>0.65</v>
      </c>
      <c r="F13" s="114">
        <v>0.95</v>
      </c>
      <c r="G13" s="115">
        <v>1</v>
      </c>
      <c r="H13" s="114">
        <v>0.12</v>
      </c>
      <c r="I13" s="114">
        <v>0.93</v>
      </c>
      <c r="J13" s="114">
        <v>0.65</v>
      </c>
      <c r="K13" s="114">
        <v>0.12</v>
      </c>
      <c r="L13" s="50">
        <v>2.5</v>
      </c>
      <c r="M13" s="50">
        <v>45</v>
      </c>
      <c r="N13" s="50">
        <v>4.5</v>
      </c>
      <c r="O13" s="51">
        <v>0.02</v>
      </c>
      <c r="P13" s="50">
        <v>1</v>
      </c>
      <c r="Q13" s="50">
        <v>2</v>
      </c>
      <c r="R13" s="50" t="s">
        <v>603</v>
      </c>
      <c r="S13" s="50" t="s">
        <v>786</v>
      </c>
      <c r="T13" s="50" t="s">
        <v>1083</v>
      </c>
    </row>
    <row r="14" spans="1:20" ht="25.5" customHeight="1" x14ac:dyDescent="0.2">
      <c r="A14" s="50" t="s">
        <v>692</v>
      </c>
      <c r="B14" s="50" t="s">
        <v>558</v>
      </c>
      <c r="C14" s="50" t="s">
        <v>787</v>
      </c>
      <c r="D14" s="50">
        <v>500</v>
      </c>
      <c r="E14" s="114">
        <v>0.65</v>
      </c>
      <c r="F14" s="114">
        <v>0.7</v>
      </c>
      <c r="G14" s="115">
        <v>1</v>
      </c>
      <c r="H14" s="114">
        <v>7.0000000000000007E-2</v>
      </c>
      <c r="I14" s="114">
        <v>0.95</v>
      </c>
      <c r="J14" s="114">
        <v>0.5</v>
      </c>
      <c r="K14" s="114">
        <v>0.09</v>
      </c>
      <c r="L14" s="50">
        <v>1.8</v>
      </c>
      <c r="M14" s="50">
        <v>20</v>
      </c>
      <c r="N14" s="50">
        <v>4.5</v>
      </c>
      <c r="O14" s="51">
        <v>0.01</v>
      </c>
      <c r="P14" s="50">
        <v>1</v>
      </c>
      <c r="Q14" s="50">
        <v>2</v>
      </c>
      <c r="R14" s="50" t="s">
        <v>661</v>
      </c>
      <c r="S14" s="50" t="s">
        <v>786</v>
      </c>
      <c r="T14" s="50" t="s">
        <v>1084</v>
      </c>
    </row>
    <row r="15" spans="1:20" ht="25.5" customHeight="1" x14ac:dyDescent="0.2">
      <c r="A15" s="50" t="s">
        <v>705</v>
      </c>
      <c r="B15" s="50" t="s">
        <v>545</v>
      </c>
      <c r="C15" s="50" t="s">
        <v>788</v>
      </c>
      <c r="D15" s="50">
        <v>575</v>
      </c>
      <c r="E15" s="114">
        <v>0.9</v>
      </c>
      <c r="F15" s="114">
        <v>0.25</v>
      </c>
      <c r="G15" s="115">
        <v>1</v>
      </c>
      <c r="H15" s="114">
        <v>0.04</v>
      </c>
      <c r="I15" s="114">
        <v>0.92</v>
      </c>
      <c r="J15" s="114">
        <v>0.25</v>
      </c>
      <c r="K15" s="114">
        <v>0.12</v>
      </c>
      <c r="L15" s="50">
        <v>1.3</v>
      </c>
      <c r="M15" s="50">
        <v>8</v>
      </c>
      <c r="N15" s="50">
        <v>1.5</v>
      </c>
      <c r="O15" s="51">
        <v>5.0000000000000001E-3</v>
      </c>
      <c r="P15" s="50">
        <v>1</v>
      </c>
      <c r="Q15" s="50">
        <v>1</v>
      </c>
      <c r="R15" s="50" t="s">
        <v>603</v>
      </c>
      <c r="S15" s="50" t="s">
        <v>786</v>
      </c>
      <c r="T15" s="50" t="s">
        <v>1083</v>
      </c>
    </row>
    <row r="16" spans="1:20" ht="25.5" customHeight="1" x14ac:dyDescent="0.2">
      <c r="A16" s="50" t="s">
        <v>705</v>
      </c>
      <c r="B16" s="50" t="s">
        <v>555</v>
      </c>
      <c r="C16" s="50" t="s">
        <v>788</v>
      </c>
      <c r="D16" s="50">
        <v>575</v>
      </c>
      <c r="E16" s="114">
        <v>0.9</v>
      </c>
      <c r="F16" s="114">
        <v>0.6</v>
      </c>
      <c r="G16" s="115">
        <v>1</v>
      </c>
      <c r="H16" s="114">
        <v>0.06</v>
      </c>
      <c r="I16" s="114">
        <v>0.94</v>
      </c>
      <c r="J16" s="114">
        <v>0.45</v>
      </c>
      <c r="K16" s="114">
        <v>0.1</v>
      </c>
      <c r="L16" s="50">
        <v>1.6</v>
      </c>
      <c r="M16" s="50">
        <v>16</v>
      </c>
      <c r="N16" s="50">
        <v>1.5</v>
      </c>
      <c r="O16" s="51">
        <v>0.01</v>
      </c>
      <c r="P16" s="50">
        <v>1</v>
      </c>
      <c r="Q16" s="50">
        <v>1</v>
      </c>
      <c r="R16" s="50" t="s">
        <v>603</v>
      </c>
      <c r="S16" s="50" t="s">
        <v>786</v>
      </c>
      <c r="T16" s="50" t="s">
        <v>1083</v>
      </c>
    </row>
    <row r="17" spans="1:20" ht="25.5" customHeight="1" x14ac:dyDescent="0.2">
      <c r="A17" s="50" t="s">
        <v>705</v>
      </c>
      <c r="B17" s="50" t="s">
        <v>556</v>
      </c>
      <c r="C17" s="50" t="s">
        <v>788</v>
      </c>
      <c r="D17" s="50">
        <v>575</v>
      </c>
      <c r="E17" s="114">
        <v>0.9</v>
      </c>
      <c r="F17" s="114">
        <v>0.8</v>
      </c>
      <c r="G17" s="115">
        <v>1</v>
      </c>
      <c r="H17" s="114">
        <v>0.08</v>
      </c>
      <c r="I17" s="114">
        <v>0.95</v>
      </c>
      <c r="J17" s="114">
        <v>0.6</v>
      </c>
      <c r="K17" s="114">
        <v>0.08</v>
      </c>
      <c r="L17" s="50">
        <v>1.9</v>
      </c>
      <c r="M17" s="50">
        <v>28</v>
      </c>
      <c r="N17" s="50">
        <v>1.5</v>
      </c>
      <c r="O17" s="51">
        <v>1.4999999999999999E-2</v>
      </c>
      <c r="P17" s="50">
        <v>1</v>
      </c>
      <c r="Q17" s="50">
        <v>1</v>
      </c>
      <c r="R17" s="50" t="s">
        <v>603</v>
      </c>
      <c r="S17" s="50" t="s">
        <v>786</v>
      </c>
      <c r="T17" s="50" t="s">
        <v>1083</v>
      </c>
    </row>
    <row r="18" spans="1:20" ht="25.5" customHeight="1" x14ac:dyDescent="0.2">
      <c r="A18" s="50" t="s">
        <v>705</v>
      </c>
      <c r="B18" s="50" t="s">
        <v>557</v>
      </c>
      <c r="C18" s="50" t="s">
        <v>788</v>
      </c>
      <c r="D18" s="50">
        <v>575</v>
      </c>
      <c r="E18" s="114">
        <v>0.9</v>
      </c>
      <c r="F18" s="114">
        <v>0.95</v>
      </c>
      <c r="G18" s="115">
        <v>1</v>
      </c>
      <c r="H18" s="114">
        <v>0.12</v>
      </c>
      <c r="I18" s="114">
        <v>0.93</v>
      </c>
      <c r="J18" s="114">
        <v>0.65</v>
      </c>
      <c r="K18" s="114">
        <v>0.12</v>
      </c>
      <c r="L18" s="50">
        <v>2.5</v>
      </c>
      <c r="M18" s="50">
        <v>45</v>
      </c>
      <c r="N18" s="50">
        <v>1.5</v>
      </c>
      <c r="O18" s="51">
        <v>0.02</v>
      </c>
      <c r="P18" s="50">
        <v>1</v>
      </c>
      <c r="Q18" s="50">
        <v>1</v>
      </c>
      <c r="R18" s="50" t="s">
        <v>603</v>
      </c>
      <c r="S18" s="50" t="s">
        <v>786</v>
      </c>
      <c r="T18" s="50" t="s">
        <v>1083</v>
      </c>
    </row>
    <row r="19" spans="1:20" ht="25.5" customHeight="1" x14ac:dyDescent="0.2">
      <c r="A19" s="50" t="s">
        <v>705</v>
      </c>
      <c r="B19" s="50" t="s">
        <v>558</v>
      </c>
      <c r="C19" s="50" t="s">
        <v>788</v>
      </c>
      <c r="D19" s="50">
        <v>575</v>
      </c>
      <c r="E19" s="114">
        <v>0.9</v>
      </c>
      <c r="F19" s="114">
        <v>0.7</v>
      </c>
      <c r="G19" s="115">
        <v>1</v>
      </c>
      <c r="H19" s="114">
        <v>7.0000000000000007E-2</v>
      </c>
      <c r="I19" s="114">
        <v>0.95</v>
      </c>
      <c r="J19" s="114">
        <v>0.5</v>
      </c>
      <c r="K19" s="114">
        <v>0.09</v>
      </c>
      <c r="L19" s="50">
        <v>1.8</v>
      </c>
      <c r="M19" s="50">
        <v>20</v>
      </c>
      <c r="N19" s="50">
        <v>1.5</v>
      </c>
      <c r="O19" s="51">
        <v>0.01</v>
      </c>
      <c r="P19" s="50">
        <v>1</v>
      </c>
      <c r="Q19" s="50">
        <v>1</v>
      </c>
      <c r="R19" s="50" t="s">
        <v>661</v>
      </c>
      <c r="S19" s="50" t="s">
        <v>786</v>
      </c>
      <c r="T19" s="50" t="s">
        <v>1084</v>
      </c>
    </row>
    <row r="20" spans="1:20" ht="25.5" customHeight="1" x14ac:dyDescent="0.2">
      <c r="A20" s="50" t="s">
        <v>714</v>
      </c>
      <c r="B20" s="50" t="s">
        <v>545</v>
      </c>
      <c r="C20" s="50" t="s">
        <v>789</v>
      </c>
      <c r="D20" s="50">
        <v>3500</v>
      </c>
      <c r="E20" s="114">
        <v>0.7</v>
      </c>
      <c r="F20" s="114">
        <v>0.25</v>
      </c>
      <c r="G20" s="115">
        <v>1</v>
      </c>
      <c r="H20" s="114">
        <v>0.04</v>
      </c>
      <c r="I20" s="114">
        <v>0.92</v>
      </c>
      <c r="J20" s="114">
        <v>0.25</v>
      </c>
      <c r="K20" s="114">
        <v>0.12</v>
      </c>
      <c r="L20" s="50">
        <v>1.3</v>
      </c>
      <c r="M20" s="50">
        <v>8</v>
      </c>
      <c r="N20" s="50">
        <v>3.5</v>
      </c>
      <c r="O20" s="51">
        <v>5.0000000000000001E-3</v>
      </c>
      <c r="P20" s="50">
        <v>1</v>
      </c>
      <c r="Q20" s="50">
        <v>3</v>
      </c>
      <c r="R20" s="50" t="s">
        <v>603</v>
      </c>
      <c r="S20" s="50" t="s">
        <v>786</v>
      </c>
      <c r="T20" s="50" t="s">
        <v>1083</v>
      </c>
    </row>
    <row r="21" spans="1:20" ht="25.5" customHeight="1" x14ac:dyDescent="0.2">
      <c r="A21" s="50" t="s">
        <v>714</v>
      </c>
      <c r="B21" s="50" t="s">
        <v>555</v>
      </c>
      <c r="C21" s="50" t="s">
        <v>789</v>
      </c>
      <c r="D21" s="50">
        <v>3500</v>
      </c>
      <c r="E21" s="114">
        <v>0.7</v>
      </c>
      <c r="F21" s="114">
        <v>0.6</v>
      </c>
      <c r="G21" s="115">
        <v>1</v>
      </c>
      <c r="H21" s="114">
        <v>0.06</v>
      </c>
      <c r="I21" s="114">
        <v>0.94</v>
      </c>
      <c r="J21" s="114">
        <v>0.45</v>
      </c>
      <c r="K21" s="114">
        <v>0.1</v>
      </c>
      <c r="L21" s="50">
        <v>1.6</v>
      </c>
      <c r="M21" s="50">
        <v>16</v>
      </c>
      <c r="N21" s="50">
        <v>3.5</v>
      </c>
      <c r="O21" s="51">
        <v>0.01</v>
      </c>
      <c r="P21" s="50">
        <v>1</v>
      </c>
      <c r="Q21" s="50">
        <v>3</v>
      </c>
      <c r="R21" s="50" t="s">
        <v>603</v>
      </c>
      <c r="S21" s="50" t="s">
        <v>786</v>
      </c>
      <c r="T21" s="50" t="s">
        <v>1083</v>
      </c>
    </row>
    <row r="22" spans="1:20" ht="25.5" customHeight="1" x14ac:dyDescent="0.2">
      <c r="A22" s="50" t="s">
        <v>714</v>
      </c>
      <c r="B22" s="50" t="s">
        <v>556</v>
      </c>
      <c r="C22" s="50" t="s">
        <v>789</v>
      </c>
      <c r="D22" s="50">
        <v>3500</v>
      </c>
      <c r="E22" s="114">
        <v>0.7</v>
      </c>
      <c r="F22" s="114">
        <v>0.8</v>
      </c>
      <c r="G22" s="115">
        <v>1</v>
      </c>
      <c r="H22" s="114">
        <v>0.08</v>
      </c>
      <c r="I22" s="114">
        <v>0.95</v>
      </c>
      <c r="J22" s="114">
        <v>0.6</v>
      </c>
      <c r="K22" s="114">
        <v>0.08</v>
      </c>
      <c r="L22" s="50">
        <v>1.9</v>
      </c>
      <c r="M22" s="50">
        <v>28</v>
      </c>
      <c r="N22" s="50">
        <v>3.5</v>
      </c>
      <c r="O22" s="51">
        <v>1.4999999999999999E-2</v>
      </c>
      <c r="P22" s="50">
        <v>1</v>
      </c>
      <c r="Q22" s="50">
        <v>3</v>
      </c>
      <c r="R22" s="50" t="s">
        <v>603</v>
      </c>
      <c r="S22" s="50" t="s">
        <v>786</v>
      </c>
      <c r="T22" s="50" t="s">
        <v>1083</v>
      </c>
    </row>
    <row r="23" spans="1:20" ht="25.5" customHeight="1" x14ac:dyDescent="0.2">
      <c r="A23" s="50" t="s">
        <v>714</v>
      </c>
      <c r="B23" s="50" t="s">
        <v>557</v>
      </c>
      <c r="C23" s="50" t="s">
        <v>789</v>
      </c>
      <c r="D23" s="50">
        <v>3500</v>
      </c>
      <c r="E23" s="114">
        <v>0.7</v>
      </c>
      <c r="F23" s="114">
        <v>0.95</v>
      </c>
      <c r="G23" s="115">
        <v>1</v>
      </c>
      <c r="H23" s="114">
        <v>0.12</v>
      </c>
      <c r="I23" s="114">
        <v>0.93</v>
      </c>
      <c r="J23" s="114">
        <v>0.65</v>
      </c>
      <c r="K23" s="114">
        <v>0.12</v>
      </c>
      <c r="L23" s="50">
        <v>2.5</v>
      </c>
      <c r="M23" s="50">
        <v>45</v>
      </c>
      <c r="N23" s="50">
        <v>3.5</v>
      </c>
      <c r="O23" s="51">
        <v>0.02</v>
      </c>
      <c r="P23" s="50">
        <v>1</v>
      </c>
      <c r="Q23" s="50">
        <v>3</v>
      </c>
      <c r="R23" s="50" t="s">
        <v>603</v>
      </c>
      <c r="S23" s="50" t="s">
        <v>786</v>
      </c>
      <c r="T23" s="50" t="s">
        <v>1083</v>
      </c>
    </row>
    <row r="24" spans="1:20" ht="25.5" customHeight="1" x14ac:dyDescent="0.2">
      <c r="A24" s="50" t="s">
        <v>714</v>
      </c>
      <c r="B24" s="50" t="s">
        <v>558</v>
      </c>
      <c r="C24" s="50" t="s">
        <v>789</v>
      </c>
      <c r="D24" s="50">
        <v>3500</v>
      </c>
      <c r="E24" s="114">
        <v>0.7</v>
      </c>
      <c r="F24" s="114">
        <v>0.7</v>
      </c>
      <c r="G24" s="115">
        <v>1</v>
      </c>
      <c r="H24" s="114">
        <v>7.0000000000000007E-2</v>
      </c>
      <c r="I24" s="114">
        <v>0.95</v>
      </c>
      <c r="J24" s="114">
        <v>0.5</v>
      </c>
      <c r="K24" s="114">
        <v>0.09</v>
      </c>
      <c r="L24" s="50">
        <v>1.8</v>
      </c>
      <c r="M24" s="50">
        <v>20</v>
      </c>
      <c r="N24" s="50">
        <v>3.5</v>
      </c>
      <c r="O24" s="51">
        <v>0.01</v>
      </c>
      <c r="P24" s="50">
        <v>1</v>
      </c>
      <c r="Q24" s="50">
        <v>3</v>
      </c>
      <c r="R24" s="50" t="s">
        <v>661</v>
      </c>
      <c r="S24" s="50" t="s">
        <v>786</v>
      </c>
      <c r="T24" s="50" t="s">
        <v>1084</v>
      </c>
    </row>
    <row r="25" spans="1:20" ht="25.5" customHeight="1" x14ac:dyDescent="0.2">
      <c r="A25" s="50" t="s">
        <v>725</v>
      </c>
      <c r="B25" s="50" t="s">
        <v>545</v>
      </c>
      <c r="C25" s="50" t="s">
        <v>790</v>
      </c>
      <c r="D25" s="50">
        <v>3000</v>
      </c>
      <c r="E25" s="114">
        <v>0.8</v>
      </c>
      <c r="F25" s="114">
        <v>0.25</v>
      </c>
      <c r="G25" s="115">
        <v>1</v>
      </c>
      <c r="H25" s="114">
        <v>0.04</v>
      </c>
      <c r="I25" s="114">
        <v>0.92</v>
      </c>
      <c r="J25" s="114">
        <v>0.25</v>
      </c>
      <c r="K25" s="114">
        <v>0.12</v>
      </c>
      <c r="L25" s="50">
        <v>1.3</v>
      </c>
      <c r="M25" s="50">
        <v>8</v>
      </c>
      <c r="N25" s="50">
        <v>4</v>
      </c>
      <c r="O25" s="51">
        <v>5.0000000000000001E-3</v>
      </c>
      <c r="P25" s="50">
        <v>1</v>
      </c>
      <c r="Q25" s="50">
        <v>4</v>
      </c>
      <c r="R25" s="50" t="s">
        <v>603</v>
      </c>
      <c r="S25" s="50" t="s">
        <v>786</v>
      </c>
      <c r="T25" s="50" t="s">
        <v>1083</v>
      </c>
    </row>
    <row r="26" spans="1:20" ht="25.5" customHeight="1" x14ac:dyDescent="0.2">
      <c r="A26" s="50" t="s">
        <v>725</v>
      </c>
      <c r="B26" s="50" t="s">
        <v>555</v>
      </c>
      <c r="C26" s="50" t="s">
        <v>790</v>
      </c>
      <c r="D26" s="50">
        <v>3000</v>
      </c>
      <c r="E26" s="114">
        <v>0.8</v>
      </c>
      <c r="F26" s="114">
        <v>0.6</v>
      </c>
      <c r="G26" s="115">
        <v>1</v>
      </c>
      <c r="H26" s="114">
        <v>0.06</v>
      </c>
      <c r="I26" s="114">
        <v>0.94</v>
      </c>
      <c r="J26" s="114">
        <v>0.45</v>
      </c>
      <c r="K26" s="114">
        <v>0.1</v>
      </c>
      <c r="L26" s="50">
        <v>1.6</v>
      </c>
      <c r="M26" s="50">
        <v>16</v>
      </c>
      <c r="N26" s="50">
        <v>4</v>
      </c>
      <c r="O26" s="51">
        <v>0.01</v>
      </c>
      <c r="P26" s="50">
        <v>1</v>
      </c>
      <c r="Q26" s="50">
        <v>4</v>
      </c>
      <c r="R26" s="50" t="s">
        <v>603</v>
      </c>
      <c r="S26" s="50" t="s">
        <v>786</v>
      </c>
      <c r="T26" s="50" t="s">
        <v>1083</v>
      </c>
    </row>
    <row r="27" spans="1:20" ht="25.5" customHeight="1" x14ac:dyDescent="0.2">
      <c r="A27" s="50" t="s">
        <v>725</v>
      </c>
      <c r="B27" s="50" t="s">
        <v>556</v>
      </c>
      <c r="C27" s="50" t="s">
        <v>790</v>
      </c>
      <c r="D27" s="50">
        <v>3000</v>
      </c>
      <c r="E27" s="114">
        <v>0.8</v>
      </c>
      <c r="F27" s="114">
        <v>0.8</v>
      </c>
      <c r="G27" s="115">
        <v>1</v>
      </c>
      <c r="H27" s="114">
        <v>0.08</v>
      </c>
      <c r="I27" s="114">
        <v>0.95</v>
      </c>
      <c r="J27" s="114">
        <v>0.6</v>
      </c>
      <c r="K27" s="114">
        <v>0.08</v>
      </c>
      <c r="L27" s="50">
        <v>1.9</v>
      </c>
      <c r="M27" s="50">
        <v>28</v>
      </c>
      <c r="N27" s="50">
        <v>4</v>
      </c>
      <c r="O27" s="51">
        <v>1.4999999999999999E-2</v>
      </c>
      <c r="P27" s="50">
        <v>1</v>
      </c>
      <c r="Q27" s="50">
        <v>4</v>
      </c>
      <c r="R27" s="50" t="s">
        <v>603</v>
      </c>
      <c r="S27" s="50" t="s">
        <v>786</v>
      </c>
      <c r="T27" s="50" t="s">
        <v>1083</v>
      </c>
    </row>
    <row r="28" spans="1:20" ht="25.5" customHeight="1" x14ac:dyDescent="0.2">
      <c r="A28" s="50" t="s">
        <v>725</v>
      </c>
      <c r="B28" s="50" t="s">
        <v>557</v>
      </c>
      <c r="C28" s="50" t="s">
        <v>790</v>
      </c>
      <c r="D28" s="50">
        <v>3000</v>
      </c>
      <c r="E28" s="114">
        <v>0.8</v>
      </c>
      <c r="F28" s="114">
        <v>0.95</v>
      </c>
      <c r="G28" s="115">
        <v>1</v>
      </c>
      <c r="H28" s="114">
        <v>0.12</v>
      </c>
      <c r="I28" s="114">
        <v>0.93</v>
      </c>
      <c r="J28" s="114">
        <v>0.65</v>
      </c>
      <c r="K28" s="114">
        <v>0.12</v>
      </c>
      <c r="L28" s="50">
        <v>2.5</v>
      </c>
      <c r="M28" s="50">
        <v>45</v>
      </c>
      <c r="N28" s="50">
        <v>4</v>
      </c>
      <c r="O28" s="51">
        <v>0.02</v>
      </c>
      <c r="P28" s="50">
        <v>1</v>
      </c>
      <c r="Q28" s="50">
        <v>4</v>
      </c>
      <c r="R28" s="50" t="s">
        <v>603</v>
      </c>
      <c r="S28" s="50" t="s">
        <v>786</v>
      </c>
      <c r="T28" s="50" t="s">
        <v>1083</v>
      </c>
    </row>
    <row r="29" spans="1:20" ht="25.5" customHeight="1" x14ac:dyDescent="0.2">
      <c r="A29" s="50" t="s">
        <v>725</v>
      </c>
      <c r="B29" s="50" t="s">
        <v>558</v>
      </c>
      <c r="C29" s="50" t="s">
        <v>790</v>
      </c>
      <c r="D29" s="50">
        <v>3000</v>
      </c>
      <c r="E29" s="114">
        <v>0.8</v>
      </c>
      <c r="F29" s="114">
        <v>0.7</v>
      </c>
      <c r="G29" s="115">
        <v>1</v>
      </c>
      <c r="H29" s="114">
        <v>7.0000000000000007E-2</v>
      </c>
      <c r="I29" s="114">
        <v>0.95</v>
      </c>
      <c r="J29" s="114">
        <v>0.5</v>
      </c>
      <c r="K29" s="114">
        <v>0.09</v>
      </c>
      <c r="L29" s="50">
        <v>1.8</v>
      </c>
      <c r="M29" s="50">
        <v>20</v>
      </c>
      <c r="N29" s="50">
        <v>4</v>
      </c>
      <c r="O29" s="51">
        <v>0.01</v>
      </c>
      <c r="P29" s="50">
        <v>1</v>
      </c>
      <c r="Q29" s="50">
        <v>4</v>
      </c>
      <c r="R29" s="50" t="s">
        <v>661</v>
      </c>
      <c r="S29" s="50" t="s">
        <v>786</v>
      </c>
      <c r="T29" s="50" t="s">
        <v>1084</v>
      </c>
    </row>
    <row r="30" spans="1:20" ht="25.5" customHeight="1" x14ac:dyDescent="0.2">
      <c r="A30" s="50" t="s">
        <v>735</v>
      </c>
      <c r="B30" s="50" t="s">
        <v>545</v>
      </c>
      <c r="C30" s="50" t="s">
        <v>791</v>
      </c>
      <c r="D30" s="50">
        <v>280</v>
      </c>
      <c r="E30" s="114">
        <v>1</v>
      </c>
      <c r="F30" s="114">
        <v>0.25</v>
      </c>
      <c r="G30" s="115">
        <v>1</v>
      </c>
      <c r="H30" s="114">
        <v>0.04</v>
      </c>
      <c r="I30" s="114">
        <v>0.92</v>
      </c>
      <c r="J30" s="114">
        <v>0.25</v>
      </c>
      <c r="K30" s="114">
        <v>0.12</v>
      </c>
      <c r="L30" s="50">
        <v>1.3</v>
      </c>
      <c r="M30" s="50">
        <v>8</v>
      </c>
      <c r="N30" s="50">
        <v>6</v>
      </c>
      <c r="O30" s="51">
        <v>5.0000000000000001E-3</v>
      </c>
      <c r="P30" s="50">
        <v>1</v>
      </c>
      <c r="Q30" s="50">
        <v>4</v>
      </c>
      <c r="R30" s="50" t="s">
        <v>603</v>
      </c>
      <c r="S30" s="50" t="s">
        <v>786</v>
      </c>
      <c r="T30" s="50" t="s">
        <v>1083</v>
      </c>
    </row>
    <row r="31" spans="1:20" ht="25.5" customHeight="1" x14ac:dyDescent="0.2">
      <c r="A31" s="50" t="s">
        <v>735</v>
      </c>
      <c r="B31" s="50" t="s">
        <v>555</v>
      </c>
      <c r="C31" s="50" t="s">
        <v>791</v>
      </c>
      <c r="D31" s="50">
        <v>280</v>
      </c>
      <c r="E31" s="114">
        <v>1</v>
      </c>
      <c r="F31" s="114">
        <v>0.6</v>
      </c>
      <c r="G31" s="115">
        <v>1</v>
      </c>
      <c r="H31" s="114">
        <v>0.06</v>
      </c>
      <c r="I31" s="114">
        <v>0.94</v>
      </c>
      <c r="J31" s="114">
        <v>0.45</v>
      </c>
      <c r="K31" s="114">
        <v>0.1</v>
      </c>
      <c r="L31" s="50">
        <v>1.6</v>
      </c>
      <c r="M31" s="50">
        <v>16</v>
      </c>
      <c r="N31" s="50">
        <v>6</v>
      </c>
      <c r="O31" s="51">
        <v>0.01</v>
      </c>
      <c r="P31" s="50">
        <v>1</v>
      </c>
      <c r="Q31" s="50">
        <v>4</v>
      </c>
      <c r="R31" s="50" t="s">
        <v>603</v>
      </c>
      <c r="S31" s="50" t="s">
        <v>786</v>
      </c>
      <c r="T31" s="50" t="s">
        <v>1083</v>
      </c>
    </row>
    <row r="32" spans="1:20" ht="25.5" customHeight="1" x14ac:dyDescent="0.2">
      <c r="A32" s="50" t="s">
        <v>735</v>
      </c>
      <c r="B32" s="50" t="s">
        <v>556</v>
      </c>
      <c r="C32" s="50" t="s">
        <v>791</v>
      </c>
      <c r="D32" s="50">
        <v>280</v>
      </c>
      <c r="E32" s="114">
        <v>1</v>
      </c>
      <c r="F32" s="114">
        <v>0.8</v>
      </c>
      <c r="G32" s="115">
        <v>1</v>
      </c>
      <c r="H32" s="114">
        <v>0.08</v>
      </c>
      <c r="I32" s="114">
        <v>0.95</v>
      </c>
      <c r="J32" s="114">
        <v>0.6</v>
      </c>
      <c r="K32" s="114">
        <v>0.08</v>
      </c>
      <c r="L32" s="50">
        <v>1.9</v>
      </c>
      <c r="M32" s="50">
        <v>28</v>
      </c>
      <c r="N32" s="50">
        <v>6</v>
      </c>
      <c r="O32" s="51">
        <v>1.4999999999999999E-2</v>
      </c>
      <c r="P32" s="50">
        <v>1</v>
      </c>
      <c r="Q32" s="50">
        <v>4</v>
      </c>
      <c r="R32" s="50" t="s">
        <v>603</v>
      </c>
      <c r="S32" s="50" t="s">
        <v>786</v>
      </c>
      <c r="T32" s="50" t="s">
        <v>1083</v>
      </c>
    </row>
    <row r="33" spans="1:20" ht="25.5" customHeight="1" x14ac:dyDescent="0.2">
      <c r="A33" s="50" t="s">
        <v>735</v>
      </c>
      <c r="B33" s="50" t="s">
        <v>557</v>
      </c>
      <c r="C33" s="50" t="s">
        <v>791</v>
      </c>
      <c r="D33" s="50">
        <v>280</v>
      </c>
      <c r="E33" s="114">
        <v>1</v>
      </c>
      <c r="F33" s="114">
        <v>0.95</v>
      </c>
      <c r="G33" s="115">
        <v>1</v>
      </c>
      <c r="H33" s="114">
        <v>0.12</v>
      </c>
      <c r="I33" s="114">
        <v>0.93</v>
      </c>
      <c r="J33" s="114">
        <v>0.65</v>
      </c>
      <c r="K33" s="114">
        <v>0.12</v>
      </c>
      <c r="L33" s="50">
        <v>2.5</v>
      </c>
      <c r="M33" s="50">
        <v>45</v>
      </c>
      <c r="N33" s="50">
        <v>6</v>
      </c>
      <c r="O33" s="51">
        <v>0.02</v>
      </c>
      <c r="P33" s="50">
        <v>1</v>
      </c>
      <c r="Q33" s="50">
        <v>4</v>
      </c>
      <c r="R33" s="50" t="s">
        <v>603</v>
      </c>
      <c r="S33" s="50" t="s">
        <v>786</v>
      </c>
      <c r="T33" s="50" t="s">
        <v>1083</v>
      </c>
    </row>
    <row r="34" spans="1:20" ht="25.5" customHeight="1" x14ac:dyDescent="0.2">
      <c r="A34" s="50" t="s">
        <v>735</v>
      </c>
      <c r="B34" s="50" t="s">
        <v>558</v>
      </c>
      <c r="C34" s="50" t="s">
        <v>791</v>
      </c>
      <c r="D34" s="50">
        <v>280</v>
      </c>
      <c r="E34" s="114">
        <v>1</v>
      </c>
      <c r="F34" s="114">
        <v>0.7</v>
      </c>
      <c r="G34" s="115">
        <v>1</v>
      </c>
      <c r="H34" s="114">
        <v>7.0000000000000007E-2</v>
      </c>
      <c r="I34" s="114">
        <v>0.95</v>
      </c>
      <c r="J34" s="114">
        <v>0.5</v>
      </c>
      <c r="K34" s="114">
        <v>0.09</v>
      </c>
      <c r="L34" s="50">
        <v>1.8</v>
      </c>
      <c r="M34" s="50">
        <v>20</v>
      </c>
      <c r="N34" s="50">
        <v>6</v>
      </c>
      <c r="O34" s="51">
        <v>0.01</v>
      </c>
      <c r="P34" s="50">
        <v>1</v>
      </c>
      <c r="Q34" s="50">
        <v>4</v>
      </c>
      <c r="R34" s="50" t="s">
        <v>661</v>
      </c>
      <c r="S34" s="50" t="s">
        <v>786</v>
      </c>
      <c r="T34" s="50" t="s">
        <v>1084</v>
      </c>
    </row>
    <row r="35" spans="1:20" ht="25.5" customHeight="1" x14ac:dyDescent="0.2">
      <c r="A35" s="50" t="s">
        <v>745</v>
      </c>
      <c r="B35" s="50" t="s">
        <v>545</v>
      </c>
      <c r="C35" s="50" t="s">
        <v>792</v>
      </c>
      <c r="D35" s="50">
        <v>2500</v>
      </c>
      <c r="E35" s="114">
        <v>0.75</v>
      </c>
      <c r="F35" s="114">
        <v>0.25</v>
      </c>
      <c r="G35" s="115">
        <v>1</v>
      </c>
      <c r="H35" s="114">
        <v>0.04</v>
      </c>
      <c r="I35" s="114">
        <v>0.92</v>
      </c>
      <c r="J35" s="114">
        <v>0.25</v>
      </c>
      <c r="K35" s="114">
        <v>0.12</v>
      </c>
      <c r="L35" s="50">
        <v>1.3</v>
      </c>
      <c r="M35" s="50">
        <v>8</v>
      </c>
      <c r="N35" s="50">
        <v>5</v>
      </c>
      <c r="O35" s="51">
        <v>5.0000000000000001E-3</v>
      </c>
      <c r="P35" s="50">
        <v>1</v>
      </c>
      <c r="Q35" s="50">
        <v>5</v>
      </c>
      <c r="R35" s="50" t="s">
        <v>603</v>
      </c>
      <c r="S35" s="50" t="s">
        <v>786</v>
      </c>
      <c r="T35" s="50" t="s">
        <v>1083</v>
      </c>
    </row>
    <row r="36" spans="1:20" ht="25.5" customHeight="1" x14ac:dyDescent="0.2">
      <c r="A36" s="50" t="s">
        <v>745</v>
      </c>
      <c r="B36" s="50" t="s">
        <v>555</v>
      </c>
      <c r="C36" s="50" t="s">
        <v>792</v>
      </c>
      <c r="D36" s="50">
        <v>2500</v>
      </c>
      <c r="E36" s="114">
        <v>0.75</v>
      </c>
      <c r="F36" s="114">
        <v>0.6</v>
      </c>
      <c r="G36" s="115">
        <v>1</v>
      </c>
      <c r="H36" s="114">
        <v>0.06</v>
      </c>
      <c r="I36" s="114">
        <v>0.94</v>
      </c>
      <c r="J36" s="114">
        <v>0.45</v>
      </c>
      <c r="K36" s="114">
        <v>0.1</v>
      </c>
      <c r="L36" s="50">
        <v>1.6</v>
      </c>
      <c r="M36" s="50">
        <v>16</v>
      </c>
      <c r="N36" s="50">
        <v>5</v>
      </c>
      <c r="O36" s="51">
        <v>0.01</v>
      </c>
      <c r="P36" s="50">
        <v>1</v>
      </c>
      <c r="Q36" s="50">
        <v>5</v>
      </c>
      <c r="R36" s="50" t="s">
        <v>603</v>
      </c>
      <c r="S36" s="50" t="s">
        <v>786</v>
      </c>
      <c r="T36" s="50" t="s">
        <v>1083</v>
      </c>
    </row>
    <row r="37" spans="1:20" ht="25.5" customHeight="1" x14ac:dyDescent="0.2">
      <c r="A37" s="50" t="s">
        <v>745</v>
      </c>
      <c r="B37" s="50" t="s">
        <v>556</v>
      </c>
      <c r="C37" s="50" t="s">
        <v>792</v>
      </c>
      <c r="D37" s="50">
        <v>2500</v>
      </c>
      <c r="E37" s="114">
        <v>0.75</v>
      </c>
      <c r="F37" s="114">
        <v>0.8</v>
      </c>
      <c r="G37" s="115">
        <v>1</v>
      </c>
      <c r="H37" s="114">
        <v>0.08</v>
      </c>
      <c r="I37" s="114">
        <v>0.95</v>
      </c>
      <c r="J37" s="114">
        <v>0.6</v>
      </c>
      <c r="K37" s="114">
        <v>0.08</v>
      </c>
      <c r="L37" s="50">
        <v>1.9</v>
      </c>
      <c r="M37" s="50">
        <v>28</v>
      </c>
      <c r="N37" s="50">
        <v>5</v>
      </c>
      <c r="O37" s="51">
        <v>1.4999999999999999E-2</v>
      </c>
      <c r="P37" s="50">
        <v>1</v>
      </c>
      <c r="Q37" s="50">
        <v>5</v>
      </c>
      <c r="R37" s="50" t="s">
        <v>603</v>
      </c>
      <c r="S37" s="50" t="s">
        <v>786</v>
      </c>
      <c r="T37" s="50" t="s">
        <v>1083</v>
      </c>
    </row>
    <row r="38" spans="1:20" ht="25.5" customHeight="1" x14ac:dyDescent="0.2">
      <c r="A38" s="50" t="s">
        <v>745</v>
      </c>
      <c r="B38" s="50" t="s">
        <v>557</v>
      </c>
      <c r="C38" s="50" t="s">
        <v>792</v>
      </c>
      <c r="D38" s="50">
        <v>2500</v>
      </c>
      <c r="E38" s="114">
        <v>0.75</v>
      </c>
      <c r="F38" s="114">
        <v>0.95</v>
      </c>
      <c r="G38" s="115">
        <v>1</v>
      </c>
      <c r="H38" s="114">
        <v>0.12</v>
      </c>
      <c r="I38" s="114">
        <v>0.93</v>
      </c>
      <c r="J38" s="114">
        <v>0.65</v>
      </c>
      <c r="K38" s="114">
        <v>0.12</v>
      </c>
      <c r="L38" s="50">
        <v>2.5</v>
      </c>
      <c r="M38" s="50">
        <v>45</v>
      </c>
      <c r="N38" s="50">
        <v>5</v>
      </c>
      <c r="O38" s="51">
        <v>0.02</v>
      </c>
      <c r="P38" s="50">
        <v>1</v>
      </c>
      <c r="Q38" s="50">
        <v>5</v>
      </c>
      <c r="R38" s="50" t="s">
        <v>603</v>
      </c>
      <c r="S38" s="50" t="s">
        <v>786</v>
      </c>
      <c r="T38" s="50" t="s">
        <v>1083</v>
      </c>
    </row>
    <row r="39" spans="1:20" ht="25.5" customHeight="1" x14ac:dyDescent="0.2">
      <c r="A39" s="50" t="s">
        <v>745</v>
      </c>
      <c r="B39" s="50" t="s">
        <v>558</v>
      </c>
      <c r="C39" s="50" t="s">
        <v>792</v>
      </c>
      <c r="D39" s="50">
        <v>2500</v>
      </c>
      <c r="E39" s="114">
        <v>0.75</v>
      </c>
      <c r="F39" s="114">
        <v>0.7</v>
      </c>
      <c r="G39" s="115">
        <v>1</v>
      </c>
      <c r="H39" s="114">
        <v>7.0000000000000007E-2</v>
      </c>
      <c r="I39" s="114">
        <v>0.95</v>
      </c>
      <c r="J39" s="114">
        <v>0.5</v>
      </c>
      <c r="K39" s="114">
        <v>0.09</v>
      </c>
      <c r="L39" s="50">
        <v>1.8</v>
      </c>
      <c r="M39" s="50">
        <v>20</v>
      </c>
      <c r="N39" s="50">
        <v>5</v>
      </c>
      <c r="O39" s="51">
        <v>0.01</v>
      </c>
      <c r="P39" s="50">
        <v>1</v>
      </c>
      <c r="Q39" s="50">
        <v>5</v>
      </c>
      <c r="R39" s="50" t="s">
        <v>661</v>
      </c>
      <c r="S39" s="50" t="s">
        <v>786</v>
      </c>
      <c r="T39" s="50" t="s">
        <v>1084</v>
      </c>
    </row>
    <row r="40" spans="1:20" ht="25.5" customHeight="1" x14ac:dyDescent="0.2">
      <c r="A40" s="50" t="s">
        <v>757</v>
      </c>
      <c r="B40" s="50" t="s">
        <v>545</v>
      </c>
      <c r="C40" s="50" t="s">
        <v>793</v>
      </c>
      <c r="D40" s="50">
        <v>449</v>
      </c>
      <c r="E40" s="114">
        <v>1</v>
      </c>
      <c r="F40" s="114">
        <v>0.25</v>
      </c>
      <c r="G40" s="115">
        <v>1</v>
      </c>
      <c r="H40" s="114">
        <v>0.04</v>
      </c>
      <c r="I40" s="114">
        <v>0.92</v>
      </c>
      <c r="J40" s="114">
        <v>0.25</v>
      </c>
      <c r="K40" s="114">
        <v>0.12</v>
      </c>
      <c r="L40" s="50">
        <v>1.3</v>
      </c>
      <c r="M40" s="50">
        <v>8</v>
      </c>
      <c r="N40" s="50">
        <v>8</v>
      </c>
      <c r="O40" s="51">
        <v>5.0000000000000001E-3</v>
      </c>
      <c r="P40" s="50">
        <v>1</v>
      </c>
      <c r="Q40" s="50">
        <v>6</v>
      </c>
      <c r="R40" s="50" t="s">
        <v>603</v>
      </c>
      <c r="S40" s="50" t="s">
        <v>786</v>
      </c>
      <c r="T40" s="50" t="s">
        <v>1083</v>
      </c>
    </row>
    <row r="41" spans="1:20" ht="25.5" customHeight="1" x14ac:dyDescent="0.2">
      <c r="A41" s="50" t="s">
        <v>757</v>
      </c>
      <c r="B41" s="50" t="s">
        <v>555</v>
      </c>
      <c r="C41" s="50" t="s">
        <v>793</v>
      </c>
      <c r="D41" s="50">
        <v>449</v>
      </c>
      <c r="E41" s="114">
        <v>1</v>
      </c>
      <c r="F41" s="114">
        <v>0.6</v>
      </c>
      <c r="G41" s="115">
        <v>1</v>
      </c>
      <c r="H41" s="114">
        <v>0.06</v>
      </c>
      <c r="I41" s="114">
        <v>0.94</v>
      </c>
      <c r="J41" s="114">
        <v>0.45</v>
      </c>
      <c r="K41" s="114">
        <v>0.1</v>
      </c>
      <c r="L41" s="50">
        <v>1.6</v>
      </c>
      <c r="M41" s="50">
        <v>16</v>
      </c>
      <c r="N41" s="50">
        <v>8</v>
      </c>
      <c r="O41" s="51">
        <v>0.01</v>
      </c>
      <c r="P41" s="50">
        <v>1</v>
      </c>
      <c r="Q41" s="50">
        <v>6</v>
      </c>
      <c r="R41" s="50" t="s">
        <v>603</v>
      </c>
      <c r="S41" s="50" t="s">
        <v>786</v>
      </c>
      <c r="T41" s="50" t="s">
        <v>1083</v>
      </c>
    </row>
    <row r="42" spans="1:20" ht="25.5" customHeight="1" x14ac:dyDescent="0.2">
      <c r="A42" s="50" t="s">
        <v>757</v>
      </c>
      <c r="B42" s="50" t="s">
        <v>556</v>
      </c>
      <c r="C42" s="50" t="s">
        <v>793</v>
      </c>
      <c r="D42" s="50">
        <v>449</v>
      </c>
      <c r="E42" s="114">
        <v>1</v>
      </c>
      <c r="F42" s="114">
        <v>0.8</v>
      </c>
      <c r="G42" s="115">
        <v>1</v>
      </c>
      <c r="H42" s="114">
        <v>0.08</v>
      </c>
      <c r="I42" s="114">
        <v>0.95</v>
      </c>
      <c r="J42" s="114">
        <v>0.6</v>
      </c>
      <c r="K42" s="114">
        <v>0.08</v>
      </c>
      <c r="L42" s="50">
        <v>1.9</v>
      </c>
      <c r="M42" s="50">
        <v>28</v>
      </c>
      <c r="N42" s="50">
        <v>8</v>
      </c>
      <c r="O42" s="51">
        <v>1.4999999999999999E-2</v>
      </c>
      <c r="P42" s="50">
        <v>1</v>
      </c>
      <c r="Q42" s="50">
        <v>6</v>
      </c>
      <c r="R42" s="50" t="s">
        <v>603</v>
      </c>
      <c r="S42" s="50" t="s">
        <v>786</v>
      </c>
      <c r="T42" s="50" t="s">
        <v>1083</v>
      </c>
    </row>
    <row r="43" spans="1:20" ht="25.5" customHeight="1" x14ac:dyDescent="0.2">
      <c r="A43" s="50" t="s">
        <v>757</v>
      </c>
      <c r="B43" s="50" t="s">
        <v>557</v>
      </c>
      <c r="C43" s="50" t="s">
        <v>793</v>
      </c>
      <c r="D43" s="50">
        <v>449</v>
      </c>
      <c r="E43" s="114">
        <v>1</v>
      </c>
      <c r="F43" s="114">
        <v>0.95</v>
      </c>
      <c r="G43" s="115">
        <v>1</v>
      </c>
      <c r="H43" s="114">
        <v>0.12</v>
      </c>
      <c r="I43" s="114">
        <v>0.93</v>
      </c>
      <c r="J43" s="114">
        <v>0.65</v>
      </c>
      <c r="K43" s="114">
        <v>0.12</v>
      </c>
      <c r="L43" s="50">
        <v>2.5</v>
      </c>
      <c r="M43" s="50">
        <v>45</v>
      </c>
      <c r="N43" s="50">
        <v>8</v>
      </c>
      <c r="O43" s="51">
        <v>0.02</v>
      </c>
      <c r="P43" s="50">
        <v>1</v>
      </c>
      <c r="Q43" s="50">
        <v>6</v>
      </c>
      <c r="R43" s="50" t="s">
        <v>603</v>
      </c>
      <c r="S43" s="50" t="s">
        <v>786</v>
      </c>
      <c r="T43" s="50" t="s">
        <v>1083</v>
      </c>
    </row>
    <row r="44" spans="1:20" ht="25.5" customHeight="1" x14ac:dyDescent="0.2">
      <c r="A44" s="50" t="s">
        <v>757</v>
      </c>
      <c r="B44" s="50" t="s">
        <v>558</v>
      </c>
      <c r="C44" s="50" t="s">
        <v>793</v>
      </c>
      <c r="D44" s="50">
        <v>449</v>
      </c>
      <c r="E44" s="114">
        <v>1</v>
      </c>
      <c r="F44" s="114">
        <v>0.7</v>
      </c>
      <c r="G44" s="115">
        <v>1</v>
      </c>
      <c r="H44" s="114">
        <v>7.0000000000000007E-2</v>
      </c>
      <c r="I44" s="114">
        <v>0.95</v>
      </c>
      <c r="J44" s="114">
        <v>0.5</v>
      </c>
      <c r="K44" s="114">
        <v>0.09</v>
      </c>
      <c r="L44" s="50">
        <v>1.8</v>
      </c>
      <c r="M44" s="50">
        <v>20</v>
      </c>
      <c r="N44" s="50">
        <v>8</v>
      </c>
      <c r="O44" s="51">
        <v>0.01</v>
      </c>
      <c r="P44" s="50">
        <v>1</v>
      </c>
      <c r="Q44" s="50">
        <v>6</v>
      </c>
      <c r="R44" s="50" t="s">
        <v>661</v>
      </c>
      <c r="S44" s="50" t="s">
        <v>786</v>
      </c>
      <c r="T44" s="50" t="s">
        <v>1084</v>
      </c>
    </row>
    <row r="45" spans="1:20" ht="25.5" customHeight="1" x14ac:dyDescent="0.2">
      <c r="A45" s="50" t="s">
        <v>766</v>
      </c>
      <c r="B45" s="50" t="s">
        <v>545</v>
      </c>
      <c r="C45" s="50" t="s">
        <v>794</v>
      </c>
      <c r="D45" s="157">
        <v>3500</v>
      </c>
      <c r="E45" s="114">
        <v>0.85</v>
      </c>
      <c r="F45" s="114">
        <v>0.25</v>
      </c>
      <c r="G45" s="115">
        <v>1</v>
      </c>
      <c r="H45" s="114">
        <v>0.04</v>
      </c>
      <c r="I45" s="114">
        <v>0.92</v>
      </c>
      <c r="J45" s="114">
        <v>0.25</v>
      </c>
      <c r="K45" s="114">
        <v>0.12</v>
      </c>
      <c r="L45" s="50">
        <v>1.3</v>
      </c>
      <c r="M45" s="50">
        <v>8</v>
      </c>
      <c r="N45" s="50">
        <v>1.2</v>
      </c>
      <c r="O45" s="51">
        <v>5.0000000000000001E-3</v>
      </c>
      <c r="P45" s="50">
        <v>1</v>
      </c>
      <c r="Q45" s="50">
        <v>2</v>
      </c>
      <c r="R45" s="50" t="s">
        <v>603</v>
      </c>
      <c r="S45" s="50" t="s">
        <v>786</v>
      </c>
      <c r="T45" s="50" t="s">
        <v>1083</v>
      </c>
    </row>
    <row r="46" spans="1:20" ht="25.5" customHeight="1" x14ac:dyDescent="0.2">
      <c r="A46" s="50" t="s">
        <v>766</v>
      </c>
      <c r="B46" s="50" t="s">
        <v>555</v>
      </c>
      <c r="C46" s="50" t="s">
        <v>794</v>
      </c>
      <c r="D46" s="157">
        <v>3500</v>
      </c>
      <c r="E46" s="114">
        <v>0.85</v>
      </c>
      <c r="F46" s="114">
        <v>0.6</v>
      </c>
      <c r="G46" s="115">
        <v>1</v>
      </c>
      <c r="H46" s="114">
        <v>0.06</v>
      </c>
      <c r="I46" s="114">
        <v>0.94</v>
      </c>
      <c r="J46" s="114">
        <v>0.45</v>
      </c>
      <c r="K46" s="114">
        <v>0.1</v>
      </c>
      <c r="L46" s="50">
        <v>1.6</v>
      </c>
      <c r="M46" s="50">
        <v>16</v>
      </c>
      <c r="N46" s="50">
        <v>1.2</v>
      </c>
      <c r="O46" s="51">
        <v>0.01</v>
      </c>
      <c r="P46" s="50">
        <v>1</v>
      </c>
      <c r="Q46" s="50">
        <v>2</v>
      </c>
      <c r="R46" s="50" t="s">
        <v>603</v>
      </c>
      <c r="S46" s="50" t="s">
        <v>786</v>
      </c>
      <c r="T46" s="50" t="s">
        <v>1083</v>
      </c>
    </row>
    <row r="47" spans="1:20" ht="25.5" customHeight="1" x14ac:dyDescent="0.2">
      <c r="A47" s="50" t="s">
        <v>766</v>
      </c>
      <c r="B47" s="50" t="s">
        <v>556</v>
      </c>
      <c r="C47" s="50" t="s">
        <v>794</v>
      </c>
      <c r="D47" s="157">
        <v>3500</v>
      </c>
      <c r="E47" s="114">
        <v>0.85</v>
      </c>
      <c r="F47" s="114">
        <v>0.8</v>
      </c>
      <c r="G47" s="115">
        <v>1</v>
      </c>
      <c r="H47" s="114">
        <v>0.08</v>
      </c>
      <c r="I47" s="114">
        <v>0.95</v>
      </c>
      <c r="J47" s="114">
        <v>0.6</v>
      </c>
      <c r="K47" s="114">
        <v>0.08</v>
      </c>
      <c r="L47" s="50">
        <v>1.9</v>
      </c>
      <c r="M47" s="50">
        <v>28</v>
      </c>
      <c r="N47" s="50">
        <v>1.2</v>
      </c>
      <c r="O47" s="51">
        <v>1.4999999999999999E-2</v>
      </c>
      <c r="P47" s="50">
        <v>1</v>
      </c>
      <c r="Q47" s="50">
        <v>2</v>
      </c>
      <c r="R47" s="50" t="s">
        <v>603</v>
      </c>
      <c r="S47" s="50" t="s">
        <v>786</v>
      </c>
      <c r="T47" s="50" t="s">
        <v>1083</v>
      </c>
    </row>
    <row r="48" spans="1:20" ht="25.5" customHeight="1" x14ac:dyDescent="0.2">
      <c r="A48" s="50" t="s">
        <v>766</v>
      </c>
      <c r="B48" s="50" t="s">
        <v>557</v>
      </c>
      <c r="C48" s="50" t="s">
        <v>794</v>
      </c>
      <c r="D48" s="157">
        <v>3500</v>
      </c>
      <c r="E48" s="114">
        <v>0.85</v>
      </c>
      <c r="F48" s="114">
        <v>0.95</v>
      </c>
      <c r="G48" s="115">
        <v>1</v>
      </c>
      <c r="H48" s="114">
        <v>0.12</v>
      </c>
      <c r="I48" s="114">
        <v>0.93</v>
      </c>
      <c r="J48" s="114">
        <v>0.65</v>
      </c>
      <c r="K48" s="114">
        <v>0.12</v>
      </c>
      <c r="L48" s="50">
        <v>2.5</v>
      </c>
      <c r="M48" s="50">
        <v>45</v>
      </c>
      <c r="N48" s="50">
        <v>1.2</v>
      </c>
      <c r="O48" s="51">
        <v>0.02</v>
      </c>
      <c r="P48" s="50">
        <v>1</v>
      </c>
      <c r="Q48" s="50">
        <v>2</v>
      </c>
      <c r="R48" s="50" t="s">
        <v>603</v>
      </c>
      <c r="S48" s="50" t="s">
        <v>786</v>
      </c>
      <c r="T48" s="50" t="s">
        <v>1083</v>
      </c>
    </row>
    <row r="49" spans="1:20" ht="25.5" customHeight="1" x14ac:dyDescent="0.2">
      <c r="A49" s="50" t="s">
        <v>766</v>
      </c>
      <c r="B49" s="50" t="s">
        <v>558</v>
      </c>
      <c r="C49" s="50" t="s">
        <v>794</v>
      </c>
      <c r="D49" s="157">
        <v>3500</v>
      </c>
      <c r="E49" s="114">
        <v>0.85</v>
      </c>
      <c r="F49" s="114">
        <v>0.7</v>
      </c>
      <c r="G49" s="115">
        <v>1</v>
      </c>
      <c r="H49" s="114">
        <v>7.0000000000000007E-2</v>
      </c>
      <c r="I49" s="114">
        <v>0.95</v>
      </c>
      <c r="J49" s="114">
        <v>0.5</v>
      </c>
      <c r="K49" s="114">
        <v>0.09</v>
      </c>
      <c r="L49" s="50">
        <v>1.8</v>
      </c>
      <c r="M49" s="50">
        <v>20</v>
      </c>
      <c r="N49" s="50">
        <v>1.2</v>
      </c>
      <c r="O49" s="51">
        <v>0.01</v>
      </c>
      <c r="P49" s="50">
        <v>1</v>
      </c>
      <c r="Q49" s="50">
        <v>2</v>
      </c>
      <c r="R49" s="50" t="s">
        <v>661</v>
      </c>
      <c r="S49" s="50" t="s">
        <v>786</v>
      </c>
      <c r="T49" s="50" t="s">
        <v>1084</v>
      </c>
    </row>
    <row r="50" spans="1:20" ht="25.5" customHeight="1" x14ac:dyDescent="0.2">
      <c r="A50" s="50" t="s">
        <v>776</v>
      </c>
      <c r="B50" s="50" t="s">
        <v>545</v>
      </c>
      <c r="C50" s="50" t="s">
        <v>795</v>
      </c>
      <c r="D50" s="50">
        <v>1200</v>
      </c>
      <c r="E50" s="114">
        <v>0.8</v>
      </c>
      <c r="F50" s="114">
        <v>0.25</v>
      </c>
      <c r="G50" s="115">
        <v>1</v>
      </c>
      <c r="H50" s="114">
        <v>0.04</v>
      </c>
      <c r="I50" s="114">
        <v>0.92</v>
      </c>
      <c r="J50" s="114">
        <v>0.25</v>
      </c>
      <c r="K50" s="114">
        <v>0.12</v>
      </c>
      <c r="L50" s="50">
        <v>1.3</v>
      </c>
      <c r="M50" s="50">
        <v>8</v>
      </c>
      <c r="N50" s="50">
        <v>3</v>
      </c>
      <c r="O50" s="51">
        <v>5.0000000000000001E-3</v>
      </c>
      <c r="P50" s="50">
        <v>1</v>
      </c>
      <c r="Q50" s="50">
        <v>3</v>
      </c>
      <c r="R50" s="50" t="s">
        <v>603</v>
      </c>
      <c r="S50" s="50" t="s">
        <v>786</v>
      </c>
      <c r="T50" s="50" t="s">
        <v>1083</v>
      </c>
    </row>
    <row r="51" spans="1:20" ht="25.5" customHeight="1" x14ac:dyDescent="0.2">
      <c r="A51" s="50" t="s">
        <v>776</v>
      </c>
      <c r="B51" s="50" t="s">
        <v>555</v>
      </c>
      <c r="C51" s="50" t="s">
        <v>795</v>
      </c>
      <c r="D51" s="50">
        <v>1200</v>
      </c>
      <c r="E51" s="114">
        <v>0.8</v>
      </c>
      <c r="F51" s="114">
        <v>0.6</v>
      </c>
      <c r="G51" s="115">
        <v>1</v>
      </c>
      <c r="H51" s="114">
        <v>0.06</v>
      </c>
      <c r="I51" s="114">
        <v>0.94</v>
      </c>
      <c r="J51" s="114">
        <v>0.45</v>
      </c>
      <c r="K51" s="114">
        <v>0.1</v>
      </c>
      <c r="L51" s="50">
        <v>1.6</v>
      </c>
      <c r="M51" s="50">
        <v>16</v>
      </c>
      <c r="N51" s="50">
        <v>3</v>
      </c>
      <c r="O51" s="51">
        <v>0.01</v>
      </c>
      <c r="P51" s="50">
        <v>1</v>
      </c>
      <c r="Q51" s="50">
        <v>3</v>
      </c>
      <c r="R51" s="50" t="s">
        <v>603</v>
      </c>
      <c r="S51" s="50" t="s">
        <v>786</v>
      </c>
      <c r="T51" s="50" t="s">
        <v>1083</v>
      </c>
    </row>
    <row r="52" spans="1:20" ht="25.5" customHeight="1" x14ac:dyDescent="0.2">
      <c r="A52" s="50" t="s">
        <v>776</v>
      </c>
      <c r="B52" s="50" t="s">
        <v>556</v>
      </c>
      <c r="C52" s="50" t="s">
        <v>795</v>
      </c>
      <c r="D52" s="50">
        <v>1200</v>
      </c>
      <c r="E52" s="114">
        <v>0.8</v>
      </c>
      <c r="F52" s="114">
        <v>0.8</v>
      </c>
      <c r="G52" s="115">
        <v>1</v>
      </c>
      <c r="H52" s="114">
        <v>0.08</v>
      </c>
      <c r="I52" s="114">
        <v>0.95</v>
      </c>
      <c r="J52" s="114">
        <v>0.6</v>
      </c>
      <c r="K52" s="114">
        <v>0.08</v>
      </c>
      <c r="L52" s="50">
        <v>1.9</v>
      </c>
      <c r="M52" s="50">
        <v>28</v>
      </c>
      <c r="N52" s="50">
        <v>3</v>
      </c>
      <c r="O52" s="51">
        <v>1.4999999999999999E-2</v>
      </c>
      <c r="P52" s="50">
        <v>1</v>
      </c>
      <c r="Q52" s="50">
        <v>3</v>
      </c>
      <c r="R52" s="50" t="s">
        <v>603</v>
      </c>
      <c r="S52" s="50" t="s">
        <v>786</v>
      </c>
      <c r="T52" s="50" t="s">
        <v>1083</v>
      </c>
    </row>
    <row r="53" spans="1:20" ht="25.5" customHeight="1" x14ac:dyDescent="0.2">
      <c r="A53" s="50" t="s">
        <v>776</v>
      </c>
      <c r="B53" s="50" t="s">
        <v>557</v>
      </c>
      <c r="C53" s="50" t="s">
        <v>795</v>
      </c>
      <c r="D53" s="50">
        <v>1200</v>
      </c>
      <c r="E53" s="114">
        <v>0.8</v>
      </c>
      <c r="F53" s="114">
        <v>0.95</v>
      </c>
      <c r="G53" s="115">
        <v>1</v>
      </c>
      <c r="H53" s="114">
        <v>0.12</v>
      </c>
      <c r="I53" s="114">
        <v>0.93</v>
      </c>
      <c r="J53" s="114">
        <v>0.65</v>
      </c>
      <c r="K53" s="114">
        <v>0.12</v>
      </c>
      <c r="L53" s="50">
        <v>2.5</v>
      </c>
      <c r="M53" s="50">
        <v>45</v>
      </c>
      <c r="N53" s="50">
        <v>3</v>
      </c>
      <c r="O53" s="51">
        <v>0.02</v>
      </c>
      <c r="P53" s="50">
        <v>1</v>
      </c>
      <c r="Q53" s="50">
        <v>3</v>
      </c>
      <c r="R53" s="50" t="s">
        <v>603</v>
      </c>
      <c r="S53" s="50" t="s">
        <v>786</v>
      </c>
      <c r="T53" s="50" t="s">
        <v>1083</v>
      </c>
    </row>
    <row r="54" spans="1:20" ht="25.5" customHeight="1" x14ac:dyDescent="0.2">
      <c r="A54" s="50" t="s">
        <v>776</v>
      </c>
      <c r="B54" s="50" t="s">
        <v>558</v>
      </c>
      <c r="C54" s="50" t="s">
        <v>795</v>
      </c>
      <c r="D54" s="50">
        <v>1200</v>
      </c>
      <c r="E54" s="114">
        <v>0.8</v>
      </c>
      <c r="F54" s="114">
        <v>0.7</v>
      </c>
      <c r="G54" s="115">
        <v>1</v>
      </c>
      <c r="H54" s="114">
        <v>7.0000000000000007E-2</v>
      </c>
      <c r="I54" s="114">
        <v>0.95</v>
      </c>
      <c r="J54" s="114">
        <v>0.5</v>
      </c>
      <c r="K54" s="114">
        <v>0.09</v>
      </c>
      <c r="L54" s="50">
        <v>1.8</v>
      </c>
      <c r="M54" s="50">
        <v>20</v>
      </c>
      <c r="N54" s="50">
        <v>3</v>
      </c>
      <c r="O54" s="51">
        <v>0.01</v>
      </c>
      <c r="P54" s="50">
        <v>1</v>
      </c>
      <c r="Q54" s="50">
        <v>3</v>
      </c>
      <c r="R54" s="50" t="s">
        <v>661</v>
      </c>
      <c r="S54" s="50" t="s">
        <v>786</v>
      </c>
      <c r="T54" s="50" t="s">
        <v>1084</v>
      </c>
    </row>
    <row r="55" spans="1:20" ht="25.5" customHeight="1" x14ac:dyDescent="0.2">
      <c r="A55" s="50" t="s">
        <v>1241</v>
      </c>
      <c r="B55" s="50" t="s">
        <v>545</v>
      </c>
      <c r="C55" s="50" t="s">
        <v>1307</v>
      </c>
      <c r="D55" s="50">
        <v>2800</v>
      </c>
      <c r="E55" s="114">
        <v>0.8</v>
      </c>
      <c r="F55" s="51"/>
      <c r="G55" s="50"/>
      <c r="H55" s="51"/>
      <c r="I55" s="51"/>
      <c r="J55" s="51"/>
      <c r="K55" s="51"/>
      <c r="L55" s="50"/>
      <c r="M55" s="50"/>
      <c r="N55" s="50"/>
      <c r="O55" s="51"/>
      <c r="P55" s="50"/>
      <c r="Q55" s="50"/>
      <c r="R55" s="50"/>
      <c r="S55" s="50"/>
      <c r="T55" s="50"/>
    </row>
    <row r="56" spans="1:20" ht="25.5" customHeight="1" x14ac:dyDescent="0.2">
      <c r="A56" s="50" t="s">
        <v>1241</v>
      </c>
      <c r="B56" s="50" t="s">
        <v>555</v>
      </c>
      <c r="C56" s="50" t="s">
        <v>1307</v>
      </c>
      <c r="D56" s="50">
        <v>2800</v>
      </c>
      <c r="E56" s="114">
        <v>0.8</v>
      </c>
      <c r="F56" s="51"/>
      <c r="G56" s="50"/>
      <c r="H56" s="51"/>
      <c r="I56" s="51"/>
      <c r="J56" s="51"/>
      <c r="K56" s="51"/>
      <c r="L56" s="50"/>
      <c r="M56" s="50"/>
      <c r="N56" s="50"/>
      <c r="O56" s="51"/>
      <c r="P56" s="50"/>
      <c r="Q56" s="50"/>
      <c r="R56" s="50"/>
      <c r="S56" s="50"/>
      <c r="T56" s="50"/>
    </row>
    <row r="57" spans="1:20" ht="25.5" customHeight="1" x14ac:dyDescent="0.2">
      <c r="A57" s="50" t="s">
        <v>1241</v>
      </c>
      <c r="B57" s="50" t="s">
        <v>556</v>
      </c>
      <c r="C57" s="50" t="s">
        <v>1307</v>
      </c>
      <c r="D57" s="50">
        <v>2800</v>
      </c>
      <c r="E57" s="114">
        <v>0.8</v>
      </c>
      <c r="F57" s="51"/>
      <c r="G57" s="50"/>
      <c r="H57" s="51"/>
      <c r="I57" s="51"/>
      <c r="J57" s="51"/>
      <c r="K57" s="51"/>
      <c r="L57" s="50"/>
      <c r="M57" s="50"/>
      <c r="N57" s="50"/>
      <c r="O57" s="51"/>
      <c r="P57" s="50"/>
      <c r="Q57" s="50"/>
      <c r="R57" s="50"/>
      <c r="S57" s="50"/>
      <c r="T57" s="50"/>
    </row>
    <row r="58" spans="1:20" ht="25.5" customHeight="1" x14ac:dyDescent="0.2">
      <c r="A58" s="50" t="s">
        <v>1241</v>
      </c>
      <c r="B58" s="50" t="s">
        <v>557</v>
      </c>
      <c r="C58" s="50" t="s">
        <v>1307</v>
      </c>
      <c r="D58" s="50">
        <v>2800</v>
      </c>
      <c r="E58" s="114">
        <v>0.8</v>
      </c>
      <c r="F58" s="51"/>
      <c r="G58" s="50"/>
      <c r="H58" s="51"/>
      <c r="I58" s="51"/>
      <c r="J58" s="51"/>
      <c r="K58" s="51"/>
      <c r="L58" s="50"/>
      <c r="M58" s="50"/>
      <c r="N58" s="50"/>
      <c r="O58" s="51"/>
      <c r="P58" s="50"/>
      <c r="Q58" s="50"/>
      <c r="R58" s="50"/>
      <c r="S58" s="50"/>
      <c r="T58" s="50"/>
    </row>
    <row r="59" spans="1:20" ht="25.5" customHeight="1" x14ac:dyDescent="0.2">
      <c r="A59" s="50" t="s">
        <v>1241</v>
      </c>
      <c r="B59" s="50" t="s">
        <v>558</v>
      </c>
      <c r="C59" s="50" t="s">
        <v>1307</v>
      </c>
      <c r="D59" s="50">
        <v>2800</v>
      </c>
      <c r="E59" s="114">
        <v>0.8</v>
      </c>
      <c r="F59" s="51"/>
      <c r="G59" s="50"/>
      <c r="H59" s="51"/>
      <c r="I59" s="51"/>
      <c r="J59" s="51"/>
      <c r="K59" s="51"/>
      <c r="L59" s="50"/>
      <c r="M59" s="50"/>
      <c r="N59" s="50"/>
      <c r="O59" s="51"/>
      <c r="P59" s="50"/>
      <c r="Q59" s="50"/>
      <c r="R59" s="50"/>
      <c r="S59" s="50"/>
      <c r="T59" s="50"/>
    </row>
    <row r="60" spans="1:20" ht="25.5" customHeight="1" x14ac:dyDescent="0.2">
      <c r="A60" s="50" t="s">
        <v>1242</v>
      </c>
      <c r="B60" s="50" t="s">
        <v>545</v>
      </c>
      <c r="C60" s="50" t="s">
        <v>785</v>
      </c>
      <c r="D60" s="50">
        <v>200</v>
      </c>
      <c r="E60" s="114">
        <v>0.8</v>
      </c>
      <c r="F60" s="51"/>
      <c r="G60" s="50"/>
      <c r="H60" s="51"/>
      <c r="I60" s="51"/>
      <c r="J60" s="51"/>
      <c r="K60" s="51"/>
      <c r="L60" s="50"/>
      <c r="M60" s="50"/>
      <c r="N60" s="50"/>
      <c r="O60" s="51"/>
      <c r="P60" s="50"/>
      <c r="Q60" s="50"/>
      <c r="R60" s="50"/>
      <c r="S60" s="50"/>
      <c r="T60" s="50"/>
    </row>
    <row r="61" spans="1:20" ht="25.5" customHeight="1" x14ac:dyDescent="0.2">
      <c r="A61" s="50" t="s">
        <v>1242</v>
      </c>
      <c r="B61" s="50" t="s">
        <v>555</v>
      </c>
      <c r="C61" s="50" t="s">
        <v>785</v>
      </c>
      <c r="D61" s="50">
        <v>200</v>
      </c>
      <c r="E61" s="114">
        <v>0.8</v>
      </c>
      <c r="F61" s="51"/>
      <c r="G61" s="50"/>
      <c r="H61" s="51"/>
      <c r="I61" s="51"/>
      <c r="J61" s="51"/>
      <c r="K61" s="51"/>
      <c r="L61" s="50"/>
      <c r="M61" s="50"/>
      <c r="N61" s="50"/>
      <c r="O61" s="51"/>
      <c r="P61" s="50"/>
      <c r="Q61" s="50"/>
      <c r="R61" s="50"/>
      <c r="S61" s="50"/>
      <c r="T61" s="50"/>
    </row>
    <row r="62" spans="1:20" ht="25.5" customHeight="1" x14ac:dyDescent="0.2">
      <c r="A62" s="50" t="s">
        <v>1242</v>
      </c>
      <c r="B62" s="50" t="s">
        <v>556</v>
      </c>
      <c r="C62" s="50" t="s">
        <v>785</v>
      </c>
      <c r="D62" s="50">
        <v>200</v>
      </c>
      <c r="E62" s="114">
        <v>0.8</v>
      </c>
      <c r="F62" s="51"/>
      <c r="G62" s="50"/>
      <c r="H62" s="51"/>
      <c r="I62" s="51"/>
      <c r="J62" s="51"/>
      <c r="K62" s="51"/>
      <c r="L62" s="50"/>
      <c r="M62" s="50"/>
      <c r="N62" s="50"/>
      <c r="O62" s="51"/>
      <c r="P62" s="50"/>
      <c r="Q62" s="50"/>
      <c r="R62" s="50"/>
      <c r="S62" s="50"/>
      <c r="T62" s="50"/>
    </row>
    <row r="63" spans="1:20" ht="25.5" customHeight="1" x14ac:dyDescent="0.2">
      <c r="A63" s="50" t="s">
        <v>1242</v>
      </c>
      <c r="B63" s="50" t="s">
        <v>557</v>
      </c>
      <c r="C63" s="50" t="s">
        <v>785</v>
      </c>
      <c r="D63" s="50">
        <v>200</v>
      </c>
      <c r="E63" s="114">
        <v>0.8</v>
      </c>
      <c r="F63" s="51"/>
      <c r="G63" s="50"/>
      <c r="H63" s="51"/>
      <c r="I63" s="51"/>
      <c r="J63" s="51"/>
      <c r="K63" s="51"/>
      <c r="L63" s="50"/>
      <c r="M63" s="50"/>
      <c r="N63" s="50"/>
      <c r="O63" s="51"/>
      <c r="P63" s="50"/>
      <c r="Q63" s="50"/>
      <c r="R63" s="50"/>
      <c r="S63" s="50"/>
      <c r="T63" s="50"/>
    </row>
    <row r="64" spans="1:20" ht="25.5" customHeight="1" x14ac:dyDescent="0.2">
      <c r="A64" s="50" t="s">
        <v>1242</v>
      </c>
      <c r="B64" s="50" t="s">
        <v>558</v>
      </c>
      <c r="C64" s="50" t="s">
        <v>785</v>
      </c>
      <c r="D64" s="50">
        <v>200</v>
      </c>
      <c r="E64" s="114">
        <v>0.8</v>
      </c>
      <c r="F64" s="51"/>
      <c r="G64" s="50"/>
      <c r="H64" s="51"/>
      <c r="I64" s="51"/>
      <c r="J64" s="51"/>
      <c r="K64" s="51"/>
      <c r="L64" s="50"/>
      <c r="M64" s="50"/>
      <c r="N64" s="50"/>
      <c r="O64" s="51"/>
      <c r="P64" s="50"/>
      <c r="Q64" s="50"/>
      <c r="R64" s="50"/>
      <c r="S64" s="50"/>
      <c r="T64" s="50"/>
    </row>
    <row r="65" spans="1:20" ht="25.5" customHeight="1" x14ac:dyDescent="0.2">
      <c r="A65" s="50" t="s">
        <v>1243</v>
      </c>
      <c r="B65" s="50" t="s">
        <v>545</v>
      </c>
      <c r="C65" s="50" t="s">
        <v>785</v>
      </c>
      <c r="D65" s="50">
        <v>250</v>
      </c>
      <c r="E65" s="114">
        <v>0.8</v>
      </c>
      <c r="F65" s="51"/>
      <c r="G65" s="50"/>
      <c r="H65" s="51"/>
      <c r="I65" s="51"/>
      <c r="J65" s="51"/>
      <c r="K65" s="51"/>
      <c r="L65" s="50"/>
      <c r="M65" s="50"/>
      <c r="N65" s="50"/>
      <c r="O65" s="51"/>
      <c r="P65" s="50"/>
      <c r="Q65" s="50"/>
      <c r="R65" s="50"/>
      <c r="S65" s="50"/>
      <c r="T65" s="50"/>
    </row>
    <row r="66" spans="1:20" ht="25.5" customHeight="1" x14ac:dyDescent="0.2">
      <c r="A66" s="50" t="s">
        <v>1243</v>
      </c>
      <c r="B66" s="50" t="s">
        <v>555</v>
      </c>
      <c r="C66" s="50" t="s">
        <v>785</v>
      </c>
      <c r="D66" s="50">
        <v>250</v>
      </c>
      <c r="E66" s="114">
        <v>0.8</v>
      </c>
      <c r="F66" s="51"/>
      <c r="G66" s="50"/>
      <c r="H66" s="51"/>
      <c r="I66" s="51"/>
      <c r="J66" s="51"/>
      <c r="K66" s="51"/>
      <c r="L66" s="50"/>
      <c r="M66" s="50"/>
      <c r="N66" s="50"/>
      <c r="O66" s="51"/>
      <c r="P66" s="50"/>
      <c r="Q66" s="50"/>
      <c r="R66" s="50"/>
      <c r="S66" s="50"/>
      <c r="T66" s="50"/>
    </row>
    <row r="67" spans="1:20" ht="25.5" customHeight="1" x14ac:dyDescent="0.2">
      <c r="A67" s="50" t="s">
        <v>1243</v>
      </c>
      <c r="B67" s="50" t="s">
        <v>556</v>
      </c>
      <c r="C67" s="50" t="s">
        <v>785</v>
      </c>
      <c r="D67" s="50">
        <v>250</v>
      </c>
      <c r="E67" s="114">
        <v>0.8</v>
      </c>
      <c r="F67" s="51"/>
      <c r="G67" s="50"/>
      <c r="H67" s="51"/>
      <c r="I67" s="51"/>
      <c r="J67" s="51"/>
      <c r="K67" s="51"/>
      <c r="L67" s="50"/>
      <c r="M67" s="50"/>
      <c r="N67" s="50"/>
      <c r="O67" s="51"/>
      <c r="P67" s="50"/>
      <c r="Q67" s="50"/>
      <c r="R67" s="50"/>
      <c r="S67" s="50"/>
      <c r="T67" s="50"/>
    </row>
    <row r="68" spans="1:20" ht="25.5" customHeight="1" x14ac:dyDescent="0.2">
      <c r="A68" s="50" t="s">
        <v>1243</v>
      </c>
      <c r="B68" s="50" t="s">
        <v>557</v>
      </c>
      <c r="C68" s="50" t="s">
        <v>785</v>
      </c>
      <c r="D68" s="50">
        <v>250</v>
      </c>
      <c r="E68" s="114">
        <v>0.8</v>
      </c>
      <c r="F68" s="51"/>
      <c r="G68" s="50"/>
      <c r="H68" s="51"/>
      <c r="I68" s="51"/>
      <c r="J68" s="51"/>
      <c r="K68" s="51"/>
      <c r="L68" s="50"/>
      <c r="M68" s="50"/>
      <c r="N68" s="50"/>
      <c r="O68" s="51"/>
      <c r="P68" s="50"/>
      <c r="Q68" s="50"/>
      <c r="R68" s="50"/>
      <c r="S68" s="50"/>
      <c r="T68" s="50"/>
    </row>
    <row r="69" spans="1:20" ht="25.5" customHeight="1" x14ac:dyDescent="0.2">
      <c r="A69" s="50" t="s">
        <v>1243</v>
      </c>
      <c r="B69" s="50" t="s">
        <v>558</v>
      </c>
      <c r="C69" s="50" t="s">
        <v>785</v>
      </c>
      <c r="D69" s="50">
        <v>250</v>
      </c>
      <c r="E69" s="114">
        <v>0.8</v>
      </c>
      <c r="F69" s="51"/>
      <c r="G69" s="50"/>
      <c r="H69" s="51"/>
      <c r="I69" s="51"/>
      <c r="J69" s="51"/>
      <c r="K69" s="51"/>
      <c r="L69" s="50"/>
      <c r="M69" s="50"/>
      <c r="N69" s="50"/>
      <c r="O69" s="51"/>
      <c r="P69" s="50"/>
      <c r="Q69" s="50"/>
      <c r="R69" s="50"/>
      <c r="S69" s="50"/>
      <c r="T69" s="50"/>
    </row>
    <row r="70" spans="1:20" ht="25.5" customHeight="1" x14ac:dyDescent="0.2">
      <c r="A70" s="50" t="s">
        <v>1311</v>
      </c>
      <c r="B70" s="50" t="s">
        <v>545</v>
      </c>
      <c r="C70" s="50" t="s">
        <v>1307</v>
      </c>
      <c r="D70" s="50">
        <v>50</v>
      </c>
      <c r="E70" s="114">
        <v>0.8</v>
      </c>
      <c r="F70" s="51"/>
      <c r="G70" s="50"/>
      <c r="H70" s="51"/>
      <c r="I70" s="51"/>
      <c r="J70" s="51"/>
      <c r="K70" s="51"/>
      <c r="L70" s="50"/>
      <c r="M70" s="50"/>
      <c r="N70" s="50"/>
      <c r="O70" s="51"/>
      <c r="P70" s="50"/>
      <c r="Q70" s="50"/>
      <c r="R70" s="50"/>
      <c r="S70" s="50"/>
      <c r="T70" s="50"/>
    </row>
    <row r="71" spans="1:20" ht="25.5" customHeight="1" x14ac:dyDescent="0.2">
      <c r="A71" s="50" t="s">
        <v>1311</v>
      </c>
      <c r="B71" s="50" t="s">
        <v>555</v>
      </c>
      <c r="C71" s="50" t="s">
        <v>1307</v>
      </c>
      <c r="D71" s="50">
        <v>50</v>
      </c>
      <c r="E71" s="114">
        <v>0.8</v>
      </c>
      <c r="F71" s="51"/>
      <c r="G71" s="50"/>
      <c r="H71" s="51"/>
      <c r="I71" s="51"/>
      <c r="J71" s="51"/>
      <c r="K71" s="51"/>
      <c r="L71" s="50"/>
      <c r="M71" s="50"/>
      <c r="N71" s="50"/>
      <c r="O71" s="51"/>
      <c r="P71" s="50"/>
      <c r="Q71" s="50"/>
      <c r="R71" s="50"/>
      <c r="S71" s="50"/>
      <c r="T71" s="50"/>
    </row>
    <row r="72" spans="1:20" ht="25.5" customHeight="1" x14ac:dyDescent="0.2">
      <c r="A72" s="50" t="s">
        <v>1311</v>
      </c>
      <c r="B72" s="50" t="s">
        <v>556</v>
      </c>
      <c r="C72" s="50" t="s">
        <v>1307</v>
      </c>
      <c r="D72" s="50">
        <v>50</v>
      </c>
      <c r="E72" s="114">
        <v>0.8</v>
      </c>
      <c r="F72" s="51"/>
      <c r="G72" s="50"/>
      <c r="H72" s="51"/>
      <c r="I72" s="51"/>
      <c r="J72" s="51"/>
      <c r="K72" s="51"/>
      <c r="L72" s="50"/>
      <c r="M72" s="50"/>
      <c r="N72" s="50"/>
      <c r="O72" s="51"/>
      <c r="P72" s="50"/>
      <c r="Q72" s="50"/>
      <c r="R72" s="50"/>
      <c r="S72" s="50"/>
      <c r="T72" s="50"/>
    </row>
    <row r="73" spans="1:20" ht="25.5" customHeight="1" x14ac:dyDescent="0.2">
      <c r="A73" s="50" t="s">
        <v>1311</v>
      </c>
      <c r="B73" s="50" t="s">
        <v>557</v>
      </c>
      <c r="C73" s="50" t="s">
        <v>1307</v>
      </c>
      <c r="D73" s="50">
        <v>50</v>
      </c>
      <c r="E73" s="114">
        <v>0.8</v>
      </c>
      <c r="F73" s="51"/>
      <c r="G73" s="50"/>
      <c r="H73" s="51"/>
      <c r="I73" s="51"/>
      <c r="J73" s="51"/>
      <c r="K73" s="51"/>
      <c r="L73" s="50"/>
      <c r="M73" s="50"/>
      <c r="N73" s="50"/>
      <c r="O73" s="51"/>
      <c r="P73" s="50"/>
      <c r="Q73" s="50"/>
      <c r="R73" s="50"/>
      <c r="S73" s="50"/>
      <c r="T73" s="50"/>
    </row>
    <row r="74" spans="1:20" ht="25.5" customHeight="1" x14ac:dyDescent="0.2">
      <c r="A74" s="50" t="s">
        <v>1311</v>
      </c>
      <c r="B74" s="50" t="s">
        <v>558</v>
      </c>
      <c r="C74" s="50" t="s">
        <v>1307</v>
      </c>
      <c r="D74" s="50">
        <v>50</v>
      </c>
      <c r="E74" s="114">
        <v>0.8</v>
      </c>
      <c r="F74" s="51"/>
      <c r="G74" s="50"/>
      <c r="H74" s="51"/>
      <c r="I74" s="51"/>
      <c r="J74" s="51"/>
      <c r="K74" s="51"/>
      <c r="L74" s="50"/>
      <c r="M74" s="50"/>
      <c r="N74" s="50"/>
      <c r="O74" s="51"/>
      <c r="P74" s="50"/>
      <c r="Q74" s="50"/>
      <c r="R74" s="50"/>
      <c r="S74" s="50"/>
      <c r="T74" s="50"/>
    </row>
    <row r="75" spans="1:20" ht="25.5" customHeight="1" x14ac:dyDescent="0.2">
      <c r="A75" s="50" t="s">
        <v>1308</v>
      </c>
      <c r="B75" s="50" t="s">
        <v>545</v>
      </c>
      <c r="C75" s="50" t="s">
        <v>785</v>
      </c>
      <c r="D75" s="50">
        <v>400</v>
      </c>
      <c r="E75" s="114">
        <v>0.8</v>
      </c>
      <c r="F75" s="51"/>
      <c r="G75" s="50"/>
      <c r="H75" s="51"/>
      <c r="I75" s="51"/>
      <c r="J75" s="51"/>
      <c r="K75" s="51"/>
      <c r="L75" s="50"/>
      <c r="M75" s="50"/>
      <c r="N75" s="50"/>
      <c r="O75" s="51"/>
      <c r="P75" s="50"/>
      <c r="Q75" s="50"/>
      <c r="R75" s="50"/>
      <c r="S75" s="50"/>
      <c r="T75" s="50"/>
    </row>
    <row r="76" spans="1:20" ht="25.5" customHeight="1" x14ac:dyDescent="0.2">
      <c r="A76" s="50" t="s">
        <v>1308</v>
      </c>
      <c r="B76" s="50" t="s">
        <v>555</v>
      </c>
      <c r="C76" s="50" t="s">
        <v>785</v>
      </c>
      <c r="D76" s="50">
        <v>400</v>
      </c>
      <c r="E76" s="114">
        <v>0.8</v>
      </c>
      <c r="F76" s="51"/>
      <c r="G76" s="50"/>
      <c r="H76" s="51"/>
      <c r="I76" s="51"/>
      <c r="J76" s="51"/>
      <c r="K76" s="51"/>
      <c r="L76" s="50"/>
      <c r="M76" s="50"/>
      <c r="N76" s="50"/>
      <c r="O76" s="51"/>
      <c r="P76" s="50"/>
      <c r="Q76" s="50"/>
      <c r="R76" s="50"/>
      <c r="S76" s="50"/>
      <c r="T76" s="50"/>
    </row>
    <row r="77" spans="1:20" ht="25.5" customHeight="1" x14ac:dyDescent="0.2">
      <c r="A77" s="50" t="s">
        <v>1308</v>
      </c>
      <c r="B77" s="50" t="s">
        <v>556</v>
      </c>
      <c r="C77" s="50" t="s">
        <v>785</v>
      </c>
      <c r="D77" s="50">
        <v>400</v>
      </c>
      <c r="E77" s="114">
        <v>0.8</v>
      </c>
      <c r="F77" s="51"/>
      <c r="G77" s="50"/>
      <c r="H77" s="51"/>
      <c r="I77" s="51"/>
      <c r="J77" s="51"/>
      <c r="K77" s="51"/>
      <c r="L77" s="50"/>
      <c r="M77" s="50"/>
      <c r="N77" s="50"/>
      <c r="O77" s="51"/>
      <c r="P77" s="50"/>
      <c r="Q77" s="50"/>
      <c r="R77" s="50"/>
      <c r="S77" s="50"/>
      <c r="T77" s="50"/>
    </row>
    <row r="78" spans="1:20" ht="25.5" customHeight="1" x14ac:dyDescent="0.2">
      <c r="A78" s="50" t="s">
        <v>1308</v>
      </c>
      <c r="B78" s="50" t="s">
        <v>557</v>
      </c>
      <c r="C78" s="50" t="s">
        <v>785</v>
      </c>
      <c r="D78" s="50">
        <v>400</v>
      </c>
      <c r="E78" s="114">
        <v>0.8</v>
      </c>
      <c r="F78" s="51"/>
      <c r="G78" s="50"/>
      <c r="H78" s="51"/>
      <c r="I78" s="51"/>
      <c r="J78" s="51"/>
      <c r="K78" s="51"/>
      <c r="L78" s="50"/>
      <c r="M78" s="50"/>
      <c r="N78" s="50"/>
      <c r="O78" s="51"/>
      <c r="P78" s="50"/>
      <c r="Q78" s="50"/>
      <c r="R78" s="50"/>
      <c r="S78" s="50"/>
      <c r="T78" s="50"/>
    </row>
    <row r="79" spans="1:20" ht="25.5" customHeight="1" x14ac:dyDescent="0.2">
      <c r="A79" s="50" t="s">
        <v>1308</v>
      </c>
      <c r="B79" s="50" t="s">
        <v>558</v>
      </c>
      <c r="C79" s="50" t="s">
        <v>785</v>
      </c>
      <c r="D79" s="50">
        <v>400</v>
      </c>
      <c r="E79" s="114">
        <v>0.8</v>
      </c>
      <c r="F79" s="51"/>
      <c r="G79" s="50"/>
      <c r="H79" s="51"/>
      <c r="I79" s="51"/>
      <c r="J79" s="51"/>
      <c r="K79" s="51"/>
      <c r="L79" s="50"/>
      <c r="M79" s="50"/>
      <c r="N79" s="50"/>
      <c r="O79" s="51"/>
      <c r="P79" s="50"/>
      <c r="Q79" s="50"/>
      <c r="R79" s="50"/>
      <c r="S79" s="50"/>
      <c r="T79" s="50"/>
    </row>
    <row r="80" spans="1:20" ht="25.5" customHeight="1" x14ac:dyDescent="0.2">
      <c r="A80" s="50" t="s">
        <v>1309</v>
      </c>
      <c r="B80" s="50" t="s">
        <v>545</v>
      </c>
      <c r="C80" s="50" t="s">
        <v>1307</v>
      </c>
      <c r="D80" s="50">
        <v>50</v>
      </c>
      <c r="E80" s="114">
        <v>0.8</v>
      </c>
      <c r="F80" s="51"/>
      <c r="G80" s="50"/>
      <c r="H80" s="51"/>
      <c r="I80" s="51"/>
      <c r="J80" s="51"/>
      <c r="K80" s="51"/>
      <c r="L80" s="50"/>
      <c r="M80" s="50"/>
      <c r="N80" s="50"/>
      <c r="O80" s="51"/>
      <c r="P80" s="50"/>
      <c r="Q80" s="50"/>
      <c r="R80" s="50"/>
      <c r="S80" s="50"/>
      <c r="T80" s="50"/>
    </row>
    <row r="81" spans="1:20" ht="25.5" customHeight="1" x14ac:dyDescent="0.2">
      <c r="A81" s="50" t="s">
        <v>1309</v>
      </c>
      <c r="B81" s="50" t="s">
        <v>555</v>
      </c>
      <c r="C81" s="50" t="s">
        <v>1307</v>
      </c>
      <c r="D81" s="50">
        <v>50</v>
      </c>
      <c r="E81" s="114">
        <v>0.8</v>
      </c>
      <c r="F81" s="51"/>
      <c r="G81" s="50"/>
      <c r="H81" s="51"/>
      <c r="I81" s="51"/>
      <c r="J81" s="51"/>
      <c r="K81" s="51"/>
      <c r="L81" s="50"/>
      <c r="M81" s="50"/>
      <c r="N81" s="50"/>
      <c r="O81" s="51"/>
      <c r="P81" s="50"/>
      <c r="Q81" s="50"/>
      <c r="R81" s="50"/>
      <c r="S81" s="50"/>
      <c r="T81" s="50"/>
    </row>
    <row r="82" spans="1:20" ht="25.5" customHeight="1" x14ac:dyDescent="0.2">
      <c r="A82" s="50" t="s">
        <v>1309</v>
      </c>
      <c r="B82" s="50" t="s">
        <v>556</v>
      </c>
      <c r="C82" s="50" t="s">
        <v>1307</v>
      </c>
      <c r="D82" s="50">
        <v>50</v>
      </c>
      <c r="E82" s="114">
        <v>0.8</v>
      </c>
      <c r="F82" s="51"/>
      <c r="G82" s="50"/>
      <c r="H82" s="51"/>
      <c r="I82" s="51"/>
      <c r="J82" s="51"/>
      <c r="K82" s="51"/>
      <c r="L82" s="50"/>
      <c r="M82" s="50"/>
      <c r="N82" s="50"/>
      <c r="O82" s="51"/>
      <c r="P82" s="50"/>
      <c r="Q82" s="50"/>
      <c r="R82" s="50"/>
      <c r="S82" s="50"/>
      <c r="T82" s="50"/>
    </row>
    <row r="83" spans="1:20" ht="25.5" customHeight="1" x14ac:dyDescent="0.2">
      <c r="A83" s="50" t="s">
        <v>1309</v>
      </c>
      <c r="B83" s="50" t="s">
        <v>557</v>
      </c>
      <c r="C83" s="50" t="s">
        <v>1307</v>
      </c>
      <c r="D83" s="50">
        <v>50</v>
      </c>
      <c r="E83" s="114">
        <v>0.8</v>
      </c>
      <c r="F83" s="51"/>
      <c r="G83" s="50"/>
      <c r="H83" s="51"/>
      <c r="I83" s="51"/>
      <c r="J83" s="51"/>
      <c r="K83" s="51"/>
      <c r="L83" s="50"/>
      <c r="M83" s="50"/>
      <c r="N83" s="50"/>
      <c r="O83" s="51"/>
      <c r="P83" s="50"/>
      <c r="Q83" s="50"/>
      <c r="R83" s="50"/>
      <c r="S83" s="50"/>
      <c r="T83" s="50"/>
    </row>
    <row r="84" spans="1:20" ht="25.5" customHeight="1" x14ac:dyDescent="0.2">
      <c r="A84" s="50" t="s">
        <v>1309</v>
      </c>
      <c r="B84" s="50" t="s">
        <v>558</v>
      </c>
      <c r="C84" s="50" t="s">
        <v>1307</v>
      </c>
      <c r="D84" s="50">
        <v>50</v>
      </c>
      <c r="E84" s="114">
        <v>0.8</v>
      </c>
      <c r="F84" s="51"/>
      <c r="G84" s="50"/>
      <c r="H84" s="51"/>
      <c r="I84" s="51"/>
      <c r="J84" s="51"/>
      <c r="K84" s="51"/>
      <c r="L84" s="50"/>
      <c r="M84" s="50"/>
      <c r="N84" s="50"/>
      <c r="O84" s="51"/>
      <c r="P84" s="50"/>
      <c r="Q84" s="50"/>
      <c r="R84" s="50"/>
      <c r="S84" s="50"/>
      <c r="T84" s="50"/>
    </row>
    <row r="85" spans="1:20" ht="25.5" customHeight="1" x14ac:dyDescent="0.2">
      <c r="A85" s="50" t="s">
        <v>1310</v>
      </c>
      <c r="B85" s="50" t="s">
        <v>545</v>
      </c>
      <c r="C85" s="50" t="s">
        <v>1307</v>
      </c>
      <c r="D85" s="50">
        <v>50</v>
      </c>
      <c r="E85" s="114">
        <v>0.8</v>
      </c>
      <c r="F85" s="51"/>
      <c r="G85" s="50"/>
      <c r="H85" s="51"/>
      <c r="I85" s="51"/>
      <c r="J85" s="51"/>
      <c r="K85" s="51"/>
      <c r="L85" s="50"/>
      <c r="M85" s="50"/>
      <c r="N85" s="50"/>
      <c r="O85" s="51"/>
      <c r="P85" s="50"/>
      <c r="Q85" s="50"/>
      <c r="R85" s="50"/>
      <c r="S85" s="50"/>
      <c r="T85" s="50"/>
    </row>
    <row r="86" spans="1:20" ht="25.5" customHeight="1" x14ac:dyDescent="0.2">
      <c r="A86" s="50" t="s">
        <v>1310</v>
      </c>
      <c r="B86" s="50" t="s">
        <v>555</v>
      </c>
      <c r="C86" s="50" t="s">
        <v>1307</v>
      </c>
      <c r="D86" s="50">
        <v>50</v>
      </c>
      <c r="E86" s="114">
        <v>0.8</v>
      </c>
      <c r="F86" s="51"/>
      <c r="G86" s="50"/>
      <c r="H86" s="51"/>
      <c r="I86" s="51"/>
      <c r="J86" s="51"/>
      <c r="K86" s="51"/>
      <c r="L86" s="50"/>
      <c r="M86" s="50"/>
      <c r="N86" s="50"/>
      <c r="O86" s="51"/>
      <c r="P86" s="50"/>
      <c r="Q86" s="50"/>
      <c r="R86" s="50"/>
      <c r="S86" s="50"/>
      <c r="T86" s="50"/>
    </row>
    <row r="87" spans="1:20" ht="25.5" customHeight="1" x14ac:dyDescent="0.2">
      <c r="A87" s="50" t="s">
        <v>1310</v>
      </c>
      <c r="B87" s="50" t="s">
        <v>556</v>
      </c>
      <c r="C87" s="50" t="s">
        <v>1307</v>
      </c>
      <c r="D87" s="50">
        <v>50</v>
      </c>
      <c r="E87" s="114">
        <v>0.8</v>
      </c>
      <c r="F87" s="51"/>
      <c r="G87" s="50"/>
      <c r="H87" s="51"/>
      <c r="I87" s="51"/>
      <c r="J87" s="51"/>
      <c r="K87" s="51"/>
      <c r="L87" s="50"/>
      <c r="M87" s="50"/>
      <c r="N87" s="50"/>
      <c r="O87" s="51"/>
      <c r="P87" s="50"/>
      <c r="Q87" s="50"/>
      <c r="R87" s="50"/>
      <c r="S87" s="50"/>
      <c r="T87" s="50"/>
    </row>
    <row r="88" spans="1:20" ht="25.5" customHeight="1" x14ac:dyDescent="0.2">
      <c r="A88" s="50" t="s">
        <v>1310</v>
      </c>
      <c r="B88" s="50" t="s">
        <v>557</v>
      </c>
      <c r="C88" s="50" t="s">
        <v>1307</v>
      </c>
      <c r="D88" s="50">
        <v>50</v>
      </c>
      <c r="E88" s="114">
        <v>0.8</v>
      </c>
      <c r="F88" s="51"/>
      <c r="G88" s="50"/>
      <c r="H88" s="51"/>
      <c r="I88" s="51"/>
      <c r="J88" s="51"/>
      <c r="K88" s="51"/>
      <c r="L88" s="50"/>
      <c r="M88" s="50"/>
      <c r="N88" s="50"/>
      <c r="O88" s="51"/>
      <c r="P88" s="50"/>
      <c r="Q88" s="50"/>
      <c r="R88" s="50"/>
      <c r="S88" s="50"/>
      <c r="T88" s="50"/>
    </row>
    <row r="89" spans="1:20" ht="25.5" customHeight="1" x14ac:dyDescent="0.2">
      <c r="A89" s="50" t="s">
        <v>1310</v>
      </c>
      <c r="B89" s="50" t="s">
        <v>558</v>
      </c>
      <c r="C89" s="50" t="s">
        <v>1307</v>
      </c>
      <c r="D89" s="50">
        <v>50</v>
      </c>
      <c r="E89" s="114">
        <v>0.8</v>
      </c>
      <c r="F89" s="51"/>
      <c r="G89" s="50"/>
      <c r="H89" s="51"/>
      <c r="I89" s="51"/>
      <c r="J89" s="51"/>
      <c r="K89" s="51"/>
      <c r="L89" s="50"/>
      <c r="M89" s="50"/>
      <c r="N89" s="50"/>
      <c r="O89" s="51"/>
      <c r="P89" s="50"/>
      <c r="Q89" s="50"/>
      <c r="R89" s="50"/>
      <c r="S89" s="50"/>
      <c r="T89" s="50"/>
    </row>
    <row r="90" spans="1:20" ht="25.5" customHeight="1" x14ac:dyDescent="0.2">
      <c r="A90" s="50"/>
      <c r="B90" s="50"/>
      <c r="C90" s="50"/>
      <c r="D90" s="50"/>
      <c r="E90" s="114"/>
      <c r="F90" s="51"/>
      <c r="G90" s="50"/>
      <c r="H90" s="51"/>
      <c r="I90" s="51"/>
      <c r="J90" s="51"/>
      <c r="K90" s="51"/>
      <c r="L90" s="50"/>
      <c r="M90" s="50"/>
      <c r="N90" s="50"/>
      <c r="O90" s="51"/>
      <c r="P90" s="50"/>
      <c r="Q90" s="50"/>
      <c r="R90" s="50"/>
      <c r="S90" s="50"/>
      <c r="T90" s="50"/>
    </row>
    <row r="91" spans="1:20" ht="25.5" customHeight="1" x14ac:dyDescent="0.2">
      <c r="A91" s="50"/>
      <c r="B91" s="50"/>
      <c r="C91" s="50"/>
      <c r="D91" s="50"/>
      <c r="E91" s="114"/>
      <c r="F91" s="51"/>
      <c r="G91" s="50"/>
      <c r="H91" s="51"/>
      <c r="I91" s="51"/>
      <c r="J91" s="51"/>
      <c r="K91" s="51"/>
      <c r="L91" s="50"/>
      <c r="M91" s="50"/>
      <c r="N91" s="50"/>
      <c r="O91" s="51"/>
      <c r="P91" s="50"/>
      <c r="Q91" s="50"/>
      <c r="R91" s="50"/>
      <c r="S91" s="50"/>
      <c r="T91" s="50"/>
    </row>
    <row r="92" spans="1:20" ht="25.5" customHeight="1" x14ac:dyDescent="0.2">
      <c r="A92" s="50"/>
      <c r="B92" s="50"/>
      <c r="C92" s="50"/>
      <c r="D92" s="50"/>
      <c r="E92" s="114"/>
      <c r="F92" s="51"/>
      <c r="G92" s="50"/>
      <c r="H92" s="51"/>
      <c r="I92" s="51"/>
      <c r="J92" s="51"/>
      <c r="K92" s="51"/>
      <c r="L92" s="50"/>
      <c r="M92" s="50"/>
      <c r="N92" s="50"/>
      <c r="O92" s="51"/>
      <c r="P92" s="50"/>
      <c r="Q92" s="50"/>
      <c r="R92" s="50"/>
      <c r="S92" s="50"/>
      <c r="T92" s="50"/>
    </row>
    <row r="93" spans="1:20" ht="25.5" customHeight="1" x14ac:dyDescent="0.2">
      <c r="A93" s="50"/>
      <c r="B93" s="50"/>
      <c r="C93" s="50"/>
      <c r="D93" s="50"/>
      <c r="E93" s="114"/>
      <c r="F93" s="51"/>
      <c r="G93" s="50"/>
      <c r="H93" s="51"/>
      <c r="I93" s="51"/>
      <c r="J93" s="51"/>
      <c r="K93" s="51"/>
      <c r="L93" s="50"/>
      <c r="M93" s="50"/>
      <c r="N93" s="50"/>
      <c r="O93" s="51"/>
      <c r="P93" s="50"/>
      <c r="Q93" s="50"/>
      <c r="R93" s="50"/>
      <c r="S93" s="50"/>
      <c r="T93" s="50"/>
    </row>
    <row r="94" spans="1:20" ht="25.5" customHeight="1" x14ac:dyDescent="0.2">
      <c r="A94" s="50"/>
      <c r="B94" s="50"/>
      <c r="C94" s="50"/>
      <c r="D94" s="50"/>
      <c r="E94" s="114"/>
      <c r="F94" s="51"/>
      <c r="G94" s="50"/>
      <c r="H94" s="51"/>
      <c r="I94" s="51"/>
      <c r="J94" s="51"/>
      <c r="K94" s="51"/>
      <c r="L94" s="50"/>
      <c r="M94" s="50"/>
      <c r="N94" s="50"/>
      <c r="O94" s="51"/>
      <c r="P94" s="50"/>
      <c r="Q94" s="50"/>
      <c r="R94" s="50"/>
      <c r="S94" s="50"/>
      <c r="T94" s="50"/>
    </row>
    <row r="95" spans="1:20" ht="25.5" customHeight="1" x14ac:dyDescent="0.2">
      <c r="A95" s="50"/>
      <c r="B95" s="50"/>
      <c r="C95" s="50"/>
      <c r="D95" s="50"/>
      <c r="E95" s="114"/>
      <c r="F95" s="51"/>
      <c r="G95" s="50"/>
      <c r="H95" s="51"/>
      <c r="I95" s="51"/>
      <c r="J95" s="51"/>
      <c r="K95" s="51"/>
      <c r="L95" s="50"/>
      <c r="M95" s="50"/>
      <c r="N95" s="50"/>
      <c r="O95" s="51"/>
      <c r="P95" s="50"/>
      <c r="Q95" s="50"/>
      <c r="R95" s="50"/>
      <c r="S95" s="50"/>
      <c r="T95" s="50"/>
    </row>
    <row r="96" spans="1:20" ht="25.5" customHeight="1" x14ac:dyDescent="0.2">
      <c r="A96" s="50"/>
      <c r="B96" s="50"/>
      <c r="C96" s="50"/>
      <c r="D96" s="50"/>
      <c r="E96" s="114"/>
      <c r="F96" s="51"/>
      <c r="G96" s="50"/>
      <c r="H96" s="51"/>
      <c r="I96" s="51"/>
      <c r="J96" s="51"/>
      <c r="K96" s="51"/>
      <c r="L96" s="50"/>
      <c r="M96" s="50"/>
      <c r="N96" s="50"/>
      <c r="O96" s="51"/>
      <c r="P96" s="50"/>
      <c r="Q96" s="50"/>
      <c r="R96" s="50"/>
      <c r="S96" s="50"/>
      <c r="T96" s="50"/>
    </row>
    <row r="97" spans="1:20" ht="25.5" customHeight="1" x14ac:dyDescent="0.2">
      <c r="A97" s="50"/>
      <c r="B97" s="50"/>
      <c r="C97" s="50"/>
      <c r="D97" s="50"/>
      <c r="E97" s="114"/>
      <c r="F97" s="51"/>
      <c r="G97" s="50"/>
      <c r="H97" s="51"/>
      <c r="I97" s="51"/>
      <c r="J97" s="51"/>
      <c r="K97" s="51"/>
      <c r="L97" s="50"/>
      <c r="M97" s="50"/>
      <c r="N97" s="50"/>
      <c r="O97" s="51"/>
      <c r="P97" s="50"/>
      <c r="Q97" s="50"/>
      <c r="R97" s="50"/>
      <c r="S97" s="50"/>
      <c r="T97" s="50"/>
    </row>
    <row r="98" spans="1:20" ht="25.5" customHeight="1" x14ac:dyDescent="0.2">
      <c r="A98" s="50"/>
      <c r="B98" s="50"/>
      <c r="C98" s="50"/>
      <c r="D98" s="50"/>
      <c r="E98" s="114"/>
      <c r="F98" s="51"/>
      <c r="G98" s="50"/>
      <c r="H98" s="51"/>
      <c r="I98" s="51"/>
      <c r="J98" s="51"/>
      <c r="K98" s="51"/>
      <c r="L98" s="50"/>
      <c r="M98" s="50"/>
      <c r="N98" s="50"/>
      <c r="O98" s="51"/>
      <c r="P98" s="50"/>
      <c r="Q98" s="50"/>
      <c r="R98" s="50"/>
      <c r="S98" s="50"/>
      <c r="T98" s="50"/>
    </row>
    <row r="99" spans="1:20" ht="25.5" customHeight="1" x14ac:dyDescent="0.2">
      <c r="A99" s="50"/>
      <c r="B99" s="50"/>
      <c r="C99" s="50"/>
      <c r="D99" s="50"/>
      <c r="E99" s="114"/>
      <c r="F99" s="51"/>
      <c r="G99" s="50"/>
      <c r="H99" s="51"/>
      <c r="I99" s="51"/>
      <c r="J99" s="51"/>
      <c r="K99" s="51"/>
      <c r="L99" s="50"/>
      <c r="M99" s="50"/>
      <c r="N99" s="50"/>
      <c r="O99" s="51"/>
      <c r="P99" s="50"/>
      <c r="Q99" s="50"/>
      <c r="R99" s="50"/>
      <c r="S99" s="50"/>
      <c r="T99" s="50"/>
    </row>
    <row r="100" spans="1:20" ht="25.5" customHeight="1" x14ac:dyDescent="0.2">
      <c r="A100" s="50"/>
      <c r="B100" s="50"/>
      <c r="C100" s="50"/>
      <c r="D100" s="50"/>
      <c r="E100" s="114"/>
      <c r="F100" s="51"/>
      <c r="G100" s="50"/>
      <c r="H100" s="51"/>
      <c r="I100" s="51"/>
      <c r="J100" s="51"/>
      <c r="K100" s="51"/>
      <c r="L100" s="50"/>
      <c r="M100" s="50"/>
      <c r="N100" s="50"/>
      <c r="O100" s="51"/>
      <c r="P100" s="50"/>
      <c r="Q100" s="50"/>
      <c r="R100" s="50"/>
      <c r="S100" s="50"/>
      <c r="T100" s="50"/>
    </row>
    <row r="101" spans="1:20" ht="25.5" customHeight="1" x14ac:dyDescent="0.2">
      <c r="A101" s="50"/>
      <c r="B101" s="50"/>
      <c r="C101" s="50"/>
      <c r="D101" s="50"/>
      <c r="E101" s="51"/>
      <c r="F101" s="51"/>
      <c r="G101" s="50"/>
      <c r="H101" s="51"/>
      <c r="I101" s="51"/>
      <c r="J101" s="51"/>
      <c r="K101" s="51"/>
      <c r="L101" s="50"/>
      <c r="M101" s="50"/>
      <c r="N101" s="50"/>
      <c r="O101" s="51"/>
      <c r="P101" s="50"/>
      <c r="Q101" s="50"/>
      <c r="R101" s="50"/>
      <c r="S101" s="50"/>
      <c r="T101" s="50"/>
    </row>
    <row r="102" spans="1:20" ht="25.5" customHeight="1" x14ac:dyDescent="0.2">
      <c r="A102" s="50"/>
      <c r="B102" s="50"/>
      <c r="C102" s="50"/>
      <c r="D102" s="50"/>
      <c r="E102" s="51"/>
      <c r="F102" s="51"/>
      <c r="G102" s="50"/>
      <c r="H102" s="51"/>
      <c r="I102" s="51"/>
      <c r="J102" s="51"/>
      <c r="K102" s="51"/>
      <c r="L102" s="50"/>
      <c r="M102" s="50"/>
      <c r="N102" s="50"/>
      <c r="O102" s="51"/>
      <c r="P102" s="50"/>
      <c r="Q102" s="50"/>
      <c r="R102" s="50"/>
      <c r="S102" s="50"/>
      <c r="T102" s="50"/>
    </row>
    <row r="103" spans="1:20" ht="25.5" customHeight="1" x14ac:dyDescent="0.2">
      <c r="A103" s="50"/>
      <c r="B103" s="50"/>
      <c r="C103" s="50"/>
      <c r="D103" s="50"/>
      <c r="E103" s="51"/>
      <c r="F103" s="51"/>
      <c r="G103" s="50"/>
      <c r="H103" s="51"/>
      <c r="I103" s="51"/>
      <c r="J103" s="51"/>
      <c r="K103" s="51"/>
      <c r="L103" s="50"/>
      <c r="M103" s="50"/>
      <c r="N103" s="50"/>
      <c r="O103" s="51"/>
      <c r="P103" s="50"/>
      <c r="Q103" s="50"/>
      <c r="R103" s="50"/>
      <c r="S103" s="50"/>
      <c r="T103" s="50"/>
    </row>
    <row r="104" spans="1:20" ht="25.5" customHeight="1" x14ac:dyDescent="0.2">
      <c r="A104" s="50"/>
      <c r="B104" s="50"/>
      <c r="C104" s="50"/>
      <c r="D104" s="50"/>
      <c r="E104" s="51"/>
      <c r="F104" s="51"/>
      <c r="G104" s="50"/>
      <c r="H104" s="51"/>
      <c r="I104" s="51"/>
      <c r="J104" s="51"/>
      <c r="K104" s="51"/>
      <c r="L104" s="50"/>
      <c r="M104" s="50"/>
      <c r="N104" s="50"/>
      <c r="O104" s="51"/>
      <c r="P104" s="50"/>
      <c r="Q104" s="50"/>
      <c r="R104" s="50"/>
      <c r="S104" s="50"/>
      <c r="T104" s="50"/>
    </row>
    <row r="105" spans="1:20" ht="25.5" customHeight="1" x14ac:dyDescent="0.2">
      <c r="A105" s="50"/>
      <c r="B105" s="50"/>
      <c r="C105" s="50"/>
      <c r="D105" s="50"/>
      <c r="E105" s="51"/>
      <c r="F105" s="51"/>
      <c r="G105" s="50"/>
      <c r="H105" s="51"/>
      <c r="I105" s="51"/>
      <c r="J105" s="51"/>
      <c r="K105" s="51"/>
      <c r="L105" s="50"/>
      <c r="M105" s="50"/>
      <c r="N105" s="50"/>
      <c r="O105" s="51"/>
      <c r="P105" s="50"/>
      <c r="Q105" s="50"/>
      <c r="R105" s="50"/>
      <c r="S105" s="50"/>
      <c r="T105" s="50"/>
    </row>
    <row r="106" spans="1:20" ht="25.5" customHeight="1" x14ac:dyDescent="0.2">
      <c r="A106" s="50"/>
      <c r="B106" s="50"/>
      <c r="C106" s="50"/>
      <c r="D106" s="50"/>
      <c r="E106" s="51"/>
      <c r="F106" s="51"/>
      <c r="G106" s="50"/>
      <c r="H106" s="51"/>
      <c r="I106" s="51"/>
      <c r="J106" s="51"/>
      <c r="K106" s="51"/>
      <c r="L106" s="50"/>
      <c r="M106" s="50"/>
      <c r="N106" s="50"/>
      <c r="O106" s="51"/>
      <c r="P106" s="50"/>
      <c r="Q106" s="50"/>
      <c r="R106" s="50"/>
      <c r="S106" s="50"/>
      <c r="T106" s="50"/>
    </row>
    <row r="107" spans="1:20" ht="25.5" customHeight="1" x14ac:dyDescent="0.2">
      <c r="A107" s="50"/>
      <c r="B107" s="50"/>
      <c r="C107" s="50"/>
      <c r="D107" s="50"/>
      <c r="E107" s="51"/>
      <c r="F107" s="51"/>
      <c r="G107" s="50"/>
      <c r="H107" s="51"/>
      <c r="I107" s="51"/>
      <c r="J107" s="51"/>
      <c r="K107" s="51"/>
      <c r="L107" s="50"/>
      <c r="M107" s="50"/>
      <c r="N107" s="50"/>
      <c r="O107" s="51"/>
      <c r="P107" s="50"/>
      <c r="Q107" s="50"/>
      <c r="R107" s="50"/>
      <c r="S107" s="50"/>
      <c r="T107" s="50"/>
    </row>
    <row r="108" spans="1:20" ht="25.5" customHeight="1" x14ac:dyDescent="0.2">
      <c r="A108" s="50"/>
      <c r="B108" s="50"/>
      <c r="C108" s="50"/>
      <c r="D108" s="50"/>
      <c r="E108" s="51"/>
      <c r="F108" s="51"/>
      <c r="G108" s="50"/>
      <c r="H108" s="51"/>
      <c r="I108" s="51"/>
      <c r="J108" s="51"/>
      <c r="K108" s="51"/>
      <c r="L108" s="50"/>
      <c r="M108" s="50"/>
      <c r="N108" s="50"/>
      <c r="O108" s="51"/>
      <c r="P108" s="50"/>
      <c r="Q108" s="50"/>
      <c r="R108" s="50"/>
      <c r="S108" s="50"/>
      <c r="T108" s="50"/>
    </row>
    <row r="109" spans="1:20" ht="25.5" customHeight="1" x14ac:dyDescent="0.2">
      <c r="A109" s="50"/>
      <c r="B109" s="50"/>
      <c r="C109" s="50"/>
      <c r="D109" s="50"/>
      <c r="E109" s="51"/>
      <c r="F109" s="51"/>
      <c r="G109" s="50"/>
      <c r="H109" s="51"/>
      <c r="I109" s="51"/>
      <c r="J109" s="51"/>
      <c r="K109" s="51"/>
      <c r="L109" s="50"/>
      <c r="M109" s="50"/>
      <c r="N109" s="50"/>
      <c r="O109" s="51"/>
      <c r="P109" s="50"/>
      <c r="Q109" s="50"/>
      <c r="R109" s="50"/>
      <c r="S109" s="50"/>
      <c r="T109" s="50"/>
    </row>
    <row r="110" spans="1:20" ht="25.5" customHeight="1" x14ac:dyDescent="0.2">
      <c r="A110" s="50"/>
      <c r="B110" s="50"/>
      <c r="C110" s="50"/>
      <c r="D110" s="50"/>
      <c r="E110" s="51"/>
      <c r="F110" s="51"/>
      <c r="G110" s="50"/>
      <c r="H110" s="51"/>
      <c r="I110" s="51"/>
      <c r="J110" s="51"/>
      <c r="K110" s="51"/>
      <c r="L110" s="50"/>
      <c r="M110" s="50"/>
      <c r="N110" s="50"/>
      <c r="O110" s="51"/>
      <c r="P110" s="50"/>
      <c r="Q110" s="50"/>
      <c r="R110" s="50"/>
      <c r="S110" s="50"/>
      <c r="T110" s="50"/>
    </row>
    <row r="111" spans="1:20" ht="25.5" customHeight="1" x14ac:dyDescent="0.2">
      <c r="A111" s="50"/>
      <c r="B111" s="50"/>
      <c r="C111" s="50"/>
      <c r="D111" s="50"/>
      <c r="E111" s="51"/>
      <c r="F111" s="51"/>
      <c r="G111" s="50"/>
      <c r="H111" s="51"/>
      <c r="I111" s="51"/>
      <c r="J111" s="51"/>
      <c r="K111" s="51"/>
      <c r="L111" s="50"/>
      <c r="M111" s="50"/>
      <c r="N111" s="50"/>
      <c r="O111" s="51"/>
      <c r="P111" s="50"/>
      <c r="Q111" s="50"/>
      <c r="R111" s="50"/>
      <c r="S111" s="50"/>
      <c r="T111" s="50"/>
    </row>
    <row r="112" spans="1:20" ht="25.5" customHeight="1" x14ac:dyDescent="0.2">
      <c r="A112" s="50"/>
      <c r="B112" s="50"/>
      <c r="C112" s="50"/>
      <c r="D112" s="50"/>
      <c r="E112" s="51"/>
      <c r="F112" s="51"/>
      <c r="G112" s="50"/>
      <c r="H112" s="51"/>
      <c r="I112" s="51"/>
      <c r="J112" s="51"/>
      <c r="K112" s="51"/>
      <c r="L112" s="50"/>
      <c r="M112" s="50"/>
      <c r="N112" s="50"/>
      <c r="O112" s="51"/>
      <c r="P112" s="50"/>
      <c r="Q112" s="50"/>
      <c r="R112" s="50"/>
      <c r="S112" s="50"/>
      <c r="T112" s="50"/>
    </row>
    <row r="113" spans="1:20" ht="25.5" customHeight="1" x14ac:dyDescent="0.2">
      <c r="A113" s="50"/>
      <c r="B113" s="50"/>
      <c r="C113" s="50"/>
      <c r="D113" s="50"/>
      <c r="E113" s="51"/>
      <c r="F113" s="51"/>
      <c r="G113" s="50"/>
      <c r="H113" s="51"/>
      <c r="I113" s="51"/>
      <c r="J113" s="51"/>
      <c r="K113" s="51"/>
      <c r="L113" s="50"/>
      <c r="M113" s="50"/>
      <c r="N113" s="50"/>
      <c r="O113" s="51"/>
      <c r="P113" s="50"/>
      <c r="Q113" s="50"/>
      <c r="R113" s="50"/>
      <c r="S113" s="50"/>
      <c r="T113" s="50"/>
    </row>
    <row r="114" spans="1:20" ht="25.5" customHeight="1" x14ac:dyDescent="0.2">
      <c r="A114" s="50"/>
      <c r="B114" s="50"/>
      <c r="C114" s="50"/>
      <c r="D114" s="50"/>
      <c r="E114" s="51"/>
      <c r="F114" s="51"/>
      <c r="G114" s="50"/>
      <c r="H114" s="51"/>
      <c r="I114" s="51"/>
      <c r="J114" s="51"/>
      <c r="K114" s="51"/>
      <c r="L114" s="50"/>
      <c r="M114" s="50"/>
      <c r="N114" s="50"/>
      <c r="O114" s="51"/>
      <c r="P114" s="50"/>
      <c r="Q114" s="50"/>
      <c r="R114" s="50"/>
      <c r="S114" s="50"/>
      <c r="T114" s="50"/>
    </row>
    <row r="115" spans="1:20" ht="25.5" customHeight="1" x14ac:dyDescent="0.2">
      <c r="A115" s="50"/>
      <c r="B115" s="50"/>
      <c r="C115" s="50"/>
      <c r="D115" s="50"/>
      <c r="E115" s="51"/>
      <c r="F115" s="51"/>
      <c r="G115" s="50"/>
      <c r="H115" s="51"/>
      <c r="I115" s="51"/>
      <c r="J115" s="51"/>
      <c r="K115" s="51"/>
      <c r="L115" s="50"/>
      <c r="M115" s="50"/>
      <c r="N115" s="50"/>
      <c r="O115" s="51"/>
      <c r="P115" s="50"/>
      <c r="Q115" s="50"/>
      <c r="R115" s="50"/>
      <c r="S115" s="50"/>
      <c r="T115" s="50"/>
    </row>
    <row r="116" spans="1:20" ht="25.5" customHeight="1" x14ac:dyDescent="0.2">
      <c r="A116" s="50"/>
      <c r="B116" s="50"/>
      <c r="C116" s="50"/>
      <c r="D116" s="50"/>
      <c r="E116" s="51"/>
      <c r="F116" s="51"/>
      <c r="G116" s="50"/>
      <c r="H116" s="51"/>
      <c r="I116" s="51"/>
      <c r="J116" s="51"/>
      <c r="K116" s="51"/>
      <c r="L116" s="50"/>
      <c r="M116" s="50"/>
      <c r="N116" s="50"/>
      <c r="O116" s="51"/>
      <c r="P116" s="50"/>
      <c r="Q116" s="50"/>
      <c r="R116" s="50"/>
      <c r="S116" s="50"/>
      <c r="T116" s="50"/>
    </row>
    <row r="117" spans="1:20" ht="25.5" customHeight="1" x14ac:dyDescent="0.2">
      <c r="A117" s="50"/>
      <c r="B117" s="50"/>
      <c r="C117" s="50"/>
      <c r="D117" s="50"/>
      <c r="E117" s="51"/>
      <c r="F117" s="51"/>
      <c r="G117" s="50"/>
      <c r="H117" s="51"/>
      <c r="I117" s="51"/>
      <c r="J117" s="51"/>
      <c r="K117" s="51"/>
      <c r="L117" s="50"/>
      <c r="M117" s="50"/>
      <c r="N117" s="50"/>
      <c r="O117" s="51"/>
      <c r="P117" s="50"/>
      <c r="Q117" s="50"/>
      <c r="R117" s="50"/>
      <c r="S117" s="50"/>
      <c r="T117" s="50"/>
    </row>
    <row r="118" spans="1:20" ht="25.5" customHeight="1" x14ac:dyDescent="0.2">
      <c r="A118" s="50"/>
      <c r="B118" s="50"/>
      <c r="C118" s="50"/>
      <c r="D118" s="50"/>
      <c r="E118" s="51"/>
      <c r="F118" s="51"/>
      <c r="G118" s="50"/>
      <c r="H118" s="51"/>
      <c r="I118" s="51"/>
      <c r="J118" s="51"/>
      <c r="K118" s="51"/>
      <c r="L118" s="50"/>
      <c r="M118" s="50"/>
      <c r="N118" s="50"/>
      <c r="O118" s="51"/>
      <c r="P118" s="50"/>
      <c r="Q118" s="50"/>
      <c r="R118" s="50"/>
      <c r="S118" s="50"/>
      <c r="T118" s="50"/>
    </row>
    <row r="119" spans="1:20" ht="25.5" customHeight="1" x14ac:dyDescent="0.2">
      <c r="A119" s="50"/>
      <c r="B119" s="50"/>
      <c r="C119" s="50"/>
      <c r="D119" s="50"/>
      <c r="E119" s="51"/>
      <c r="F119" s="51"/>
      <c r="G119" s="50"/>
      <c r="H119" s="51"/>
      <c r="I119" s="51"/>
      <c r="J119" s="51"/>
      <c r="K119" s="51"/>
      <c r="L119" s="50"/>
      <c r="M119" s="50"/>
      <c r="N119" s="50"/>
      <c r="O119" s="51"/>
      <c r="P119" s="50"/>
      <c r="Q119" s="50"/>
      <c r="R119" s="50"/>
      <c r="S119" s="50"/>
      <c r="T119" s="50"/>
    </row>
    <row r="120" spans="1:20" ht="25.5" customHeight="1" x14ac:dyDescent="0.2">
      <c r="A120" s="50"/>
      <c r="B120" s="50"/>
      <c r="C120" s="50"/>
      <c r="D120" s="50"/>
      <c r="E120" s="51"/>
      <c r="F120" s="51"/>
      <c r="G120" s="50"/>
      <c r="H120" s="51"/>
      <c r="I120" s="51"/>
      <c r="J120" s="51"/>
      <c r="K120" s="51"/>
      <c r="L120" s="50"/>
      <c r="M120" s="50"/>
      <c r="N120" s="50"/>
      <c r="O120" s="51"/>
      <c r="P120" s="50"/>
      <c r="Q120" s="50"/>
      <c r="R120" s="50"/>
      <c r="S120" s="50"/>
      <c r="T120" s="50"/>
    </row>
    <row r="121" spans="1:20" ht="25.5" customHeight="1" x14ac:dyDescent="0.2">
      <c r="A121" s="50"/>
      <c r="B121" s="50"/>
      <c r="C121" s="50"/>
      <c r="D121" s="50"/>
      <c r="E121" s="51"/>
      <c r="F121" s="51"/>
      <c r="G121" s="50"/>
      <c r="H121" s="51"/>
      <c r="I121" s="51"/>
      <c r="J121" s="51"/>
      <c r="K121" s="51"/>
      <c r="L121" s="50"/>
      <c r="M121" s="50"/>
      <c r="N121" s="50"/>
      <c r="O121" s="51"/>
      <c r="P121" s="50"/>
      <c r="Q121" s="50"/>
      <c r="R121" s="50"/>
      <c r="S121" s="50"/>
      <c r="T121" s="50"/>
    </row>
    <row r="122" spans="1:20" ht="25.5" customHeight="1" x14ac:dyDescent="0.2">
      <c r="A122" s="50"/>
      <c r="B122" s="50"/>
      <c r="C122" s="50"/>
      <c r="D122" s="50"/>
      <c r="E122" s="51"/>
      <c r="F122" s="51"/>
      <c r="G122" s="50"/>
      <c r="H122" s="51"/>
      <c r="I122" s="51"/>
      <c r="J122" s="51"/>
      <c r="K122" s="51"/>
      <c r="L122" s="50"/>
      <c r="M122" s="50"/>
      <c r="N122" s="50"/>
      <c r="O122" s="51"/>
      <c r="P122" s="50"/>
      <c r="Q122" s="50"/>
      <c r="R122" s="50"/>
      <c r="S122" s="50"/>
      <c r="T122" s="50"/>
    </row>
    <row r="123" spans="1:20" ht="25.5" customHeight="1" x14ac:dyDescent="0.2">
      <c r="A123" s="50"/>
      <c r="B123" s="50"/>
      <c r="C123" s="50"/>
      <c r="D123" s="50"/>
      <c r="E123" s="51"/>
      <c r="F123" s="51"/>
      <c r="G123" s="50"/>
      <c r="H123" s="51"/>
      <c r="I123" s="51"/>
      <c r="J123" s="51"/>
      <c r="K123" s="51"/>
      <c r="L123" s="50"/>
      <c r="M123" s="50"/>
      <c r="N123" s="50"/>
      <c r="O123" s="51"/>
      <c r="P123" s="50"/>
      <c r="Q123" s="50"/>
      <c r="R123" s="50"/>
      <c r="S123" s="50"/>
      <c r="T123" s="50"/>
    </row>
    <row r="124" spans="1:20" ht="25.5" customHeight="1" x14ac:dyDescent="0.2">
      <c r="A124" s="50"/>
      <c r="B124" s="50"/>
      <c r="C124" s="50"/>
      <c r="D124" s="50"/>
      <c r="E124" s="51"/>
      <c r="F124" s="51"/>
      <c r="G124" s="50"/>
      <c r="H124" s="51"/>
      <c r="I124" s="51"/>
      <c r="J124" s="51"/>
      <c r="K124" s="51"/>
      <c r="L124" s="50"/>
      <c r="M124" s="50"/>
      <c r="N124" s="50"/>
      <c r="O124" s="51"/>
      <c r="P124" s="50"/>
      <c r="Q124" s="50"/>
      <c r="R124" s="50"/>
      <c r="S124" s="50"/>
      <c r="T124" s="50"/>
    </row>
    <row r="125" spans="1:20" ht="25.5" customHeight="1" x14ac:dyDescent="0.2">
      <c r="A125" s="50"/>
      <c r="B125" s="50"/>
      <c r="C125" s="50"/>
      <c r="D125" s="50"/>
      <c r="E125" s="51"/>
      <c r="F125" s="51"/>
      <c r="G125" s="50"/>
      <c r="H125" s="51"/>
      <c r="I125" s="51"/>
      <c r="J125" s="51"/>
      <c r="K125" s="51"/>
      <c r="L125" s="50"/>
      <c r="M125" s="50"/>
      <c r="N125" s="50"/>
      <c r="O125" s="51"/>
      <c r="P125" s="50"/>
      <c r="Q125" s="50"/>
      <c r="R125" s="50"/>
      <c r="S125" s="50"/>
      <c r="T125" s="50"/>
    </row>
    <row r="126" spans="1:20" ht="25.5" customHeight="1" x14ac:dyDescent="0.2">
      <c r="A126" s="50"/>
      <c r="B126" s="50"/>
      <c r="C126" s="50"/>
      <c r="D126" s="50"/>
      <c r="E126" s="51"/>
      <c r="F126" s="51"/>
      <c r="G126" s="50"/>
      <c r="H126" s="51"/>
      <c r="I126" s="51"/>
      <c r="J126" s="51"/>
      <c r="K126" s="51"/>
      <c r="L126" s="50"/>
      <c r="M126" s="50"/>
      <c r="N126" s="50"/>
      <c r="O126" s="51"/>
      <c r="P126" s="50"/>
      <c r="Q126" s="50"/>
      <c r="R126" s="50"/>
      <c r="S126" s="50"/>
      <c r="T126" s="50"/>
    </row>
    <row r="127" spans="1:20" ht="25.5" customHeight="1" x14ac:dyDescent="0.2">
      <c r="A127" s="50"/>
      <c r="B127" s="50"/>
      <c r="C127" s="50"/>
      <c r="D127" s="50"/>
      <c r="E127" s="51"/>
      <c r="F127" s="51"/>
      <c r="G127" s="50"/>
      <c r="H127" s="51"/>
      <c r="I127" s="51"/>
      <c r="J127" s="51"/>
      <c r="K127" s="51"/>
      <c r="L127" s="50"/>
      <c r="M127" s="50"/>
      <c r="N127" s="50"/>
      <c r="O127" s="51"/>
      <c r="P127" s="50"/>
      <c r="Q127" s="50"/>
      <c r="R127" s="50"/>
      <c r="S127" s="50"/>
      <c r="T127" s="50"/>
    </row>
    <row r="128" spans="1:20" ht="25.5" customHeight="1" x14ac:dyDescent="0.2">
      <c r="A128" s="50"/>
      <c r="B128" s="50"/>
      <c r="C128" s="50"/>
      <c r="D128" s="50"/>
      <c r="E128" s="51"/>
      <c r="F128" s="51"/>
      <c r="G128" s="50"/>
      <c r="H128" s="51"/>
      <c r="I128" s="51"/>
      <c r="J128" s="51"/>
      <c r="K128" s="51"/>
      <c r="L128" s="50"/>
      <c r="M128" s="50"/>
      <c r="N128" s="50"/>
      <c r="O128" s="51"/>
      <c r="P128" s="50"/>
      <c r="Q128" s="50"/>
      <c r="R128" s="50"/>
      <c r="S128" s="50"/>
      <c r="T128" s="50"/>
    </row>
    <row r="129" spans="1:20" ht="25.5" customHeight="1" x14ac:dyDescent="0.2">
      <c r="A129" s="50"/>
      <c r="B129" s="50"/>
      <c r="C129" s="50"/>
      <c r="D129" s="50"/>
      <c r="E129" s="51"/>
      <c r="F129" s="51"/>
      <c r="G129" s="50"/>
      <c r="H129" s="51"/>
      <c r="I129" s="51"/>
      <c r="J129" s="51"/>
      <c r="K129" s="51"/>
      <c r="L129" s="50"/>
      <c r="M129" s="50"/>
      <c r="N129" s="50"/>
      <c r="O129" s="51"/>
      <c r="P129" s="50"/>
      <c r="Q129" s="50"/>
      <c r="R129" s="50"/>
      <c r="S129" s="50"/>
      <c r="T129" s="50"/>
    </row>
    <row r="130" spans="1:20" ht="25.5" customHeight="1" x14ac:dyDescent="0.2">
      <c r="A130" s="50"/>
      <c r="B130" s="50"/>
      <c r="C130" s="50"/>
      <c r="D130" s="50"/>
      <c r="E130" s="51"/>
      <c r="F130" s="51"/>
      <c r="G130" s="50"/>
      <c r="H130" s="51"/>
      <c r="I130" s="51"/>
      <c r="J130" s="51"/>
      <c r="K130" s="51"/>
      <c r="L130" s="50"/>
      <c r="M130" s="50"/>
      <c r="N130" s="50"/>
      <c r="O130" s="51"/>
      <c r="P130" s="50"/>
      <c r="Q130" s="50"/>
      <c r="R130" s="50"/>
      <c r="S130" s="50"/>
      <c r="T130" s="50"/>
    </row>
    <row r="131" spans="1:20" ht="25.5" customHeight="1" x14ac:dyDescent="0.2">
      <c r="A131" s="50"/>
      <c r="B131" s="50"/>
      <c r="C131" s="50"/>
      <c r="D131" s="50"/>
      <c r="E131" s="51"/>
      <c r="F131" s="51"/>
      <c r="G131" s="50"/>
      <c r="H131" s="51"/>
      <c r="I131" s="51"/>
      <c r="J131" s="51"/>
      <c r="K131" s="51"/>
      <c r="L131" s="50"/>
      <c r="M131" s="50"/>
      <c r="N131" s="50"/>
      <c r="O131" s="51"/>
      <c r="P131" s="50"/>
      <c r="Q131" s="50"/>
      <c r="R131" s="50"/>
      <c r="S131" s="50"/>
      <c r="T131" s="50"/>
    </row>
    <row r="132" spans="1:20" ht="25.5" customHeight="1" x14ac:dyDescent="0.2">
      <c r="A132" s="50"/>
      <c r="B132" s="50"/>
      <c r="C132" s="50"/>
      <c r="D132" s="50"/>
      <c r="E132" s="51"/>
      <c r="F132" s="51"/>
      <c r="G132" s="50"/>
      <c r="H132" s="51"/>
      <c r="I132" s="51"/>
      <c r="J132" s="51"/>
      <c r="K132" s="51"/>
      <c r="L132" s="50"/>
      <c r="M132" s="50"/>
      <c r="N132" s="50"/>
      <c r="O132" s="51"/>
      <c r="P132" s="50"/>
      <c r="Q132" s="50"/>
      <c r="R132" s="50"/>
      <c r="S132" s="50"/>
      <c r="T132" s="50"/>
    </row>
    <row r="133" spans="1:20" ht="25.5" customHeight="1" x14ac:dyDescent="0.2">
      <c r="A133" s="50"/>
      <c r="B133" s="50"/>
      <c r="C133" s="50"/>
      <c r="D133" s="50"/>
      <c r="E133" s="51"/>
      <c r="F133" s="51"/>
      <c r="G133" s="50"/>
      <c r="H133" s="51"/>
      <c r="I133" s="51"/>
      <c r="J133" s="51"/>
      <c r="K133" s="51"/>
      <c r="L133" s="50"/>
      <c r="M133" s="50"/>
      <c r="N133" s="50"/>
      <c r="O133" s="51"/>
      <c r="P133" s="50"/>
      <c r="Q133" s="50"/>
      <c r="R133" s="50"/>
      <c r="S133" s="50"/>
      <c r="T133" s="50"/>
    </row>
    <row r="134" spans="1:20" ht="25.5" customHeight="1" x14ac:dyDescent="0.2">
      <c r="A134" s="50"/>
      <c r="B134" s="50"/>
      <c r="C134" s="50"/>
      <c r="D134" s="50"/>
      <c r="E134" s="51"/>
      <c r="F134" s="51"/>
      <c r="G134" s="50"/>
      <c r="H134" s="51"/>
      <c r="I134" s="51"/>
      <c r="J134" s="51"/>
      <c r="K134" s="51"/>
      <c r="L134" s="50"/>
      <c r="M134" s="50"/>
      <c r="N134" s="50"/>
      <c r="O134" s="51"/>
      <c r="P134" s="50"/>
      <c r="Q134" s="50"/>
      <c r="R134" s="50"/>
      <c r="S134" s="50"/>
      <c r="T134" s="50"/>
    </row>
    <row r="135" spans="1:20" ht="25.5" customHeight="1" x14ac:dyDescent="0.2">
      <c r="A135" s="50"/>
      <c r="B135" s="50"/>
      <c r="C135" s="50"/>
      <c r="D135" s="50"/>
      <c r="E135" s="51"/>
      <c r="F135" s="51"/>
      <c r="G135" s="50"/>
      <c r="H135" s="51"/>
      <c r="I135" s="51"/>
      <c r="J135" s="51"/>
      <c r="K135" s="51"/>
      <c r="L135" s="50"/>
      <c r="M135" s="50"/>
      <c r="N135" s="50"/>
      <c r="O135" s="51"/>
      <c r="P135" s="50"/>
      <c r="Q135" s="50"/>
      <c r="R135" s="50"/>
      <c r="S135" s="50"/>
      <c r="T135" s="50"/>
    </row>
    <row r="136" spans="1:20" ht="25.5" customHeight="1" x14ac:dyDescent="0.2">
      <c r="A136" s="50"/>
      <c r="B136" s="50"/>
      <c r="C136" s="50"/>
      <c r="D136" s="50"/>
      <c r="E136" s="51"/>
      <c r="F136" s="51"/>
      <c r="G136" s="50"/>
      <c r="H136" s="51"/>
      <c r="I136" s="51"/>
      <c r="J136" s="51"/>
      <c r="K136" s="51"/>
      <c r="L136" s="50"/>
      <c r="M136" s="50"/>
      <c r="N136" s="50"/>
      <c r="O136" s="51"/>
      <c r="P136" s="50"/>
      <c r="Q136" s="50"/>
      <c r="R136" s="50"/>
      <c r="S136" s="50"/>
      <c r="T136" s="50"/>
    </row>
    <row r="137" spans="1:20" ht="25.5" customHeight="1" x14ac:dyDescent="0.2">
      <c r="A137" s="50"/>
      <c r="B137" s="50"/>
      <c r="C137" s="50"/>
      <c r="D137" s="50"/>
      <c r="E137" s="51"/>
      <c r="F137" s="51"/>
      <c r="G137" s="50"/>
      <c r="H137" s="51"/>
      <c r="I137" s="51"/>
      <c r="J137" s="51"/>
      <c r="K137" s="51"/>
      <c r="L137" s="50"/>
      <c r="M137" s="50"/>
      <c r="N137" s="50"/>
      <c r="O137" s="51"/>
      <c r="P137" s="50"/>
      <c r="Q137" s="50"/>
      <c r="R137" s="50"/>
      <c r="S137" s="50"/>
      <c r="T137" s="50"/>
    </row>
    <row r="138" spans="1:20" ht="25.5" customHeight="1" x14ac:dyDescent="0.2">
      <c r="A138" s="50"/>
      <c r="B138" s="50"/>
      <c r="C138" s="50"/>
      <c r="D138" s="50"/>
      <c r="E138" s="51"/>
      <c r="F138" s="51"/>
      <c r="G138" s="50"/>
      <c r="H138" s="51"/>
      <c r="I138" s="51"/>
      <c r="J138" s="51"/>
      <c r="K138" s="51"/>
      <c r="L138" s="50"/>
      <c r="M138" s="50"/>
      <c r="N138" s="50"/>
      <c r="O138" s="51"/>
      <c r="P138" s="50"/>
      <c r="Q138" s="50"/>
      <c r="R138" s="50"/>
      <c r="S138" s="50"/>
      <c r="T138" s="50"/>
    </row>
    <row r="139" spans="1:20" ht="25.5" customHeight="1" x14ac:dyDescent="0.2">
      <c r="A139" s="50"/>
      <c r="B139" s="50"/>
      <c r="C139" s="50"/>
      <c r="D139" s="50"/>
      <c r="E139" s="51"/>
      <c r="F139" s="51"/>
      <c r="G139" s="50"/>
      <c r="H139" s="51"/>
      <c r="I139" s="51"/>
      <c r="J139" s="51"/>
      <c r="K139" s="51"/>
      <c r="L139" s="50"/>
      <c r="M139" s="50"/>
      <c r="N139" s="50"/>
      <c r="O139" s="51"/>
      <c r="P139" s="50"/>
      <c r="Q139" s="50"/>
      <c r="R139" s="50"/>
      <c r="S139" s="50"/>
      <c r="T139" s="50"/>
    </row>
    <row r="140" spans="1:20" ht="25.5" customHeight="1" x14ac:dyDescent="0.2">
      <c r="A140" s="50"/>
      <c r="B140" s="50"/>
      <c r="C140" s="50"/>
      <c r="D140" s="50"/>
      <c r="E140" s="51"/>
      <c r="F140" s="51"/>
      <c r="G140" s="50"/>
      <c r="H140" s="51"/>
      <c r="I140" s="51"/>
      <c r="J140" s="51"/>
      <c r="K140" s="51"/>
      <c r="L140" s="50"/>
      <c r="M140" s="50"/>
      <c r="N140" s="50"/>
      <c r="O140" s="51"/>
      <c r="P140" s="50"/>
      <c r="Q140" s="50"/>
      <c r="R140" s="50"/>
      <c r="S140" s="50"/>
      <c r="T140" s="50"/>
    </row>
    <row r="141" spans="1:20" ht="25.5" customHeight="1" x14ac:dyDescent="0.2">
      <c r="A141" s="50"/>
      <c r="B141" s="50"/>
      <c r="C141" s="50"/>
      <c r="D141" s="50"/>
      <c r="E141" s="51"/>
      <c r="F141" s="51"/>
      <c r="G141" s="50"/>
      <c r="H141" s="51"/>
      <c r="I141" s="51"/>
      <c r="J141" s="51"/>
      <c r="K141" s="51"/>
      <c r="L141" s="50"/>
      <c r="M141" s="50"/>
      <c r="N141" s="50"/>
      <c r="O141" s="51"/>
      <c r="P141" s="50"/>
      <c r="Q141" s="50"/>
      <c r="R141" s="50"/>
      <c r="S141" s="50"/>
      <c r="T141" s="50"/>
    </row>
    <row r="142" spans="1:20" ht="25.5" customHeight="1" x14ac:dyDescent="0.2">
      <c r="A142" s="50"/>
      <c r="B142" s="50"/>
      <c r="C142" s="50"/>
      <c r="D142" s="50"/>
      <c r="E142" s="51"/>
      <c r="F142" s="51"/>
      <c r="G142" s="50"/>
      <c r="H142" s="51"/>
      <c r="I142" s="51"/>
      <c r="J142" s="51"/>
      <c r="K142" s="51"/>
      <c r="L142" s="50"/>
      <c r="M142" s="50"/>
      <c r="N142" s="50"/>
      <c r="O142" s="51"/>
      <c r="P142" s="50"/>
      <c r="Q142" s="50"/>
      <c r="R142" s="50"/>
      <c r="S142" s="50"/>
      <c r="T142" s="50"/>
    </row>
    <row r="143" spans="1:20" ht="25.5" customHeight="1" x14ac:dyDescent="0.2">
      <c r="A143" s="50"/>
      <c r="B143" s="50"/>
      <c r="C143" s="50"/>
      <c r="D143" s="50"/>
      <c r="E143" s="51"/>
      <c r="F143" s="51"/>
      <c r="G143" s="50"/>
      <c r="H143" s="51"/>
      <c r="I143" s="51"/>
      <c r="J143" s="51"/>
      <c r="K143" s="51"/>
      <c r="L143" s="50"/>
      <c r="M143" s="50"/>
      <c r="N143" s="50"/>
      <c r="O143" s="51"/>
      <c r="P143" s="50"/>
      <c r="Q143" s="50"/>
      <c r="R143" s="50"/>
      <c r="S143" s="50"/>
      <c r="T143" s="50"/>
    </row>
    <row r="144" spans="1:20" ht="25.5" customHeight="1" x14ac:dyDescent="0.2">
      <c r="A144" s="50"/>
      <c r="B144" s="50"/>
      <c r="C144" s="50"/>
      <c r="D144" s="50"/>
      <c r="E144" s="51"/>
      <c r="F144" s="51"/>
      <c r="G144" s="50"/>
      <c r="H144" s="51"/>
      <c r="I144" s="51"/>
      <c r="J144" s="51"/>
      <c r="K144" s="51"/>
      <c r="L144" s="50"/>
      <c r="M144" s="50"/>
      <c r="N144" s="50"/>
      <c r="O144" s="51"/>
      <c r="P144" s="50"/>
      <c r="Q144" s="50"/>
      <c r="R144" s="50"/>
      <c r="S144" s="50"/>
      <c r="T144" s="50"/>
    </row>
    <row r="145" spans="1:20" ht="25.5" customHeight="1" x14ac:dyDescent="0.2">
      <c r="A145" s="50"/>
      <c r="B145" s="50"/>
      <c r="C145" s="50"/>
      <c r="D145" s="50"/>
      <c r="E145" s="51"/>
      <c r="F145" s="51"/>
      <c r="G145" s="50"/>
      <c r="H145" s="51"/>
      <c r="I145" s="51"/>
      <c r="J145" s="51"/>
      <c r="K145" s="51"/>
      <c r="L145" s="50"/>
      <c r="M145" s="50"/>
      <c r="N145" s="50"/>
      <c r="O145" s="51"/>
      <c r="P145" s="50"/>
      <c r="Q145" s="50"/>
      <c r="R145" s="50"/>
      <c r="S145" s="50"/>
      <c r="T145" s="50"/>
    </row>
    <row r="146" spans="1:20" ht="25.5" customHeight="1" x14ac:dyDescent="0.2">
      <c r="A146" s="50"/>
      <c r="B146" s="50"/>
      <c r="C146" s="50"/>
      <c r="D146" s="50"/>
      <c r="E146" s="51"/>
      <c r="F146" s="51"/>
      <c r="G146" s="50"/>
      <c r="H146" s="51"/>
      <c r="I146" s="51"/>
      <c r="J146" s="51"/>
      <c r="K146" s="51"/>
      <c r="L146" s="50"/>
      <c r="M146" s="50"/>
      <c r="N146" s="50"/>
      <c r="O146" s="51"/>
      <c r="P146" s="50"/>
      <c r="Q146" s="50"/>
      <c r="R146" s="50"/>
      <c r="S146" s="50"/>
      <c r="T146" s="50"/>
    </row>
    <row r="147" spans="1:20" ht="25.5" customHeight="1" x14ac:dyDescent="0.2">
      <c r="A147" s="50"/>
      <c r="B147" s="50"/>
      <c r="C147" s="50"/>
      <c r="D147" s="50"/>
      <c r="E147" s="51"/>
      <c r="F147" s="51"/>
      <c r="G147" s="50"/>
      <c r="H147" s="51"/>
      <c r="I147" s="51"/>
      <c r="J147" s="51"/>
      <c r="K147" s="51"/>
      <c r="L147" s="50"/>
      <c r="M147" s="50"/>
      <c r="N147" s="50"/>
      <c r="O147" s="51"/>
      <c r="P147" s="50"/>
      <c r="Q147" s="50"/>
      <c r="R147" s="50"/>
      <c r="S147" s="50"/>
      <c r="T147" s="50"/>
    </row>
    <row r="148" spans="1:20" ht="25.5" customHeight="1" x14ac:dyDescent="0.2">
      <c r="A148" s="50"/>
      <c r="B148" s="50"/>
      <c r="C148" s="50"/>
      <c r="D148" s="50"/>
      <c r="E148" s="51"/>
      <c r="F148" s="51"/>
      <c r="G148" s="50"/>
      <c r="H148" s="51"/>
      <c r="I148" s="51"/>
      <c r="J148" s="51"/>
      <c r="K148" s="51"/>
      <c r="L148" s="50"/>
      <c r="M148" s="50"/>
      <c r="N148" s="50"/>
      <c r="O148" s="51"/>
      <c r="P148" s="50"/>
      <c r="Q148" s="50"/>
      <c r="R148" s="50"/>
      <c r="S148" s="50"/>
      <c r="T148" s="50"/>
    </row>
    <row r="149" spans="1:20" ht="25.5" customHeight="1" x14ac:dyDescent="0.2">
      <c r="A149" s="50"/>
      <c r="B149" s="50"/>
      <c r="C149" s="50"/>
      <c r="D149" s="50"/>
      <c r="E149" s="51"/>
      <c r="F149" s="51"/>
      <c r="G149" s="50"/>
      <c r="H149" s="51"/>
      <c r="I149" s="51"/>
      <c r="J149" s="51"/>
      <c r="K149" s="51"/>
      <c r="L149" s="50"/>
      <c r="M149" s="50"/>
      <c r="N149" s="50"/>
      <c r="O149" s="51"/>
      <c r="P149" s="50"/>
      <c r="Q149" s="50"/>
      <c r="R149" s="50"/>
      <c r="S149" s="50"/>
      <c r="T149" s="50"/>
    </row>
    <row r="150" spans="1:20" ht="25.5" customHeight="1" x14ac:dyDescent="0.2">
      <c r="A150" s="50"/>
      <c r="B150" s="50"/>
      <c r="C150" s="50"/>
      <c r="D150" s="50"/>
      <c r="E150" s="51"/>
      <c r="F150" s="51"/>
      <c r="G150" s="50"/>
      <c r="H150" s="51"/>
      <c r="I150" s="51"/>
      <c r="J150" s="51"/>
      <c r="K150" s="51"/>
      <c r="L150" s="50"/>
      <c r="M150" s="50"/>
      <c r="N150" s="50"/>
      <c r="O150" s="51"/>
      <c r="P150" s="50"/>
      <c r="Q150" s="50"/>
      <c r="R150" s="50"/>
      <c r="S150" s="50"/>
      <c r="T150" s="50"/>
    </row>
    <row r="151" spans="1:20" ht="25.5" customHeight="1" x14ac:dyDescent="0.2">
      <c r="A151" s="50"/>
      <c r="B151" s="50"/>
      <c r="C151" s="50"/>
      <c r="D151" s="50"/>
      <c r="E151" s="51"/>
      <c r="F151" s="51"/>
      <c r="G151" s="50"/>
      <c r="H151" s="51"/>
      <c r="I151" s="51"/>
      <c r="J151" s="51"/>
      <c r="K151" s="51"/>
      <c r="L151" s="50"/>
      <c r="M151" s="50"/>
      <c r="N151" s="50"/>
      <c r="O151" s="51"/>
      <c r="P151" s="50"/>
      <c r="Q151" s="50"/>
      <c r="R151" s="50"/>
      <c r="S151" s="50"/>
      <c r="T151" s="50"/>
    </row>
    <row r="152" spans="1:20" ht="25.5" customHeight="1" x14ac:dyDescent="0.2">
      <c r="A152" s="50"/>
      <c r="B152" s="50"/>
      <c r="C152" s="50"/>
      <c r="D152" s="50"/>
      <c r="E152" s="51"/>
      <c r="F152" s="51"/>
      <c r="G152" s="50"/>
      <c r="H152" s="51"/>
      <c r="I152" s="51"/>
      <c r="J152" s="51"/>
      <c r="K152" s="51"/>
      <c r="L152" s="50"/>
      <c r="M152" s="50"/>
      <c r="N152" s="50"/>
      <c r="O152" s="51"/>
      <c r="P152" s="50"/>
      <c r="Q152" s="50"/>
      <c r="R152" s="50"/>
      <c r="S152" s="50"/>
      <c r="T152" s="50"/>
    </row>
    <row r="153" spans="1:20" ht="25.5" customHeight="1" x14ac:dyDescent="0.2">
      <c r="A153" s="50"/>
      <c r="B153" s="50"/>
      <c r="C153" s="50"/>
      <c r="D153" s="50"/>
      <c r="E153" s="51"/>
      <c r="F153" s="51"/>
      <c r="G153" s="50"/>
      <c r="H153" s="51"/>
      <c r="I153" s="51"/>
      <c r="J153" s="51"/>
      <c r="K153" s="51"/>
      <c r="L153" s="50"/>
      <c r="M153" s="50"/>
      <c r="N153" s="50"/>
      <c r="O153" s="51"/>
      <c r="P153" s="50"/>
      <c r="Q153" s="50"/>
      <c r="R153" s="50"/>
      <c r="S153" s="50"/>
      <c r="T153" s="50"/>
    </row>
    <row r="154" spans="1:20" ht="25.5" customHeight="1" x14ac:dyDescent="0.2">
      <c r="A154" s="50"/>
      <c r="B154" s="50"/>
      <c r="C154" s="50"/>
      <c r="D154" s="50"/>
      <c r="E154" s="51"/>
      <c r="F154" s="51"/>
      <c r="G154" s="50"/>
      <c r="H154" s="51"/>
      <c r="I154" s="51"/>
      <c r="J154" s="51"/>
      <c r="K154" s="51"/>
      <c r="L154" s="50"/>
      <c r="M154" s="50"/>
      <c r="N154" s="50"/>
      <c r="O154" s="51"/>
      <c r="P154" s="50"/>
      <c r="Q154" s="50"/>
      <c r="R154" s="50"/>
      <c r="S154" s="50"/>
      <c r="T154" s="50"/>
    </row>
    <row r="155" spans="1:20" ht="25.5" customHeight="1" x14ac:dyDescent="0.2">
      <c r="A155" s="50"/>
      <c r="B155" s="50"/>
      <c r="C155" s="50"/>
      <c r="D155" s="50"/>
      <c r="E155" s="51"/>
      <c r="F155" s="51"/>
      <c r="G155" s="50"/>
      <c r="H155" s="51"/>
      <c r="I155" s="51"/>
      <c r="J155" s="51"/>
      <c r="K155" s="51"/>
      <c r="L155" s="50"/>
      <c r="M155" s="50"/>
      <c r="N155" s="50"/>
      <c r="O155" s="51"/>
      <c r="P155" s="50"/>
      <c r="Q155" s="50"/>
      <c r="R155" s="50"/>
      <c r="S155" s="50"/>
      <c r="T155" s="50"/>
    </row>
    <row r="156" spans="1:20" ht="25.5" customHeight="1" x14ac:dyDescent="0.2">
      <c r="A156" s="50"/>
      <c r="B156" s="50"/>
      <c r="C156" s="50"/>
      <c r="D156" s="50"/>
      <c r="E156" s="51"/>
      <c r="F156" s="51"/>
      <c r="G156" s="50"/>
      <c r="H156" s="51"/>
      <c r="I156" s="51"/>
      <c r="J156" s="51"/>
      <c r="K156" s="51"/>
      <c r="L156" s="50"/>
      <c r="M156" s="50"/>
      <c r="N156" s="50"/>
      <c r="O156" s="51"/>
      <c r="P156" s="50"/>
      <c r="Q156" s="50"/>
      <c r="R156" s="50"/>
      <c r="S156" s="50"/>
      <c r="T156" s="50"/>
    </row>
    <row r="157" spans="1:20" ht="25.5" customHeight="1" x14ac:dyDescent="0.2">
      <c r="A157" s="50"/>
      <c r="B157" s="50"/>
      <c r="C157" s="50"/>
      <c r="D157" s="50"/>
      <c r="E157" s="51"/>
      <c r="F157" s="51"/>
      <c r="G157" s="50"/>
      <c r="H157" s="51"/>
      <c r="I157" s="51"/>
      <c r="J157" s="51"/>
      <c r="K157" s="51"/>
      <c r="L157" s="50"/>
      <c r="M157" s="50"/>
      <c r="N157" s="50"/>
      <c r="O157" s="51"/>
      <c r="P157" s="50"/>
      <c r="Q157" s="50"/>
      <c r="R157" s="50"/>
      <c r="S157" s="50"/>
      <c r="T157" s="50"/>
    </row>
    <row r="158" spans="1:20" ht="25.5" customHeight="1" x14ac:dyDescent="0.2">
      <c r="A158" s="50"/>
      <c r="B158" s="50"/>
      <c r="C158" s="50"/>
      <c r="D158" s="50"/>
      <c r="E158" s="51"/>
      <c r="F158" s="51"/>
      <c r="G158" s="50"/>
      <c r="H158" s="51"/>
      <c r="I158" s="51"/>
      <c r="J158" s="51"/>
      <c r="K158" s="51"/>
      <c r="L158" s="50"/>
      <c r="M158" s="50"/>
      <c r="N158" s="50"/>
      <c r="O158" s="51"/>
      <c r="P158" s="50"/>
      <c r="Q158" s="50"/>
      <c r="R158" s="50"/>
      <c r="S158" s="50"/>
      <c r="T158" s="50"/>
    </row>
    <row r="159" spans="1:20" ht="25.5" customHeight="1" x14ac:dyDescent="0.2">
      <c r="A159" s="50"/>
      <c r="B159" s="50"/>
      <c r="C159" s="50"/>
      <c r="D159" s="50"/>
      <c r="E159" s="51"/>
      <c r="F159" s="51"/>
      <c r="G159" s="50"/>
      <c r="H159" s="51"/>
      <c r="I159" s="51"/>
      <c r="J159" s="51"/>
      <c r="K159" s="51"/>
      <c r="L159" s="50"/>
      <c r="M159" s="50"/>
      <c r="N159" s="50"/>
      <c r="O159" s="51"/>
      <c r="P159" s="50"/>
      <c r="Q159" s="50"/>
      <c r="R159" s="50"/>
      <c r="S159" s="50"/>
      <c r="T159" s="50"/>
    </row>
    <row r="160" spans="1:20" ht="25.5" customHeight="1" x14ac:dyDescent="0.2">
      <c r="A160" s="50"/>
      <c r="B160" s="50"/>
      <c r="C160" s="50"/>
      <c r="D160" s="50"/>
      <c r="E160" s="51"/>
      <c r="F160" s="51"/>
      <c r="G160" s="50"/>
      <c r="H160" s="51"/>
      <c r="I160" s="51"/>
      <c r="J160" s="51"/>
      <c r="K160" s="51"/>
      <c r="L160" s="50"/>
      <c r="M160" s="50"/>
      <c r="N160" s="50"/>
      <c r="O160" s="51"/>
      <c r="P160" s="50"/>
      <c r="Q160" s="50"/>
      <c r="R160" s="50"/>
      <c r="S160" s="50"/>
      <c r="T160" s="50"/>
    </row>
    <row r="161" spans="1:20" ht="25.5" customHeight="1" x14ac:dyDescent="0.2">
      <c r="A161" s="50"/>
      <c r="B161" s="50"/>
      <c r="C161" s="50"/>
      <c r="D161" s="50"/>
      <c r="E161" s="51"/>
      <c r="F161" s="51"/>
      <c r="G161" s="50"/>
      <c r="H161" s="51"/>
      <c r="I161" s="51"/>
      <c r="J161" s="51"/>
      <c r="K161" s="51"/>
      <c r="L161" s="50"/>
      <c r="M161" s="50"/>
      <c r="N161" s="50"/>
      <c r="O161" s="51"/>
      <c r="P161" s="50"/>
      <c r="Q161" s="50"/>
      <c r="R161" s="50"/>
      <c r="S161" s="50"/>
      <c r="T161" s="50"/>
    </row>
    <row r="162" spans="1:20" ht="25.5" customHeight="1" x14ac:dyDescent="0.2">
      <c r="A162" s="50"/>
      <c r="B162" s="50"/>
      <c r="C162" s="50"/>
      <c r="D162" s="50"/>
      <c r="E162" s="51"/>
      <c r="F162" s="51"/>
      <c r="G162" s="50"/>
      <c r="H162" s="51"/>
      <c r="I162" s="51"/>
      <c r="J162" s="51"/>
      <c r="K162" s="51"/>
      <c r="L162" s="50"/>
      <c r="M162" s="50"/>
      <c r="N162" s="50"/>
      <c r="O162" s="51"/>
      <c r="P162" s="50"/>
      <c r="Q162" s="50"/>
      <c r="R162" s="50"/>
      <c r="S162" s="50"/>
      <c r="T162" s="50"/>
    </row>
    <row r="163" spans="1:20" ht="25.5" customHeight="1" x14ac:dyDescent="0.2">
      <c r="A163" s="50"/>
      <c r="B163" s="50"/>
      <c r="C163" s="50"/>
      <c r="D163" s="50"/>
      <c r="E163" s="51"/>
      <c r="F163" s="51"/>
      <c r="G163" s="50"/>
      <c r="H163" s="51"/>
      <c r="I163" s="51"/>
      <c r="J163" s="51"/>
      <c r="K163" s="51"/>
      <c r="L163" s="50"/>
      <c r="M163" s="50"/>
      <c r="N163" s="50"/>
      <c r="O163" s="51"/>
      <c r="P163" s="50"/>
      <c r="Q163" s="50"/>
      <c r="R163" s="50"/>
      <c r="S163" s="50"/>
      <c r="T163" s="50"/>
    </row>
    <row r="164" spans="1:20" ht="25.5" customHeight="1" x14ac:dyDescent="0.2">
      <c r="A164" s="50"/>
      <c r="B164" s="50"/>
      <c r="C164" s="50"/>
      <c r="D164" s="50"/>
      <c r="E164" s="51"/>
      <c r="F164" s="51"/>
      <c r="G164" s="50"/>
      <c r="H164" s="51"/>
      <c r="I164" s="51"/>
      <c r="J164" s="51"/>
      <c r="K164" s="51"/>
      <c r="L164" s="50"/>
      <c r="M164" s="50"/>
      <c r="N164" s="50"/>
      <c r="O164" s="51"/>
      <c r="P164" s="50"/>
      <c r="Q164" s="50"/>
      <c r="R164" s="50"/>
      <c r="S164" s="50"/>
      <c r="T164" s="50"/>
    </row>
    <row r="165" spans="1:20" ht="25.5" customHeight="1" x14ac:dyDescent="0.2">
      <c r="A165" s="50"/>
      <c r="B165" s="50"/>
      <c r="C165" s="50"/>
      <c r="D165" s="50"/>
      <c r="E165" s="51"/>
      <c r="F165" s="51"/>
      <c r="G165" s="50"/>
      <c r="H165" s="51"/>
      <c r="I165" s="51"/>
      <c r="J165" s="51"/>
      <c r="K165" s="51"/>
      <c r="L165" s="50"/>
      <c r="M165" s="50"/>
      <c r="N165" s="50"/>
      <c r="O165" s="51"/>
      <c r="P165" s="50"/>
      <c r="Q165" s="50"/>
      <c r="R165" s="50"/>
      <c r="S165" s="50"/>
      <c r="T165" s="50"/>
    </row>
    <row r="166" spans="1:20" ht="25.5" customHeight="1" x14ac:dyDescent="0.2">
      <c r="A166" s="50"/>
      <c r="B166" s="50"/>
      <c r="C166" s="50"/>
      <c r="D166" s="50"/>
      <c r="E166" s="51"/>
      <c r="F166" s="51"/>
      <c r="G166" s="50"/>
      <c r="H166" s="51"/>
      <c r="I166" s="51"/>
      <c r="J166" s="51"/>
      <c r="K166" s="51"/>
      <c r="L166" s="50"/>
      <c r="M166" s="50"/>
      <c r="N166" s="50"/>
      <c r="O166" s="51"/>
      <c r="P166" s="50"/>
      <c r="Q166" s="50"/>
      <c r="R166" s="50"/>
      <c r="S166" s="50"/>
      <c r="T166" s="50"/>
    </row>
    <row r="167" spans="1:20" ht="25.5" customHeight="1" x14ac:dyDescent="0.2">
      <c r="A167" s="50"/>
      <c r="B167" s="50"/>
      <c r="C167" s="50"/>
      <c r="D167" s="50"/>
      <c r="E167" s="51"/>
      <c r="F167" s="51"/>
      <c r="G167" s="50"/>
      <c r="H167" s="51"/>
      <c r="I167" s="51"/>
      <c r="J167" s="51"/>
      <c r="K167" s="51"/>
      <c r="L167" s="50"/>
      <c r="M167" s="50"/>
      <c r="N167" s="50"/>
      <c r="O167" s="51"/>
      <c r="P167" s="50"/>
      <c r="Q167" s="50"/>
      <c r="R167" s="50"/>
      <c r="S167" s="50"/>
      <c r="T167" s="50"/>
    </row>
    <row r="168" spans="1:20" ht="25.5" customHeight="1" x14ac:dyDescent="0.2">
      <c r="A168" s="50"/>
      <c r="B168" s="50"/>
      <c r="C168" s="50"/>
      <c r="D168" s="50"/>
      <c r="E168" s="51"/>
      <c r="F168" s="51"/>
      <c r="G168" s="50"/>
      <c r="H168" s="51"/>
      <c r="I168" s="51"/>
      <c r="J168" s="51"/>
      <c r="K168" s="51"/>
      <c r="L168" s="50"/>
      <c r="M168" s="50"/>
      <c r="N168" s="50"/>
      <c r="O168" s="51"/>
      <c r="P168" s="50"/>
      <c r="Q168" s="50"/>
      <c r="R168" s="50"/>
      <c r="S168" s="50"/>
      <c r="T168" s="50"/>
    </row>
    <row r="169" spans="1:20" ht="25.5" customHeight="1" x14ac:dyDescent="0.2">
      <c r="A169" s="50"/>
      <c r="B169" s="50"/>
      <c r="C169" s="50"/>
      <c r="D169" s="50"/>
      <c r="E169" s="51"/>
      <c r="F169" s="51"/>
      <c r="G169" s="50"/>
      <c r="H169" s="51"/>
      <c r="I169" s="51"/>
      <c r="J169" s="51"/>
      <c r="K169" s="51"/>
      <c r="L169" s="50"/>
      <c r="M169" s="50"/>
      <c r="N169" s="50"/>
      <c r="O169" s="51"/>
      <c r="P169" s="50"/>
      <c r="Q169" s="50"/>
      <c r="R169" s="50"/>
      <c r="S169" s="50"/>
      <c r="T169" s="50"/>
    </row>
    <row r="170" spans="1:20" ht="25.5" customHeight="1" x14ac:dyDescent="0.2">
      <c r="A170" s="50"/>
      <c r="B170" s="50"/>
      <c r="C170" s="50"/>
      <c r="D170" s="50"/>
      <c r="E170" s="51"/>
      <c r="F170" s="51"/>
      <c r="G170" s="50"/>
      <c r="H170" s="51"/>
      <c r="I170" s="51"/>
      <c r="J170" s="51"/>
      <c r="K170" s="51"/>
      <c r="L170" s="50"/>
      <c r="M170" s="50"/>
      <c r="N170" s="50"/>
      <c r="O170" s="51"/>
      <c r="P170" s="50"/>
      <c r="Q170" s="50"/>
      <c r="R170" s="50"/>
      <c r="S170" s="50"/>
      <c r="T170" s="50"/>
    </row>
    <row r="171" spans="1:20" ht="25.5" customHeight="1" x14ac:dyDescent="0.2">
      <c r="A171" s="50"/>
      <c r="B171" s="50"/>
      <c r="C171" s="50"/>
      <c r="D171" s="50"/>
      <c r="E171" s="51"/>
      <c r="F171" s="51"/>
      <c r="G171" s="50"/>
      <c r="H171" s="51"/>
      <c r="I171" s="51"/>
      <c r="J171" s="51"/>
      <c r="K171" s="51"/>
      <c r="L171" s="50"/>
      <c r="M171" s="50"/>
      <c r="N171" s="50"/>
      <c r="O171" s="51"/>
      <c r="P171" s="50"/>
      <c r="Q171" s="50"/>
      <c r="R171" s="50"/>
      <c r="S171" s="50"/>
      <c r="T171" s="50"/>
    </row>
    <row r="172" spans="1:20" ht="25.5" customHeight="1" x14ac:dyDescent="0.2">
      <c r="A172" s="50"/>
      <c r="B172" s="50"/>
      <c r="C172" s="50"/>
      <c r="D172" s="50"/>
      <c r="E172" s="51"/>
      <c r="F172" s="51"/>
      <c r="G172" s="50"/>
      <c r="H172" s="51"/>
      <c r="I172" s="51"/>
      <c r="J172" s="51"/>
      <c r="K172" s="51"/>
      <c r="L172" s="50"/>
      <c r="M172" s="50"/>
      <c r="N172" s="50"/>
      <c r="O172" s="51"/>
      <c r="P172" s="50"/>
      <c r="Q172" s="50"/>
      <c r="R172" s="50"/>
      <c r="S172" s="50"/>
      <c r="T172" s="50"/>
    </row>
    <row r="173" spans="1:20" ht="25.5" customHeight="1" x14ac:dyDescent="0.2">
      <c r="A173" s="50"/>
      <c r="B173" s="50"/>
      <c r="C173" s="50"/>
      <c r="D173" s="50"/>
      <c r="E173" s="51"/>
      <c r="F173" s="51"/>
      <c r="G173" s="50"/>
      <c r="H173" s="51"/>
      <c r="I173" s="51"/>
      <c r="J173" s="51"/>
      <c r="K173" s="51"/>
      <c r="L173" s="50"/>
      <c r="M173" s="50"/>
      <c r="N173" s="50"/>
      <c r="O173" s="51"/>
      <c r="P173" s="50"/>
      <c r="Q173" s="50"/>
      <c r="R173" s="50"/>
      <c r="S173" s="50"/>
      <c r="T173" s="50"/>
    </row>
    <row r="174" spans="1:20" ht="25.5" customHeight="1" x14ac:dyDescent="0.2">
      <c r="A174" s="50"/>
      <c r="B174" s="50"/>
      <c r="C174" s="50"/>
      <c r="D174" s="50"/>
      <c r="E174" s="51"/>
      <c r="F174" s="51"/>
      <c r="G174" s="50"/>
      <c r="H174" s="51"/>
      <c r="I174" s="51"/>
      <c r="J174" s="51"/>
      <c r="K174" s="51"/>
      <c r="L174" s="50"/>
      <c r="M174" s="50"/>
      <c r="N174" s="50"/>
      <c r="O174" s="51"/>
      <c r="P174" s="50"/>
      <c r="Q174" s="50"/>
      <c r="R174" s="50"/>
      <c r="S174" s="50"/>
      <c r="T174" s="50"/>
    </row>
    <row r="175" spans="1:20" ht="25.5" customHeight="1" x14ac:dyDescent="0.2">
      <c r="A175" s="50"/>
      <c r="B175" s="50"/>
      <c r="C175" s="50"/>
      <c r="D175" s="50"/>
      <c r="E175" s="51"/>
      <c r="F175" s="51"/>
      <c r="G175" s="50"/>
      <c r="H175" s="51"/>
      <c r="I175" s="51"/>
      <c r="J175" s="51"/>
      <c r="K175" s="51"/>
      <c r="L175" s="50"/>
      <c r="M175" s="50"/>
      <c r="N175" s="50"/>
      <c r="O175" s="51"/>
      <c r="P175" s="50"/>
      <c r="Q175" s="50"/>
      <c r="R175" s="50"/>
      <c r="S175" s="50"/>
      <c r="T175" s="50"/>
    </row>
    <row r="176" spans="1:20" ht="25.5" customHeight="1" x14ac:dyDescent="0.2">
      <c r="A176" s="50"/>
      <c r="B176" s="50"/>
      <c r="C176" s="50"/>
      <c r="D176" s="50"/>
      <c r="E176" s="51"/>
      <c r="F176" s="51"/>
      <c r="G176" s="50"/>
      <c r="H176" s="51"/>
      <c r="I176" s="51"/>
      <c r="J176" s="51"/>
      <c r="K176" s="51"/>
      <c r="L176" s="50"/>
      <c r="M176" s="50"/>
      <c r="N176" s="50"/>
      <c r="O176" s="51"/>
      <c r="P176" s="50"/>
      <c r="Q176" s="50"/>
      <c r="R176" s="50"/>
      <c r="S176" s="50"/>
      <c r="T176" s="50"/>
    </row>
    <row r="177" spans="1:20" ht="25.5" customHeight="1" x14ac:dyDescent="0.2">
      <c r="A177" s="50"/>
      <c r="B177" s="50"/>
      <c r="C177" s="50"/>
      <c r="D177" s="50"/>
      <c r="E177" s="51"/>
      <c r="F177" s="51"/>
      <c r="G177" s="50"/>
      <c r="H177" s="51"/>
      <c r="I177" s="51"/>
      <c r="J177" s="51"/>
      <c r="K177" s="51"/>
      <c r="L177" s="50"/>
      <c r="M177" s="50"/>
      <c r="N177" s="50"/>
      <c r="O177" s="51"/>
      <c r="P177" s="50"/>
      <c r="Q177" s="50"/>
      <c r="R177" s="50"/>
      <c r="S177" s="50"/>
      <c r="T177" s="50"/>
    </row>
    <row r="178" spans="1:20" ht="25.5" customHeight="1" x14ac:dyDescent="0.2">
      <c r="A178" s="50"/>
      <c r="B178" s="50"/>
      <c r="C178" s="50"/>
      <c r="D178" s="50"/>
      <c r="E178" s="51"/>
      <c r="F178" s="51"/>
      <c r="G178" s="50"/>
      <c r="H178" s="51"/>
      <c r="I178" s="51"/>
      <c r="J178" s="51"/>
      <c r="K178" s="51"/>
      <c r="L178" s="50"/>
      <c r="M178" s="50"/>
      <c r="N178" s="50"/>
      <c r="O178" s="51"/>
      <c r="P178" s="50"/>
      <c r="Q178" s="50"/>
      <c r="R178" s="50"/>
      <c r="S178" s="50"/>
      <c r="T178" s="50"/>
    </row>
    <row r="179" spans="1:20" ht="25.5" customHeight="1" x14ac:dyDescent="0.2">
      <c r="A179" s="50"/>
      <c r="B179" s="50"/>
      <c r="C179" s="50"/>
      <c r="D179" s="50"/>
      <c r="E179" s="51"/>
      <c r="F179" s="51"/>
      <c r="G179" s="50"/>
      <c r="H179" s="51"/>
      <c r="I179" s="51"/>
      <c r="J179" s="51"/>
      <c r="K179" s="51"/>
      <c r="L179" s="50"/>
      <c r="M179" s="50"/>
      <c r="N179" s="50"/>
      <c r="O179" s="51"/>
      <c r="P179" s="50"/>
      <c r="Q179" s="50"/>
      <c r="R179" s="50"/>
      <c r="S179" s="50"/>
      <c r="T179" s="50"/>
    </row>
    <row r="180" spans="1:20" ht="25.5" customHeight="1" x14ac:dyDescent="0.2">
      <c r="A180" s="50"/>
      <c r="B180" s="50"/>
      <c r="C180" s="50"/>
      <c r="D180" s="50"/>
      <c r="E180" s="51"/>
      <c r="F180" s="51"/>
      <c r="G180" s="50"/>
      <c r="H180" s="51"/>
      <c r="I180" s="51"/>
      <c r="J180" s="51"/>
      <c r="K180" s="51"/>
      <c r="L180" s="50"/>
      <c r="M180" s="50"/>
      <c r="N180" s="50"/>
      <c r="O180" s="51"/>
      <c r="P180" s="50"/>
      <c r="Q180" s="50"/>
      <c r="R180" s="50"/>
      <c r="S180" s="50"/>
      <c r="T180" s="50"/>
    </row>
    <row r="181" spans="1:20" ht="25.5" customHeight="1" x14ac:dyDescent="0.2">
      <c r="A181" s="50"/>
      <c r="B181" s="50"/>
      <c r="C181" s="50"/>
      <c r="D181" s="50"/>
      <c r="E181" s="51"/>
      <c r="F181" s="51"/>
      <c r="G181" s="50"/>
      <c r="H181" s="51"/>
      <c r="I181" s="51"/>
      <c r="J181" s="51"/>
      <c r="K181" s="51"/>
      <c r="L181" s="50"/>
      <c r="M181" s="50"/>
      <c r="N181" s="50"/>
      <c r="O181" s="51"/>
      <c r="P181" s="50"/>
      <c r="Q181" s="50"/>
      <c r="R181" s="50"/>
      <c r="S181" s="50"/>
      <c r="T181" s="50"/>
    </row>
    <row r="182" spans="1:20" ht="25.5" customHeight="1" x14ac:dyDescent="0.2">
      <c r="A182" s="50"/>
      <c r="B182" s="50"/>
      <c r="C182" s="50"/>
      <c r="D182" s="50"/>
      <c r="E182" s="51"/>
      <c r="F182" s="51"/>
      <c r="G182" s="50"/>
      <c r="H182" s="51"/>
      <c r="I182" s="51"/>
      <c r="J182" s="51"/>
      <c r="K182" s="51"/>
      <c r="L182" s="50"/>
      <c r="M182" s="50"/>
      <c r="N182" s="50"/>
      <c r="O182" s="51"/>
      <c r="P182" s="50"/>
      <c r="Q182" s="50"/>
      <c r="R182" s="50"/>
      <c r="S182" s="50"/>
      <c r="T182" s="50"/>
    </row>
    <row r="183" spans="1:20" ht="25.5" customHeight="1" x14ac:dyDescent="0.2">
      <c r="A183" s="50"/>
      <c r="B183" s="50"/>
      <c r="C183" s="50"/>
      <c r="D183" s="50"/>
      <c r="E183" s="51"/>
      <c r="F183" s="51"/>
      <c r="G183" s="50"/>
      <c r="H183" s="51"/>
      <c r="I183" s="51"/>
      <c r="J183" s="51"/>
      <c r="K183" s="51"/>
      <c r="L183" s="50"/>
      <c r="M183" s="50"/>
      <c r="N183" s="50"/>
      <c r="O183" s="51"/>
      <c r="P183" s="50"/>
      <c r="Q183" s="50"/>
      <c r="R183" s="50"/>
      <c r="S183" s="50"/>
      <c r="T183" s="50"/>
    </row>
    <row r="184" spans="1:20" ht="25.5" customHeight="1" x14ac:dyDescent="0.2">
      <c r="A184" s="50"/>
      <c r="B184" s="50"/>
      <c r="C184" s="50"/>
      <c r="D184" s="50"/>
      <c r="E184" s="51"/>
      <c r="F184" s="51"/>
      <c r="G184" s="50"/>
      <c r="H184" s="51"/>
      <c r="I184" s="51"/>
      <c r="J184" s="51"/>
      <c r="K184" s="51"/>
      <c r="L184" s="50"/>
      <c r="M184" s="50"/>
      <c r="N184" s="50"/>
      <c r="O184" s="51"/>
      <c r="P184" s="50"/>
      <c r="Q184" s="50"/>
      <c r="R184" s="50"/>
      <c r="S184" s="50"/>
      <c r="T184" s="50"/>
    </row>
    <row r="185" spans="1:20" ht="25.5" customHeight="1" x14ac:dyDescent="0.2">
      <c r="A185" s="50"/>
      <c r="B185" s="50"/>
      <c r="C185" s="50"/>
      <c r="D185" s="50"/>
      <c r="E185" s="51"/>
      <c r="F185" s="51"/>
      <c r="G185" s="50"/>
      <c r="H185" s="51"/>
      <c r="I185" s="51"/>
      <c r="J185" s="51"/>
      <c r="K185" s="51"/>
      <c r="L185" s="50"/>
      <c r="M185" s="50"/>
      <c r="N185" s="50"/>
      <c r="O185" s="51"/>
      <c r="P185" s="50"/>
      <c r="Q185" s="50"/>
      <c r="R185" s="50"/>
      <c r="S185" s="50"/>
      <c r="T185" s="50"/>
    </row>
    <row r="186" spans="1:20" ht="25.5" customHeight="1" x14ac:dyDescent="0.2">
      <c r="A186" s="50"/>
      <c r="B186" s="50"/>
      <c r="C186" s="50"/>
      <c r="D186" s="50"/>
      <c r="E186" s="51"/>
      <c r="F186" s="51"/>
      <c r="G186" s="50"/>
      <c r="H186" s="51"/>
      <c r="I186" s="51"/>
      <c r="J186" s="51"/>
      <c r="K186" s="51"/>
      <c r="L186" s="50"/>
      <c r="M186" s="50"/>
      <c r="N186" s="50"/>
      <c r="O186" s="51"/>
      <c r="P186" s="50"/>
      <c r="Q186" s="50"/>
      <c r="R186" s="50"/>
      <c r="S186" s="50"/>
      <c r="T186" s="50"/>
    </row>
    <row r="187" spans="1:20" ht="25.5" customHeight="1" x14ac:dyDescent="0.2">
      <c r="A187" s="50"/>
      <c r="B187" s="50"/>
      <c r="C187" s="50"/>
      <c r="D187" s="50"/>
      <c r="E187" s="51"/>
      <c r="F187" s="51"/>
      <c r="G187" s="50"/>
      <c r="H187" s="51"/>
      <c r="I187" s="51"/>
      <c r="J187" s="51"/>
      <c r="K187" s="51"/>
      <c r="L187" s="50"/>
      <c r="M187" s="50"/>
      <c r="N187" s="50"/>
      <c r="O187" s="51"/>
      <c r="P187" s="50"/>
      <c r="Q187" s="50"/>
      <c r="R187" s="50"/>
      <c r="S187" s="50"/>
      <c r="T187" s="50"/>
    </row>
    <row r="188" spans="1:20" ht="25.5" customHeight="1" x14ac:dyDescent="0.2">
      <c r="A188" s="50"/>
      <c r="B188" s="50"/>
      <c r="C188" s="50"/>
      <c r="D188" s="50"/>
      <c r="E188" s="51"/>
      <c r="F188" s="51"/>
      <c r="G188" s="50"/>
      <c r="H188" s="51"/>
      <c r="I188" s="51"/>
      <c r="J188" s="51"/>
      <c r="K188" s="51"/>
      <c r="L188" s="50"/>
      <c r="M188" s="50"/>
      <c r="N188" s="50"/>
      <c r="O188" s="51"/>
      <c r="P188" s="50"/>
      <c r="Q188" s="50"/>
      <c r="R188" s="50"/>
      <c r="S188" s="50"/>
      <c r="T188" s="50"/>
    </row>
    <row r="189" spans="1:20" ht="25.5" customHeight="1" x14ac:dyDescent="0.2">
      <c r="A189" s="50"/>
      <c r="B189" s="50"/>
      <c r="C189" s="50"/>
      <c r="D189" s="50"/>
      <c r="E189" s="51"/>
      <c r="F189" s="51"/>
      <c r="G189" s="50"/>
      <c r="H189" s="51"/>
      <c r="I189" s="51"/>
      <c r="J189" s="51"/>
      <c r="K189" s="51"/>
      <c r="L189" s="50"/>
      <c r="M189" s="50"/>
      <c r="N189" s="50"/>
      <c r="O189" s="51"/>
      <c r="P189" s="50"/>
      <c r="Q189" s="50"/>
      <c r="R189" s="50"/>
      <c r="S189" s="50"/>
      <c r="T189" s="50"/>
    </row>
    <row r="190" spans="1:20" ht="25.5" customHeight="1" x14ac:dyDescent="0.2">
      <c r="A190" s="50"/>
      <c r="B190" s="50"/>
      <c r="C190" s="50"/>
      <c r="D190" s="50"/>
      <c r="E190" s="51"/>
      <c r="F190" s="51"/>
      <c r="G190" s="50"/>
      <c r="H190" s="51"/>
      <c r="I190" s="51"/>
      <c r="J190" s="51"/>
      <c r="K190" s="51"/>
      <c r="L190" s="50"/>
      <c r="M190" s="50"/>
      <c r="N190" s="50"/>
      <c r="O190" s="51"/>
      <c r="P190" s="50"/>
      <c r="Q190" s="50"/>
      <c r="R190" s="50"/>
      <c r="S190" s="50"/>
      <c r="T190" s="50"/>
    </row>
    <row r="191" spans="1:20" ht="25.5" customHeight="1" x14ac:dyDescent="0.2">
      <c r="A191" s="50"/>
      <c r="B191" s="50"/>
      <c r="C191" s="50"/>
      <c r="D191" s="50"/>
      <c r="E191" s="51"/>
      <c r="F191" s="51"/>
      <c r="G191" s="50"/>
      <c r="H191" s="51"/>
      <c r="I191" s="51"/>
      <c r="J191" s="51"/>
      <c r="K191" s="51"/>
      <c r="L191" s="50"/>
      <c r="M191" s="50"/>
      <c r="N191" s="50"/>
      <c r="O191" s="51"/>
      <c r="P191" s="50"/>
      <c r="Q191" s="50"/>
      <c r="R191" s="50"/>
      <c r="S191" s="50"/>
      <c r="T191" s="50"/>
    </row>
    <row r="192" spans="1:20" ht="25.5" customHeight="1" x14ac:dyDescent="0.2">
      <c r="A192" s="50"/>
      <c r="B192" s="50"/>
      <c r="C192" s="50"/>
      <c r="D192" s="50"/>
      <c r="E192" s="51"/>
      <c r="F192" s="51"/>
      <c r="G192" s="50"/>
      <c r="H192" s="51"/>
      <c r="I192" s="51"/>
      <c r="J192" s="51"/>
      <c r="K192" s="51"/>
      <c r="L192" s="50"/>
      <c r="M192" s="50"/>
      <c r="N192" s="50"/>
      <c r="O192" s="51"/>
      <c r="P192" s="50"/>
      <c r="Q192" s="50"/>
      <c r="R192" s="50"/>
      <c r="S192" s="50"/>
      <c r="T192" s="50"/>
    </row>
    <row r="193" spans="1:20" ht="25.5" customHeight="1" x14ac:dyDescent="0.2">
      <c r="A193" s="50"/>
      <c r="B193" s="50"/>
      <c r="C193" s="50"/>
      <c r="D193" s="50"/>
      <c r="E193" s="51"/>
      <c r="F193" s="51"/>
      <c r="G193" s="50"/>
      <c r="H193" s="51"/>
      <c r="I193" s="51"/>
      <c r="J193" s="51"/>
      <c r="K193" s="51"/>
      <c r="L193" s="50"/>
      <c r="M193" s="50"/>
      <c r="N193" s="50"/>
      <c r="O193" s="51"/>
      <c r="P193" s="50"/>
      <c r="Q193" s="50"/>
      <c r="R193" s="50"/>
      <c r="S193" s="50"/>
      <c r="T193" s="50"/>
    </row>
    <row r="194" spans="1:20" ht="25.5" customHeight="1" x14ac:dyDescent="0.2">
      <c r="A194" s="50"/>
      <c r="B194" s="50"/>
      <c r="C194" s="50"/>
      <c r="D194" s="50"/>
      <c r="E194" s="51"/>
      <c r="F194" s="51"/>
      <c r="G194" s="50"/>
      <c r="H194" s="51"/>
      <c r="I194" s="51"/>
      <c r="J194" s="51"/>
      <c r="K194" s="51"/>
      <c r="L194" s="50"/>
      <c r="M194" s="50"/>
      <c r="N194" s="50"/>
      <c r="O194" s="51"/>
      <c r="P194" s="50"/>
      <c r="Q194" s="50"/>
      <c r="R194" s="50"/>
      <c r="S194" s="50"/>
      <c r="T194" s="50"/>
    </row>
    <row r="195" spans="1:20" ht="25.5" customHeight="1" x14ac:dyDescent="0.2">
      <c r="A195" s="50"/>
      <c r="B195" s="50"/>
      <c r="C195" s="50"/>
      <c r="D195" s="50"/>
      <c r="E195" s="51"/>
      <c r="F195" s="51"/>
      <c r="G195" s="50"/>
      <c r="H195" s="51"/>
      <c r="I195" s="51"/>
      <c r="J195" s="51"/>
      <c r="K195" s="51"/>
      <c r="L195" s="50"/>
      <c r="M195" s="50"/>
      <c r="N195" s="50"/>
      <c r="O195" s="51"/>
      <c r="P195" s="50"/>
      <c r="Q195" s="50"/>
      <c r="R195" s="50"/>
      <c r="S195" s="50"/>
      <c r="T195" s="50"/>
    </row>
    <row r="196" spans="1:20" ht="25.5" customHeight="1" x14ac:dyDescent="0.2">
      <c r="A196" s="50"/>
      <c r="B196" s="50"/>
      <c r="C196" s="50"/>
      <c r="D196" s="50"/>
      <c r="E196" s="51"/>
      <c r="F196" s="51"/>
      <c r="G196" s="50"/>
      <c r="H196" s="51"/>
      <c r="I196" s="51"/>
      <c r="J196" s="51"/>
      <c r="K196" s="51"/>
      <c r="L196" s="50"/>
      <c r="M196" s="50"/>
      <c r="N196" s="50"/>
      <c r="O196" s="51"/>
      <c r="P196" s="50"/>
      <c r="Q196" s="50"/>
      <c r="R196" s="50"/>
      <c r="S196" s="50"/>
      <c r="T196" s="50"/>
    </row>
    <row r="197" spans="1:20" ht="25.5" customHeight="1" x14ac:dyDescent="0.2">
      <c r="A197" s="50"/>
      <c r="B197" s="50"/>
      <c r="C197" s="50"/>
      <c r="D197" s="50"/>
      <c r="E197" s="51"/>
      <c r="F197" s="51"/>
      <c r="G197" s="50"/>
      <c r="H197" s="51"/>
      <c r="I197" s="51"/>
      <c r="J197" s="51"/>
      <c r="K197" s="51"/>
      <c r="L197" s="50"/>
      <c r="M197" s="50"/>
      <c r="N197" s="50"/>
      <c r="O197" s="51"/>
      <c r="P197" s="50"/>
      <c r="Q197" s="50"/>
      <c r="R197" s="50"/>
      <c r="S197" s="50"/>
      <c r="T197" s="50"/>
    </row>
    <row r="198" spans="1:20" ht="25.5" customHeight="1" x14ac:dyDescent="0.2">
      <c r="A198" s="50"/>
      <c r="B198" s="50"/>
      <c r="C198" s="50"/>
      <c r="D198" s="50"/>
      <c r="E198" s="51"/>
      <c r="F198" s="51"/>
      <c r="G198" s="50"/>
      <c r="H198" s="51"/>
      <c r="I198" s="51"/>
      <c r="J198" s="51"/>
      <c r="K198" s="51"/>
      <c r="L198" s="50"/>
      <c r="M198" s="50"/>
      <c r="N198" s="50"/>
      <c r="O198" s="51"/>
      <c r="P198" s="50"/>
      <c r="Q198" s="50"/>
      <c r="R198" s="50"/>
      <c r="S198" s="50"/>
      <c r="T198" s="50"/>
    </row>
    <row r="199" spans="1:20" ht="25.5" customHeight="1" x14ac:dyDescent="0.2">
      <c r="A199" s="50"/>
      <c r="B199" s="50"/>
      <c r="C199" s="50"/>
      <c r="D199" s="50"/>
      <c r="E199" s="51"/>
      <c r="F199" s="51"/>
      <c r="G199" s="50"/>
      <c r="H199" s="51"/>
      <c r="I199" s="51"/>
      <c r="J199" s="51"/>
      <c r="K199" s="51"/>
      <c r="L199" s="50"/>
      <c r="M199" s="50"/>
      <c r="N199" s="50"/>
      <c r="O199" s="51"/>
      <c r="P199" s="50"/>
      <c r="Q199" s="50"/>
      <c r="R199" s="50"/>
      <c r="S199" s="50"/>
      <c r="T199" s="50"/>
    </row>
    <row r="200" spans="1:20" ht="25.5" customHeight="1" x14ac:dyDescent="0.2">
      <c r="A200" s="50"/>
      <c r="B200" s="50"/>
      <c r="C200" s="50"/>
      <c r="D200" s="50"/>
      <c r="E200" s="51"/>
      <c r="F200" s="51"/>
      <c r="G200" s="50"/>
      <c r="H200" s="51"/>
      <c r="I200" s="51"/>
      <c r="J200" s="51"/>
      <c r="K200" s="51"/>
      <c r="L200" s="50"/>
      <c r="M200" s="50"/>
      <c r="N200" s="50"/>
      <c r="O200" s="51"/>
      <c r="P200" s="50"/>
      <c r="Q200" s="50"/>
      <c r="R200" s="50"/>
      <c r="S200" s="50"/>
      <c r="T200" s="50"/>
    </row>
    <row r="201" spans="1:20" ht="25.5" customHeight="1" x14ac:dyDescent="0.2">
      <c r="A201" s="50"/>
      <c r="B201" s="50"/>
      <c r="C201" s="50"/>
      <c r="D201" s="50"/>
      <c r="E201" s="51"/>
      <c r="F201" s="51"/>
      <c r="G201" s="50"/>
      <c r="H201" s="51"/>
      <c r="I201" s="51"/>
      <c r="J201" s="51"/>
      <c r="K201" s="51"/>
      <c r="L201" s="50"/>
      <c r="M201" s="50"/>
      <c r="N201" s="50"/>
      <c r="O201" s="51"/>
      <c r="P201" s="50"/>
      <c r="Q201" s="50"/>
      <c r="R201" s="50"/>
      <c r="S201" s="50"/>
      <c r="T201" s="50"/>
    </row>
    <row r="202" spans="1:20" ht="25.5" customHeight="1" x14ac:dyDescent="0.2">
      <c r="A202" s="50"/>
      <c r="B202" s="50"/>
      <c r="C202" s="50"/>
      <c r="D202" s="50"/>
      <c r="E202" s="51"/>
      <c r="F202" s="51"/>
      <c r="G202" s="50"/>
      <c r="H202" s="51"/>
      <c r="I202" s="51"/>
      <c r="J202" s="51"/>
      <c r="K202" s="51"/>
      <c r="L202" s="50"/>
      <c r="M202" s="50"/>
      <c r="N202" s="50"/>
      <c r="O202" s="51"/>
      <c r="P202" s="50"/>
      <c r="Q202" s="50"/>
      <c r="R202" s="50"/>
      <c r="S202" s="50"/>
      <c r="T202" s="50"/>
    </row>
    <row r="203" spans="1:20" ht="25.5" customHeight="1" x14ac:dyDescent="0.2">
      <c r="A203" s="50"/>
      <c r="B203" s="50"/>
      <c r="C203" s="50"/>
      <c r="D203" s="50"/>
      <c r="E203" s="51"/>
      <c r="F203" s="51"/>
      <c r="G203" s="50"/>
      <c r="H203" s="51"/>
      <c r="I203" s="51"/>
      <c r="J203" s="51"/>
      <c r="K203" s="51"/>
      <c r="L203" s="50"/>
      <c r="M203" s="50"/>
      <c r="N203" s="50"/>
      <c r="O203" s="51"/>
      <c r="P203" s="50"/>
      <c r="Q203" s="50"/>
      <c r="R203" s="50"/>
      <c r="S203" s="50"/>
      <c r="T203" s="50"/>
    </row>
    <row r="204" spans="1:20" ht="25.5" customHeight="1" x14ac:dyDescent="0.2">
      <c r="A204" s="50"/>
      <c r="B204" s="50"/>
      <c r="C204" s="50"/>
      <c r="D204" s="50"/>
      <c r="E204" s="51"/>
      <c r="F204" s="51"/>
      <c r="G204" s="50"/>
      <c r="H204" s="51"/>
      <c r="I204" s="51"/>
      <c r="J204" s="51"/>
      <c r="K204" s="51"/>
      <c r="L204" s="50"/>
      <c r="M204" s="50"/>
      <c r="N204" s="50"/>
      <c r="O204" s="51"/>
      <c r="P204" s="50"/>
      <c r="Q204" s="50"/>
      <c r="R204" s="50"/>
      <c r="S204" s="50"/>
      <c r="T204" s="50"/>
    </row>
    <row r="205" spans="1:20" ht="25.5" customHeight="1" x14ac:dyDescent="0.2">
      <c r="A205" s="50"/>
      <c r="B205" s="50"/>
      <c r="C205" s="50"/>
      <c r="D205" s="50"/>
      <c r="E205" s="51"/>
      <c r="F205" s="51"/>
      <c r="G205" s="50"/>
      <c r="H205" s="51"/>
      <c r="I205" s="51"/>
      <c r="J205" s="51"/>
      <c r="K205" s="51"/>
      <c r="L205" s="50"/>
      <c r="M205" s="50"/>
      <c r="N205" s="50"/>
      <c r="O205" s="51"/>
      <c r="P205" s="50"/>
      <c r="Q205" s="50"/>
      <c r="R205" s="50"/>
      <c r="S205" s="50"/>
      <c r="T205" s="50"/>
    </row>
    <row r="206" spans="1:20" ht="25.5" customHeight="1" x14ac:dyDescent="0.2">
      <c r="A206" s="50"/>
      <c r="B206" s="50"/>
      <c r="C206" s="50"/>
      <c r="D206" s="50"/>
      <c r="E206" s="51"/>
      <c r="F206" s="51"/>
      <c r="G206" s="50"/>
      <c r="H206" s="51"/>
      <c r="I206" s="51"/>
      <c r="J206" s="51"/>
      <c r="K206" s="51"/>
      <c r="L206" s="50"/>
      <c r="M206" s="50"/>
      <c r="N206" s="50"/>
      <c r="O206" s="51"/>
      <c r="P206" s="50"/>
      <c r="Q206" s="50"/>
      <c r="R206" s="50"/>
      <c r="S206" s="50"/>
      <c r="T206" s="50"/>
    </row>
    <row r="207" spans="1:20" ht="25.5" customHeight="1" x14ac:dyDescent="0.2">
      <c r="A207" s="50"/>
      <c r="B207" s="50"/>
      <c r="C207" s="50"/>
      <c r="D207" s="50"/>
      <c r="E207" s="51"/>
      <c r="F207" s="51"/>
      <c r="G207" s="50"/>
      <c r="H207" s="51"/>
      <c r="I207" s="51"/>
      <c r="J207" s="51"/>
      <c r="K207" s="51"/>
      <c r="L207" s="50"/>
      <c r="M207" s="50"/>
      <c r="N207" s="50"/>
      <c r="O207" s="51"/>
      <c r="P207" s="50"/>
      <c r="Q207" s="50"/>
      <c r="R207" s="50"/>
      <c r="S207" s="50"/>
      <c r="T207" s="50"/>
    </row>
    <row r="208" spans="1:20" ht="25.5" customHeight="1" x14ac:dyDescent="0.2">
      <c r="A208" s="50"/>
      <c r="B208" s="50"/>
      <c r="C208" s="50"/>
      <c r="D208" s="50"/>
      <c r="E208" s="51"/>
      <c r="F208" s="51"/>
      <c r="G208" s="50"/>
      <c r="H208" s="51"/>
      <c r="I208" s="51"/>
      <c r="J208" s="51"/>
      <c r="K208" s="51"/>
      <c r="L208" s="50"/>
      <c r="M208" s="50"/>
      <c r="N208" s="50"/>
      <c r="O208" s="51"/>
      <c r="P208" s="50"/>
      <c r="Q208" s="50"/>
      <c r="R208" s="50"/>
      <c r="S208" s="50"/>
      <c r="T208" s="50"/>
    </row>
    <row r="209" spans="1:20" ht="25.5" customHeight="1" x14ac:dyDescent="0.2">
      <c r="A209" s="50"/>
      <c r="B209" s="50"/>
      <c r="C209" s="50"/>
      <c r="D209" s="50"/>
      <c r="E209" s="51"/>
      <c r="F209" s="51"/>
      <c r="G209" s="50"/>
      <c r="H209" s="51"/>
      <c r="I209" s="51"/>
      <c r="J209" s="51"/>
      <c r="K209" s="51"/>
      <c r="L209" s="50"/>
      <c r="M209" s="50"/>
      <c r="N209" s="50"/>
      <c r="O209" s="51"/>
      <c r="P209" s="50"/>
      <c r="Q209" s="50"/>
      <c r="R209" s="50"/>
      <c r="S209" s="50"/>
      <c r="T209" s="50"/>
    </row>
    <row r="210" spans="1:20" ht="25.5" customHeight="1" x14ac:dyDescent="0.2">
      <c r="A210" s="50"/>
      <c r="B210" s="50"/>
      <c r="C210" s="50"/>
      <c r="D210" s="50"/>
      <c r="E210" s="51"/>
      <c r="F210" s="51"/>
      <c r="G210" s="50"/>
      <c r="H210" s="51"/>
      <c r="I210" s="51"/>
      <c r="J210" s="51"/>
      <c r="K210" s="51"/>
      <c r="L210" s="50"/>
      <c r="M210" s="50"/>
      <c r="N210" s="50"/>
      <c r="O210" s="51"/>
      <c r="P210" s="50"/>
      <c r="Q210" s="50"/>
      <c r="R210" s="50"/>
      <c r="S210" s="50"/>
      <c r="T210" s="50"/>
    </row>
    <row r="211" spans="1:20" ht="25.5" customHeight="1" x14ac:dyDescent="0.2">
      <c r="A211" s="50"/>
      <c r="B211" s="50"/>
      <c r="C211" s="50"/>
      <c r="D211" s="50"/>
      <c r="E211" s="51"/>
      <c r="F211" s="51"/>
      <c r="G211" s="50"/>
      <c r="H211" s="51"/>
      <c r="I211" s="51"/>
      <c r="J211" s="51"/>
      <c r="K211" s="51"/>
      <c r="L211" s="50"/>
      <c r="M211" s="50"/>
      <c r="N211" s="50"/>
      <c r="O211" s="51"/>
      <c r="P211" s="50"/>
      <c r="Q211" s="50"/>
      <c r="R211" s="50"/>
      <c r="S211" s="50"/>
      <c r="T211" s="50"/>
    </row>
    <row r="212" spans="1:20" ht="25.5" customHeight="1" x14ac:dyDescent="0.2">
      <c r="A212" s="50"/>
      <c r="B212" s="50"/>
      <c r="C212" s="50"/>
      <c r="D212" s="50"/>
      <c r="E212" s="51"/>
      <c r="F212" s="51"/>
      <c r="G212" s="50"/>
      <c r="H212" s="51"/>
      <c r="I212" s="51"/>
      <c r="J212" s="51"/>
      <c r="K212" s="51"/>
      <c r="L212" s="50"/>
      <c r="M212" s="50"/>
      <c r="N212" s="50"/>
      <c r="O212" s="51"/>
      <c r="P212" s="50"/>
      <c r="Q212" s="50"/>
      <c r="R212" s="50"/>
      <c r="S212" s="50"/>
      <c r="T212" s="50"/>
    </row>
    <row r="213" spans="1:20" ht="25.5" customHeight="1" x14ac:dyDescent="0.2">
      <c r="A213" s="50"/>
      <c r="B213" s="50"/>
      <c r="C213" s="50"/>
      <c r="D213" s="50"/>
      <c r="E213" s="51"/>
      <c r="F213" s="51"/>
      <c r="G213" s="50"/>
      <c r="H213" s="51"/>
      <c r="I213" s="51"/>
      <c r="J213" s="51"/>
      <c r="K213" s="51"/>
      <c r="L213" s="50"/>
      <c r="M213" s="50"/>
      <c r="N213" s="50"/>
      <c r="O213" s="51"/>
      <c r="P213" s="50"/>
      <c r="Q213" s="50"/>
      <c r="R213" s="50"/>
      <c r="S213" s="50"/>
      <c r="T213" s="50"/>
    </row>
    <row r="214" spans="1:20" ht="25.5" customHeight="1" x14ac:dyDescent="0.2">
      <c r="A214" s="50"/>
      <c r="B214" s="50"/>
      <c r="C214" s="50"/>
      <c r="D214" s="50"/>
      <c r="E214" s="51"/>
      <c r="F214" s="51"/>
      <c r="G214" s="50"/>
      <c r="H214" s="51"/>
      <c r="I214" s="51"/>
      <c r="J214" s="51"/>
      <c r="K214" s="51"/>
      <c r="L214" s="50"/>
      <c r="M214" s="50"/>
      <c r="N214" s="50"/>
      <c r="O214" s="51"/>
      <c r="P214" s="50"/>
      <c r="Q214" s="50"/>
      <c r="R214" s="50"/>
      <c r="S214" s="50"/>
      <c r="T214" s="50"/>
    </row>
    <row r="215" spans="1:20" ht="25.5" customHeight="1" x14ac:dyDescent="0.2">
      <c r="A215" s="50"/>
      <c r="B215" s="50"/>
      <c r="C215" s="50"/>
      <c r="D215" s="50"/>
      <c r="E215" s="51"/>
      <c r="F215" s="51"/>
      <c r="G215" s="50"/>
      <c r="H215" s="51"/>
      <c r="I215" s="51"/>
      <c r="J215" s="51"/>
      <c r="K215" s="51"/>
      <c r="L215" s="50"/>
      <c r="M215" s="50"/>
      <c r="N215" s="50"/>
      <c r="O215" s="51"/>
      <c r="P215" s="50"/>
      <c r="Q215" s="50"/>
      <c r="R215" s="50"/>
      <c r="S215" s="50"/>
      <c r="T215" s="50"/>
    </row>
    <row r="216" spans="1:20" ht="25.5" customHeight="1" x14ac:dyDescent="0.2">
      <c r="A216" s="50"/>
      <c r="B216" s="50"/>
      <c r="C216" s="50"/>
      <c r="D216" s="50"/>
      <c r="E216" s="51"/>
      <c r="F216" s="51"/>
      <c r="G216" s="50"/>
      <c r="H216" s="51"/>
      <c r="I216" s="51"/>
      <c r="J216" s="51"/>
      <c r="K216" s="51"/>
      <c r="L216" s="50"/>
      <c r="M216" s="50"/>
      <c r="N216" s="50"/>
      <c r="O216" s="51"/>
      <c r="P216" s="50"/>
      <c r="Q216" s="50"/>
      <c r="R216" s="50"/>
      <c r="S216" s="50"/>
      <c r="T216" s="50"/>
    </row>
    <row r="217" spans="1:20" ht="25.5" customHeight="1" x14ac:dyDescent="0.2">
      <c r="A217" s="50"/>
      <c r="B217" s="50"/>
      <c r="C217" s="50"/>
      <c r="D217" s="50"/>
      <c r="E217" s="51"/>
      <c r="F217" s="51"/>
      <c r="G217" s="50"/>
      <c r="H217" s="51"/>
      <c r="I217" s="51"/>
      <c r="J217" s="51"/>
      <c r="K217" s="51"/>
      <c r="L217" s="50"/>
      <c r="M217" s="50"/>
      <c r="N217" s="50"/>
      <c r="O217" s="51"/>
      <c r="P217" s="50"/>
      <c r="Q217" s="50"/>
      <c r="R217" s="50"/>
      <c r="S217" s="50"/>
      <c r="T217" s="50"/>
    </row>
    <row r="218" spans="1:20" ht="25.5" customHeight="1" x14ac:dyDescent="0.2">
      <c r="A218" s="50"/>
      <c r="B218" s="50"/>
      <c r="C218" s="50"/>
      <c r="D218" s="50"/>
      <c r="E218" s="51"/>
      <c r="F218" s="51"/>
      <c r="G218" s="50"/>
      <c r="H218" s="51"/>
      <c r="I218" s="51"/>
      <c r="J218" s="51"/>
      <c r="K218" s="51"/>
      <c r="L218" s="50"/>
      <c r="M218" s="50"/>
      <c r="N218" s="50"/>
      <c r="O218" s="51"/>
      <c r="P218" s="50"/>
      <c r="Q218" s="50"/>
      <c r="R218" s="50"/>
      <c r="S218" s="50"/>
      <c r="T218" s="50"/>
    </row>
    <row r="219" spans="1:20" ht="25.5" customHeight="1" x14ac:dyDescent="0.2">
      <c r="A219" s="50"/>
      <c r="B219" s="50"/>
      <c r="C219" s="50"/>
      <c r="D219" s="50"/>
      <c r="E219" s="51"/>
      <c r="F219" s="51"/>
      <c r="G219" s="50"/>
      <c r="H219" s="51"/>
      <c r="I219" s="51"/>
      <c r="J219" s="51"/>
      <c r="K219" s="51"/>
      <c r="L219" s="50"/>
      <c r="M219" s="50"/>
      <c r="N219" s="50"/>
      <c r="O219" s="51"/>
      <c r="P219" s="50"/>
      <c r="Q219" s="50"/>
      <c r="R219" s="50"/>
      <c r="S219" s="50"/>
      <c r="T219" s="50"/>
    </row>
    <row r="220" spans="1:20" ht="25.5" customHeight="1" x14ac:dyDescent="0.2">
      <c r="A220" s="50"/>
      <c r="B220" s="50"/>
      <c r="C220" s="50"/>
      <c r="D220" s="50"/>
      <c r="E220" s="51"/>
      <c r="F220" s="51"/>
      <c r="G220" s="50"/>
      <c r="H220" s="51"/>
      <c r="I220" s="51"/>
      <c r="J220" s="51"/>
      <c r="K220" s="51"/>
      <c r="L220" s="50"/>
      <c r="M220" s="50"/>
      <c r="N220" s="50"/>
      <c r="O220" s="51"/>
      <c r="P220" s="50"/>
      <c r="Q220" s="50"/>
      <c r="R220" s="50"/>
      <c r="S220" s="50"/>
      <c r="T220" s="50"/>
    </row>
    <row r="221" spans="1:20" ht="25.5" customHeight="1" x14ac:dyDescent="0.2">
      <c r="A221" s="50"/>
      <c r="B221" s="50"/>
      <c r="C221" s="50"/>
      <c r="D221" s="50"/>
      <c r="E221" s="51"/>
      <c r="F221" s="51"/>
      <c r="G221" s="50"/>
      <c r="H221" s="51"/>
      <c r="I221" s="51"/>
      <c r="J221" s="51"/>
      <c r="K221" s="51"/>
      <c r="L221" s="50"/>
      <c r="M221" s="50"/>
      <c r="N221" s="50"/>
      <c r="O221" s="51"/>
      <c r="P221" s="50"/>
      <c r="Q221" s="50"/>
      <c r="R221" s="50"/>
      <c r="S221" s="50"/>
      <c r="T221" s="50"/>
    </row>
    <row r="222" spans="1:20" ht="25.5" customHeight="1" x14ac:dyDescent="0.2">
      <c r="A222" s="50"/>
      <c r="B222" s="50"/>
      <c r="C222" s="50"/>
      <c r="D222" s="50"/>
      <c r="E222" s="51"/>
      <c r="F222" s="51"/>
      <c r="G222" s="50"/>
      <c r="H222" s="51"/>
      <c r="I222" s="51"/>
      <c r="J222" s="51"/>
      <c r="K222" s="51"/>
      <c r="L222" s="50"/>
      <c r="M222" s="50"/>
      <c r="N222" s="50"/>
      <c r="O222" s="51"/>
      <c r="P222" s="50"/>
      <c r="Q222" s="50"/>
      <c r="R222" s="50"/>
      <c r="S222" s="50"/>
      <c r="T222" s="50"/>
    </row>
    <row r="223" spans="1:20" ht="25.5" customHeight="1" x14ac:dyDescent="0.2">
      <c r="A223" s="50"/>
      <c r="B223" s="50"/>
      <c r="C223" s="50"/>
      <c r="D223" s="50"/>
      <c r="E223" s="51"/>
      <c r="F223" s="51"/>
      <c r="G223" s="50"/>
      <c r="H223" s="51"/>
      <c r="I223" s="51"/>
      <c r="J223" s="51"/>
      <c r="K223" s="51"/>
      <c r="L223" s="50"/>
      <c r="M223" s="50"/>
      <c r="N223" s="50"/>
      <c r="O223" s="51"/>
      <c r="P223" s="50"/>
      <c r="Q223" s="50"/>
      <c r="R223" s="50"/>
      <c r="S223" s="50"/>
      <c r="T223" s="50"/>
    </row>
    <row r="224" spans="1:20" ht="25.5" customHeight="1" x14ac:dyDescent="0.2">
      <c r="A224" s="50"/>
      <c r="B224" s="50"/>
      <c r="C224" s="50"/>
      <c r="D224" s="50"/>
      <c r="E224" s="51"/>
      <c r="F224" s="51"/>
      <c r="G224" s="50"/>
      <c r="H224" s="51"/>
      <c r="I224" s="51"/>
      <c r="J224" s="51"/>
      <c r="K224" s="51"/>
      <c r="L224" s="50"/>
      <c r="M224" s="50"/>
      <c r="N224" s="50"/>
      <c r="O224" s="51"/>
      <c r="P224" s="50"/>
      <c r="Q224" s="50"/>
      <c r="R224" s="50"/>
      <c r="S224" s="50"/>
      <c r="T224" s="50"/>
    </row>
    <row r="225" spans="1:20" ht="25.5" customHeight="1" x14ac:dyDescent="0.2">
      <c r="A225" s="50"/>
      <c r="B225" s="50"/>
      <c r="C225" s="50"/>
      <c r="D225" s="50"/>
      <c r="E225" s="51"/>
      <c r="F225" s="51"/>
      <c r="G225" s="50"/>
      <c r="H225" s="51"/>
      <c r="I225" s="51"/>
      <c r="J225" s="51"/>
      <c r="K225" s="51"/>
      <c r="L225" s="50"/>
      <c r="M225" s="50"/>
      <c r="N225" s="50"/>
      <c r="O225" s="51"/>
      <c r="P225" s="50"/>
      <c r="Q225" s="50"/>
      <c r="R225" s="50"/>
      <c r="S225" s="50"/>
      <c r="T225" s="50"/>
    </row>
    <row r="226" spans="1:20" ht="25.5" customHeight="1" x14ac:dyDescent="0.2">
      <c r="A226" s="50"/>
      <c r="B226" s="50"/>
      <c r="C226" s="50"/>
      <c r="D226" s="50"/>
      <c r="E226" s="51"/>
      <c r="F226" s="51"/>
      <c r="G226" s="50"/>
      <c r="H226" s="51"/>
      <c r="I226" s="51"/>
      <c r="J226" s="51"/>
      <c r="K226" s="51"/>
      <c r="L226" s="50"/>
      <c r="M226" s="50"/>
      <c r="N226" s="50"/>
      <c r="O226" s="51"/>
      <c r="P226" s="50"/>
      <c r="Q226" s="50"/>
      <c r="R226" s="50"/>
      <c r="S226" s="50"/>
      <c r="T226" s="50"/>
    </row>
    <row r="227" spans="1:20" ht="25.5" customHeight="1" x14ac:dyDescent="0.2">
      <c r="A227" s="50"/>
      <c r="B227" s="50"/>
      <c r="C227" s="50"/>
      <c r="D227" s="50"/>
      <c r="E227" s="51"/>
      <c r="F227" s="51"/>
      <c r="G227" s="50"/>
      <c r="H227" s="51"/>
      <c r="I227" s="51"/>
      <c r="J227" s="51"/>
      <c r="K227" s="51"/>
      <c r="L227" s="50"/>
      <c r="M227" s="50"/>
      <c r="N227" s="50"/>
      <c r="O227" s="51"/>
      <c r="P227" s="50"/>
      <c r="Q227" s="50"/>
      <c r="R227" s="50"/>
      <c r="S227" s="50"/>
      <c r="T227" s="50"/>
    </row>
    <row r="228" spans="1:20" ht="25.5" customHeight="1" x14ac:dyDescent="0.2">
      <c r="A228" s="50"/>
      <c r="B228" s="50"/>
      <c r="C228" s="50"/>
      <c r="D228" s="50"/>
      <c r="E228" s="51"/>
      <c r="F228" s="51"/>
      <c r="G228" s="50"/>
      <c r="H228" s="51"/>
      <c r="I228" s="51"/>
      <c r="J228" s="51"/>
      <c r="K228" s="51"/>
      <c r="L228" s="50"/>
      <c r="M228" s="50"/>
      <c r="N228" s="50"/>
      <c r="O228" s="51"/>
      <c r="P228" s="50"/>
      <c r="Q228" s="50"/>
      <c r="R228" s="50"/>
      <c r="S228" s="50"/>
      <c r="T228" s="50"/>
    </row>
    <row r="229" spans="1:20" ht="25.5" customHeight="1" x14ac:dyDescent="0.2">
      <c r="A229" s="50"/>
      <c r="B229" s="50"/>
      <c r="C229" s="50"/>
      <c r="D229" s="50"/>
      <c r="E229" s="51"/>
      <c r="F229" s="51"/>
      <c r="G229" s="50"/>
      <c r="H229" s="51"/>
      <c r="I229" s="51"/>
      <c r="J229" s="51"/>
      <c r="K229" s="51"/>
      <c r="L229" s="50"/>
      <c r="M229" s="50"/>
      <c r="N229" s="50"/>
      <c r="O229" s="51"/>
      <c r="P229" s="50"/>
      <c r="Q229" s="50"/>
      <c r="R229" s="50"/>
      <c r="S229" s="50"/>
      <c r="T229" s="50"/>
    </row>
    <row r="230" spans="1:20" ht="25.5" customHeight="1" x14ac:dyDescent="0.2">
      <c r="A230" s="50"/>
      <c r="B230" s="50"/>
      <c r="C230" s="50"/>
      <c r="D230" s="50"/>
      <c r="E230" s="51"/>
      <c r="F230" s="51"/>
      <c r="G230" s="50"/>
      <c r="H230" s="51"/>
      <c r="I230" s="51"/>
      <c r="J230" s="51"/>
      <c r="K230" s="51"/>
      <c r="L230" s="50"/>
      <c r="M230" s="50"/>
      <c r="N230" s="50"/>
      <c r="O230" s="51"/>
      <c r="P230" s="50"/>
      <c r="Q230" s="50"/>
      <c r="R230" s="50"/>
      <c r="S230" s="50"/>
      <c r="T230" s="50"/>
    </row>
    <row r="231" spans="1:20" ht="25.5" customHeight="1" x14ac:dyDescent="0.2">
      <c r="A231" s="50"/>
      <c r="B231" s="50"/>
      <c r="C231" s="50"/>
      <c r="D231" s="50"/>
      <c r="E231" s="51"/>
      <c r="F231" s="51"/>
      <c r="G231" s="50"/>
      <c r="H231" s="51"/>
      <c r="I231" s="51"/>
      <c r="J231" s="51"/>
      <c r="K231" s="51"/>
      <c r="L231" s="50"/>
      <c r="M231" s="50"/>
      <c r="N231" s="50"/>
      <c r="O231" s="51"/>
      <c r="P231" s="50"/>
      <c r="Q231" s="50"/>
      <c r="R231" s="50"/>
      <c r="S231" s="50"/>
      <c r="T231" s="50"/>
    </row>
    <row r="232" spans="1:20" ht="25.5" customHeight="1" x14ac:dyDescent="0.2">
      <c r="A232" s="50"/>
      <c r="B232" s="50"/>
      <c r="C232" s="50"/>
      <c r="D232" s="50"/>
      <c r="E232" s="51"/>
      <c r="F232" s="51"/>
      <c r="G232" s="50"/>
      <c r="H232" s="51"/>
      <c r="I232" s="51"/>
      <c r="J232" s="51"/>
      <c r="K232" s="51"/>
      <c r="L232" s="50"/>
      <c r="M232" s="50"/>
      <c r="N232" s="50"/>
      <c r="O232" s="51"/>
      <c r="P232" s="50"/>
      <c r="Q232" s="50"/>
      <c r="R232" s="50"/>
      <c r="S232" s="50"/>
      <c r="T232" s="50"/>
    </row>
    <row r="233" spans="1:20" ht="25.5" customHeight="1" x14ac:dyDescent="0.2">
      <c r="A233" s="50"/>
      <c r="B233" s="50"/>
      <c r="C233" s="50"/>
      <c r="D233" s="50"/>
      <c r="E233" s="51"/>
      <c r="F233" s="51"/>
      <c r="G233" s="50"/>
      <c r="H233" s="51"/>
      <c r="I233" s="51"/>
      <c r="J233" s="51"/>
      <c r="K233" s="51"/>
      <c r="L233" s="50"/>
      <c r="M233" s="50"/>
      <c r="N233" s="50"/>
      <c r="O233" s="51"/>
      <c r="P233" s="50"/>
      <c r="Q233" s="50"/>
      <c r="R233" s="50"/>
      <c r="S233" s="50"/>
      <c r="T233" s="50"/>
    </row>
    <row r="234" spans="1:20" ht="25.5" customHeight="1" x14ac:dyDescent="0.2">
      <c r="A234" s="50"/>
      <c r="B234" s="50"/>
      <c r="C234" s="50"/>
      <c r="D234" s="50"/>
      <c r="E234" s="51"/>
      <c r="F234" s="51"/>
      <c r="G234" s="50"/>
      <c r="H234" s="51"/>
      <c r="I234" s="51"/>
      <c r="J234" s="51"/>
      <c r="K234" s="51"/>
      <c r="L234" s="50"/>
      <c r="M234" s="50"/>
      <c r="N234" s="50"/>
      <c r="O234" s="51"/>
      <c r="P234" s="50"/>
      <c r="Q234" s="50"/>
      <c r="R234" s="50"/>
      <c r="S234" s="50"/>
      <c r="T234" s="50"/>
    </row>
    <row r="235" spans="1:20" ht="25.5" customHeight="1" x14ac:dyDescent="0.2">
      <c r="A235" s="50"/>
      <c r="B235" s="50"/>
      <c r="C235" s="50"/>
      <c r="D235" s="50"/>
      <c r="E235" s="51"/>
      <c r="F235" s="51"/>
      <c r="G235" s="50"/>
      <c r="H235" s="51"/>
      <c r="I235" s="51"/>
      <c r="J235" s="51"/>
      <c r="K235" s="51"/>
      <c r="L235" s="50"/>
      <c r="M235" s="50"/>
      <c r="N235" s="50"/>
      <c r="O235" s="51"/>
      <c r="P235" s="50"/>
      <c r="Q235" s="50"/>
      <c r="R235" s="50"/>
      <c r="S235" s="50"/>
      <c r="T235" s="50"/>
    </row>
    <row r="236" spans="1:20" ht="25.5" customHeight="1" x14ac:dyDescent="0.2">
      <c r="A236" s="50"/>
      <c r="B236" s="50"/>
      <c r="C236" s="50"/>
      <c r="D236" s="50"/>
      <c r="E236" s="51"/>
      <c r="F236" s="51"/>
      <c r="G236" s="50"/>
      <c r="H236" s="51"/>
      <c r="I236" s="51"/>
      <c r="J236" s="51"/>
      <c r="K236" s="51"/>
      <c r="L236" s="50"/>
      <c r="M236" s="50"/>
      <c r="N236" s="50"/>
      <c r="O236" s="51"/>
      <c r="P236" s="50"/>
      <c r="Q236" s="50"/>
      <c r="R236" s="50"/>
      <c r="S236" s="50"/>
      <c r="T236" s="50"/>
    </row>
    <row r="237" spans="1:20" ht="25.5" customHeight="1" x14ac:dyDescent="0.2">
      <c r="A237" s="50"/>
      <c r="B237" s="50"/>
      <c r="C237" s="50"/>
      <c r="D237" s="50"/>
      <c r="E237" s="51"/>
      <c r="F237" s="51"/>
      <c r="G237" s="50"/>
      <c r="H237" s="51"/>
      <c r="I237" s="51"/>
      <c r="J237" s="51"/>
      <c r="K237" s="51"/>
      <c r="L237" s="50"/>
      <c r="M237" s="50"/>
      <c r="N237" s="50"/>
      <c r="O237" s="51"/>
      <c r="P237" s="50"/>
      <c r="Q237" s="50"/>
      <c r="R237" s="50"/>
      <c r="S237" s="50"/>
      <c r="T237" s="50"/>
    </row>
    <row r="238" spans="1:20" ht="25.5" customHeight="1" x14ac:dyDescent="0.2">
      <c r="A238" s="50"/>
      <c r="B238" s="50"/>
      <c r="C238" s="50"/>
      <c r="D238" s="50"/>
      <c r="E238" s="51"/>
      <c r="F238" s="51"/>
      <c r="G238" s="50"/>
      <c r="H238" s="51"/>
      <c r="I238" s="51"/>
      <c r="J238" s="51"/>
      <c r="K238" s="51"/>
      <c r="L238" s="50"/>
      <c r="M238" s="50"/>
      <c r="N238" s="50"/>
      <c r="O238" s="51"/>
      <c r="P238" s="50"/>
      <c r="Q238" s="50"/>
      <c r="R238" s="50"/>
      <c r="S238" s="50"/>
      <c r="T238" s="50"/>
    </row>
    <row r="239" spans="1:20" ht="25.5" customHeight="1" x14ac:dyDescent="0.2">
      <c r="A239" s="50"/>
      <c r="B239" s="50"/>
      <c r="C239" s="50"/>
      <c r="D239" s="50"/>
      <c r="E239" s="51"/>
      <c r="F239" s="51"/>
      <c r="G239" s="50"/>
      <c r="H239" s="51"/>
      <c r="I239" s="51"/>
      <c r="J239" s="51"/>
      <c r="K239" s="51"/>
      <c r="L239" s="50"/>
      <c r="M239" s="50"/>
      <c r="N239" s="50"/>
      <c r="O239" s="51"/>
      <c r="P239" s="50"/>
      <c r="Q239" s="50"/>
      <c r="R239" s="50"/>
      <c r="S239" s="50"/>
      <c r="T239" s="50"/>
    </row>
    <row r="240" spans="1:20" ht="25.5" customHeight="1" x14ac:dyDescent="0.2">
      <c r="A240" s="50"/>
      <c r="B240" s="50"/>
      <c r="C240" s="50"/>
      <c r="D240" s="50"/>
      <c r="E240" s="51"/>
      <c r="F240" s="51"/>
      <c r="G240" s="50"/>
      <c r="H240" s="51"/>
      <c r="I240" s="51"/>
      <c r="J240" s="51"/>
      <c r="K240" s="51"/>
      <c r="L240" s="50"/>
      <c r="M240" s="50"/>
      <c r="N240" s="50"/>
      <c r="O240" s="51"/>
      <c r="P240" s="50"/>
      <c r="Q240" s="50"/>
      <c r="R240" s="50"/>
      <c r="S240" s="50"/>
      <c r="T240" s="50"/>
    </row>
    <row r="241" spans="1:20" ht="25.5" customHeight="1" x14ac:dyDescent="0.2">
      <c r="A241" s="50"/>
      <c r="B241" s="50"/>
      <c r="C241" s="50"/>
      <c r="D241" s="50"/>
      <c r="E241" s="51"/>
      <c r="F241" s="51"/>
      <c r="G241" s="50"/>
      <c r="H241" s="51"/>
      <c r="I241" s="51"/>
      <c r="J241" s="51"/>
      <c r="K241" s="51"/>
      <c r="L241" s="50"/>
      <c r="M241" s="50"/>
      <c r="N241" s="50"/>
      <c r="O241" s="51"/>
      <c r="P241" s="50"/>
      <c r="Q241" s="50"/>
      <c r="R241" s="50"/>
      <c r="S241" s="50"/>
      <c r="T241" s="50"/>
    </row>
    <row r="242" spans="1:20" ht="25.5" customHeight="1" x14ac:dyDescent="0.2">
      <c r="A242" s="50"/>
      <c r="B242" s="50"/>
      <c r="C242" s="50"/>
      <c r="D242" s="50"/>
      <c r="E242" s="51"/>
      <c r="F242" s="51"/>
      <c r="G242" s="50"/>
      <c r="H242" s="51"/>
      <c r="I242" s="51"/>
      <c r="J242" s="51"/>
      <c r="K242" s="51"/>
      <c r="L242" s="50"/>
      <c r="M242" s="50"/>
      <c r="N242" s="50"/>
      <c r="O242" s="51"/>
      <c r="P242" s="50"/>
      <c r="Q242" s="50"/>
      <c r="R242" s="50"/>
      <c r="S242" s="50"/>
      <c r="T242" s="50"/>
    </row>
    <row r="243" spans="1:20" ht="25.5" customHeight="1" x14ac:dyDescent="0.2">
      <c r="A243" s="50"/>
      <c r="B243" s="50"/>
      <c r="C243" s="50"/>
      <c r="D243" s="50"/>
      <c r="E243" s="51"/>
      <c r="F243" s="51"/>
      <c r="G243" s="50"/>
      <c r="H243" s="51"/>
      <c r="I243" s="51"/>
      <c r="J243" s="51"/>
      <c r="K243" s="51"/>
      <c r="L243" s="50"/>
      <c r="M243" s="50"/>
      <c r="N243" s="50"/>
      <c r="O243" s="51"/>
      <c r="P243" s="50"/>
      <c r="Q243" s="50"/>
      <c r="R243" s="50"/>
      <c r="S243" s="50"/>
      <c r="T243" s="50"/>
    </row>
    <row r="244" spans="1:20" ht="25.5" customHeight="1" x14ac:dyDescent="0.2">
      <c r="A244" s="50"/>
      <c r="B244" s="50"/>
      <c r="C244" s="50"/>
      <c r="D244" s="50"/>
      <c r="E244" s="51"/>
      <c r="F244" s="51"/>
      <c r="G244" s="50"/>
      <c r="H244" s="51"/>
      <c r="I244" s="51"/>
      <c r="J244" s="51"/>
      <c r="K244" s="51"/>
      <c r="L244" s="50"/>
      <c r="M244" s="50"/>
      <c r="N244" s="50"/>
      <c r="O244" s="51"/>
      <c r="P244" s="50"/>
      <c r="Q244" s="50"/>
      <c r="R244" s="50"/>
      <c r="S244" s="50"/>
      <c r="T244" s="50"/>
    </row>
    <row r="245" spans="1:20" ht="25.5" customHeight="1" x14ac:dyDescent="0.2">
      <c r="A245" s="50"/>
      <c r="B245" s="50"/>
      <c r="C245" s="50"/>
      <c r="D245" s="50"/>
      <c r="E245" s="51"/>
      <c r="F245" s="51"/>
      <c r="G245" s="50"/>
      <c r="H245" s="51"/>
      <c r="I245" s="51"/>
      <c r="J245" s="51"/>
      <c r="K245" s="51"/>
      <c r="L245" s="50"/>
      <c r="M245" s="50"/>
      <c r="N245" s="50"/>
      <c r="O245" s="51"/>
      <c r="P245" s="50"/>
      <c r="Q245" s="50"/>
      <c r="R245" s="50"/>
      <c r="S245" s="50"/>
      <c r="T245" s="50"/>
    </row>
    <row r="246" spans="1:20" ht="25.5" customHeight="1" x14ac:dyDescent="0.2">
      <c r="A246" s="50"/>
      <c r="B246" s="50"/>
      <c r="C246" s="50"/>
      <c r="D246" s="50"/>
      <c r="E246" s="51"/>
      <c r="F246" s="51"/>
      <c r="G246" s="50"/>
      <c r="H246" s="51"/>
      <c r="I246" s="51"/>
      <c r="J246" s="51"/>
      <c r="K246" s="51"/>
      <c r="L246" s="50"/>
      <c r="M246" s="50"/>
      <c r="N246" s="50"/>
      <c r="O246" s="51"/>
      <c r="P246" s="50"/>
      <c r="Q246" s="50"/>
      <c r="R246" s="50"/>
      <c r="S246" s="50"/>
      <c r="T246" s="50"/>
    </row>
    <row r="247" spans="1:20" ht="25.5" customHeight="1" x14ac:dyDescent="0.2">
      <c r="A247" s="50"/>
      <c r="B247" s="50"/>
      <c r="C247" s="50"/>
      <c r="D247" s="50"/>
      <c r="E247" s="51"/>
      <c r="F247" s="51"/>
      <c r="G247" s="50"/>
      <c r="H247" s="51"/>
      <c r="I247" s="51"/>
      <c r="J247" s="51"/>
      <c r="K247" s="51"/>
      <c r="L247" s="50"/>
      <c r="M247" s="50"/>
      <c r="N247" s="50"/>
      <c r="O247" s="51"/>
      <c r="P247" s="50"/>
      <c r="Q247" s="50"/>
      <c r="R247" s="50"/>
      <c r="S247" s="50"/>
      <c r="T247" s="50"/>
    </row>
    <row r="248" spans="1:20" ht="25.5" customHeight="1" x14ac:dyDescent="0.2">
      <c r="A248" s="50"/>
      <c r="B248" s="50"/>
      <c r="C248" s="50"/>
      <c r="D248" s="50"/>
      <c r="E248" s="51"/>
      <c r="F248" s="51"/>
      <c r="G248" s="50"/>
      <c r="H248" s="51"/>
      <c r="I248" s="51"/>
      <c r="J248" s="51"/>
      <c r="K248" s="51"/>
      <c r="L248" s="50"/>
      <c r="M248" s="50"/>
      <c r="N248" s="50"/>
      <c r="O248" s="51"/>
      <c r="P248" s="50"/>
      <c r="Q248" s="50"/>
      <c r="R248" s="50"/>
      <c r="S248" s="50"/>
      <c r="T248" s="50"/>
    </row>
    <row r="249" spans="1:20" ht="25.5" customHeight="1" x14ac:dyDescent="0.2">
      <c r="A249" s="50"/>
      <c r="B249" s="50"/>
      <c r="C249" s="50"/>
      <c r="D249" s="50"/>
      <c r="E249" s="51"/>
      <c r="F249" s="51"/>
      <c r="G249" s="50"/>
      <c r="H249" s="51"/>
      <c r="I249" s="51"/>
      <c r="J249" s="51"/>
      <c r="K249" s="51"/>
      <c r="L249" s="50"/>
      <c r="M249" s="50"/>
      <c r="N249" s="50"/>
      <c r="O249" s="51"/>
      <c r="P249" s="50"/>
      <c r="Q249" s="50"/>
      <c r="R249" s="50"/>
      <c r="S249" s="50"/>
      <c r="T249" s="50"/>
    </row>
    <row r="250" spans="1:20" ht="25.5" customHeight="1" x14ac:dyDescent="0.2">
      <c r="A250" s="50"/>
      <c r="B250" s="50"/>
      <c r="C250" s="50"/>
      <c r="D250" s="50"/>
      <c r="E250" s="51"/>
      <c r="F250" s="51"/>
      <c r="G250" s="50"/>
      <c r="H250" s="51"/>
      <c r="I250" s="51"/>
      <c r="J250" s="51"/>
      <c r="K250" s="51"/>
      <c r="L250" s="50"/>
      <c r="M250" s="50"/>
      <c r="N250" s="50"/>
      <c r="O250" s="51"/>
      <c r="P250" s="50"/>
      <c r="Q250" s="50"/>
      <c r="R250" s="50"/>
      <c r="S250" s="50"/>
      <c r="T250" s="50"/>
    </row>
    <row r="251" spans="1:20" ht="25.5" customHeight="1" x14ac:dyDescent="0.2">
      <c r="A251" s="50"/>
      <c r="B251" s="50"/>
      <c r="C251" s="50"/>
      <c r="D251" s="50"/>
      <c r="E251" s="51"/>
      <c r="F251" s="51"/>
      <c r="G251" s="50"/>
      <c r="H251" s="51"/>
      <c r="I251" s="51"/>
      <c r="J251" s="51"/>
      <c r="K251" s="51"/>
      <c r="L251" s="50"/>
      <c r="M251" s="50"/>
      <c r="N251" s="50"/>
      <c r="O251" s="51"/>
      <c r="P251" s="50"/>
      <c r="Q251" s="50"/>
      <c r="R251" s="50"/>
      <c r="S251" s="50"/>
      <c r="T251" s="50"/>
    </row>
    <row r="252" spans="1:20" ht="25.5" customHeight="1" x14ac:dyDescent="0.2">
      <c r="A252" s="50"/>
      <c r="B252" s="50"/>
      <c r="C252" s="50"/>
      <c r="D252" s="50"/>
      <c r="E252" s="51"/>
      <c r="F252" s="51"/>
      <c r="G252" s="50"/>
      <c r="H252" s="51"/>
      <c r="I252" s="51"/>
      <c r="J252" s="51"/>
      <c r="K252" s="51"/>
      <c r="L252" s="50"/>
      <c r="M252" s="50"/>
      <c r="N252" s="50"/>
      <c r="O252" s="51"/>
      <c r="P252" s="50"/>
      <c r="Q252" s="50"/>
      <c r="R252" s="50"/>
      <c r="S252" s="50"/>
      <c r="T252" s="50"/>
    </row>
    <row r="253" spans="1:20" ht="25.5" customHeight="1" x14ac:dyDescent="0.2">
      <c r="A253" s="50"/>
      <c r="B253" s="50"/>
      <c r="C253" s="50"/>
      <c r="D253" s="50"/>
      <c r="E253" s="51"/>
      <c r="F253" s="51"/>
      <c r="G253" s="50"/>
      <c r="H253" s="51"/>
      <c r="I253" s="51"/>
      <c r="J253" s="51"/>
      <c r="K253" s="51"/>
      <c r="L253" s="50"/>
      <c r="M253" s="50"/>
      <c r="N253" s="50"/>
      <c r="O253" s="51"/>
      <c r="P253" s="50"/>
      <c r="Q253" s="50"/>
      <c r="R253" s="50"/>
      <c r="S253" s="50"/>
      <c r="T253" s="50"/>
    </row>
    <row r="254" spans="1:20" ht="25.5" customHeight="1" x14ac:dyDescent="0.2">
      <c r="A254" s="50"/>
      <c r="B254" s="50"/>
      <c r="C254" s="50"/>
      <c r="D254" s="50"/>
      <c r="E254" s="51"/>
      <c r="F254" s="51"/>
      <c r="G254" s="50"/>
      <c r="H254" s="51"/>
      <c r="I254" s="51"/>
      <c r="J254" s="51"/>
      <c r="K254" s="51"/>
      <c r="L254" s="50"/>
      <c r="M254" s="50"/>
      <c r="N254" s="50"/>
      <c r="O254" s="51"/>
      <c r="P254" s="50"/>
      <c r="Q254" s="50"/>
      <c r="R254" s="50"/>
      <c r="S254" s="50"/>
      <c r="T254" s="50"/>
    </row>
    <row r="255" spans="1:20" ht="25.5" customHeight="1" x14ac:dyDescent="0.2">
      <c r="A255" s="50"/>
      <c r="B255" s="50"/>
      <c r="C255" s="50"/>
      <c r="D255" s="50"/>
      <c r="E255" s="51"/>
      <c r="F255" s="51"/>
      <c r="G255" s="50"/>
      <c r="H255" s="51"/>
      <c r="I255" s="51"/>
      <c r="J255" s="51"/>
      <c r="K255" s="51"/>
      <c r="L255" s="50"/>
      <c r="M255" s="50"/>
      <c r="N255" s="50"/>
      <c r="O255" s="51"/>
      <c r="P255" s="50"/>
      <c r="Q255" s="50"/>
      <c r="R255" s="50"/>
      <c r="S255" s="50"/>
      <c r="T255" s="50"/>
    </row>
    <row r="256" spans="1:20" ht="25.5" customHeight="1" x14ac:dyDescent="0.2">
      <c r="A256" s="50"/>
      <c r="B256" s="50"/>
      <c r="C256" s="50"/>
      <c r="D256" s="50"/>
      <c r="E256" s="51"/>
      <c r="F256" s="51"/>
      <c r="G256" s="50"/>
      <c r="H256" s="51"/>
      <c r="I256" s="51"/>
      <c r="J256" s="51"/>
      <c r="K256" s="51"/>
      <c r="L256" s="50"/>
      <c r="M256" s="50"/>
      <c r="N256" s="50"/>
      <c r="O256" s="51"/>
      <c r="P256" s="50"/>
      <c r="Q256" s="50"/>
      <c r="R256" s="50"/>
      <c r="S256" s="50"/>
      <c r="T256" s="50"/>
    </row>
    <row r="257" spans="1:20" ht="25.5" customHeight="1" x14ac:dyDescent="0.2">
      <c r="A257" s="50"/>
      <c r="B257" s="50"/>
      <c r="C257" s="50"/>
      <c r="D257" s="50"/>
      <c r="E257" s="51"/>
      <c r="F257" s="51"/>
      <c r="G257" s="50"/>
      <c r="H257" s="51"/>
      <c r="I257" s="51"/>
      <c r="J257" s="51"/>
      <c r="K257" s="51"/>
      <c r="L257" s="50"/>
      <c r="M257" s="50"/>
      <c r="N257" s="50"/>
      <c r="O257" s="51"/>
      <c r="P257" s="50"/>
      <c r="Q257" s="50"/>
      <c r="R257" s="50"/>
      <c r="S257" s="50"/>
      <c r="T257" s="50"/>
    </row>
    <row r="258" spans="1:20" ht="25.5" customHeight="1" x14ac:dyDescent="0.2">
      <c r="A258" s="50"/>
      <c r="B258" s="50"/>
      <c r="C258" s="50"/>
      <c r="D258" s="50"/>
      <c r="E258" s="51"/>
      <c r="F258" s="51"/>
      <c r="G258" s="50"/>
      <c r="H258" s="51"/>
      <c r="I258" s="51"/>
      <c r="J258" s="51"/>
      <c r="K258" s="51"/>
      <c r="L258" s="50"/>
      <c r="M258" s="50"/>
      <c r="N258" s="50"/>
      <c r="O258" s="51"/>
      <c r="P258" s="50"/>
      <c r="Q258" s="50"/>
      <c r="R258" s="50"/>
      <c r="S258" s="50"/>
      <c r="T258" s="50"/>
    </row>
    <row r="259" spans="1:20" ht="25.5" customHeight="1" x14ac:dyDescent="0.2">
      <c r="A259" s="50"/>
      <c r="B259" s="50"/>
      <c r="C259" s="50"/>
      <c r="D259" s="50"/>
      <c r="E259" s="51"/>
      <c r="F259" s="51"/>
      <c r="G259" s="50"/>
      <c r="H259" s="51"/>
      <c r="I259" s="51"/>
      <c r="J259" s="51"/>
      <c r="K259" s="51"/>
      <c r="L259" s="50"/>
      <c r="M259" s="50"/>
      <c r="N259" s="50"/>
      <c r="O259" s="51"/>
      <c r="P259" s="50"/>
      <c r="Q259" s="50"/>
      <c r="R259" s="50"/>
      <c r="S259" s="50"/>
      <c r="T259" s="50"/>
    </row>
    <row r="260" spans="1:20" ht="25.5" customHeight="1" x14ac:dyDescent="0.2">
      <c r="A260" s="50"/>
      <c r="B260" s="50"/>
      <c r="C260" s="50"/>
      <c r="D260" s="50"/>
      <c r="E260" s="51"/>
      <c r="F260" s="51"/>
      <c r="G260" s="50"/>
      <c r="H260" s="51"/>
      <c r="I260" s="51"/>
      <c r="J260" s="51"/>
      <c r="K260" s="51"/>
      <c r="L260" s="50"/>
      <c r="M260" s="50"/>
      <c r="N260" s="50"/>
      <c r="O260" s="51"/>
      <c r="P260" s="50"/>
      <c r="Q260" s="50"/>
      <c r="R260" s="50"/>
      <c r="S260" s="50"/>
      <c r="T260" s="50"/>
    </row>
    <row r="261" spans="1:20" ht="25.5" customHeight="1" x14ac:dyDescent="0.2">
      <c r="A261" s="50"/>
      <c r="B261" s="50"/>
      <c r="C261" s="50"/>
      <c r="D261" s="50"/>
      <c r="E261" s="51"/>
      <c r="F261" s="51"/>
      <c r="G261" s="50"/>
      <c r="H261" s="51"/>
      <c r="I261" s="51"/>
      <c r="J261" s="51"/>
      <c r="K261" s="51"/>
      <c r="L261" s="50"/>
      <c r="M261" s="50"/>
      <c r="N261" s="50"/>
      <c r="O261" s="51"/>
      <c r="P261" s="50"/>
      <c r="Q261" s="50"/>
      <c r="R261" s="50"/>
      <c r="S261" s="50"/>
      <c r="T261" s="50"/>
    </row>
    <row r="262" spans="1:20" ht="25.5" customHeight="1" x14ac:dyDescent="0.2">
      <c r="A262" s="50"/>
      <c r="B262" s="50"/>
      <c r="C262" s="50"/>
      <c r="D262" s="50"/>
      <c r="E262" s="51"/>
      <c r="F262" s="51"/>
      <c r="G262" s="50"/>
      <c r="H262" s="51"/>
      <c r="I262" s="51"/>
      <c r="J262" s="51"/>
      <c r="K262" s="51"/>
      <c r="L262" s="50"/>
      <c r="M262" s="50"/>
      <c r="N262" s="50"/>
      <c r="O262" s="51"/>
      <c r="P262" s="50"/>
      <c r="Q262" s="50"/>
      <c r="R262" s="50"/>
      <c r="S262" s="50"/>
      <c r="T262" s="50"/>
    </row>
    <row r="263" spans="1:20" ht="25.5" customHeight="1" x14ac:dyDescent="0.2">
      <c r="A263" s="50"/>
      <c r="B263" s="50"/>
      <c r="C263" s="50"/>
      <c r="D263" s="50"/>
      <c r="E263" s="51"/>
      <c r="F263" s="51"/>
      <c r="G263" s="50"/>
      <c r="H263" s="51"/>
      <c r="I263" s="51"/>
      <c r="J263" s="51"/>
      <c r="K263" s="51"/>
      <c r="L263" s="50"/>
      <c r="M263" s="50"/>
      <c r="N263" s="50"/>
      <c r="O263" s="51"/>
      <c r="P263" s="50"/>
      <c r="Q263" s="50"/>
      <c r="R263" s="50"/>
      <c r="S263" s="50"/>
      <c r="T263" s="50"/>
    </row>
    <row r="264" spans="1:20" ht="25.5" customHeight="1" x14ac:dyDescent="0.2">
      <c r="A264" s="50"/>
      <c r="B264" s="50"/>
      <c r="C264" s="50"/>
      <c r="D264" s="50"/>
      <c r="E264" s="51"/>
      <c r="F264" s="51"/>
      <c r="G264" s="50"/>
      <c r="H264" s="51"/>
      <c r="I264" s="51"/>
      <c r="J264" s="51"/>
      <c r="K264" s="51"/>
      <c r="L264" s="50"/>
      <c r="M264" s="50"/>
      <c r="N264" s="50"/>
      <c r="O264" s="51"/>
      <c r="P264" s="50"/>
      <c r="Q264" s="50"/>
      <c r="R264" s="50"/>
      <c r="S264" s="50"/>
      <c r="T264" s="50"/>
    </row>
    <row r="265" spans="1:20" ht="25.5" customHeight="1" x14ac:dyDescent="0.2">
      <c r="A265" s="50"/>
      <c r="B265" s="50"/>
      <c r="C265" s="50"/>
      <c r="D265" s="50"/>
      <c r="E265" s="51"/>
      <c r="F265" s="51"/>
      <c r="G265" s="50"/>
      <c r="H265" s="51"/>
      <c r="I265" s="51"/>
      <c r="J265" s="51"/>
      <c r="K265" s="51"/>
      <c r="L265" s="50"/>
      <c r="M265" s="50"/>
      <c r="N265" s="50"/>
      <c r="O265" s="51"/>
      <c r="P265" s="50"/>
      <c r="Q265" s="50"/>
      <c r="R265" s="50"/>
      <c r="S265" s="50"/>
      <c r="T265" s="50"/>
    </row>
    <row r="266" spans="1:20" ht="25.5" customHeight="1" x14ac:dyDescent="0.2">
      <c r="A266" s="50"/>
      <c r="B266" s="50"/>
      <c r="C266" s="50"/>
      <c r="D266" s="50"/>
      <c r="E266" s="51"/>
      <c r="F266" s="51"/>
      <c r="G266" s="50"/>
      <c r="H266" s="51"/>
      <c r="I266" s="51"/>
      <c r="J266" s="51"/>
      <c r="K266" s="51"/>
      <c r="L266" s="50"/>
      <c r="M266" s="50"/>
      <c r="N266" s="50"/>
      <c r="O266" s="51"/>
      <c r="P266" s="50"/>
      <c r="Q266" s="50"/>
      <c r="R266" s="50"/>
      <c r="S266" s="50"/>
      <c r="T266" s="50"/>
    </row>
    <row r="267" spans="1:20" ht="25.5" customHeight="1" x14ac:dyDescent="0.2">
      <c r="A267" s="50"/>
      <c r="B267" s="50"/>
      <c r="C267" s="50"/>
      <c r="D267" s="50"/>
      <c r="E267" s="51"/>
      <c r="F267" s="51"/>
      <c r="G267" s="50"/>
      <c r="H267" s="51"/>
      <c r="I267" s="51"/>
      <c r="J267" s="51"/>
      <c r="K267" s="51"/>
      <c r="L267" s="50"/>
      <c r="M267" s="50"/>
      <c r="N267" s="50"/>
      <c r="O267" s="51"/>
      <c r="P267" s="50"/>
      <c r="Q267" s="50"/>
      <c r="R267" s="50"/>
      <c r="S267" s="50"/>
      <c r="T267" s="50"/>
    </row>
    <row r="268" spans="1:20" ht="25.5" customHeight="1" x14ac:dyDescent="0.2">
      <c r="A268" s="50"/>
      <c r="B268" s="50"/>
      <c r="C268" s="50"/>
      <c r="D268" s="50"/>
      <c r="E268" s="51"/>
      <c r="F268" s="51"/>
      <c r="G268" s="50"/>
      <c r="H268" s="51"/>
      <c r="I268" s="51"/>
      <c r="J268" s="51"/>
      <c r="K268" s="51"/>
      <c r="L268" s="50"/>
      <c r="M268" s="50"/>
      <c r="N268" s="50"/>
      <c r="O268" s="51"/>
      <c r="P268" s="50"/>
      <c r="Q268" s="50"/>
      <c r="R268" s="50"/>
      <c r="S268" s="50"/>
      <c r="T268" s="50"/>
    </row>
    <row r="269" spans="1:20" ht="25.5" customHeight="1" x14ac:dyDescent="0.2">
      <c r="A269" s="50"/>
      <c r="B269" s="50"/>
      <c r="C269" s="50"/>
      <c r="D269" s="50"/>
      <c r="E269" s="51"/>
      <c r="F269" s="51"/>
      <c r="G269" s="50"/>
      <c r="H269" s="51"/>
      <c r="I269" s="51"/>
      <c r="J269" s="51"/>
      <c r="K269" s="51"/>
      <c r="L269" s="50"/>
      <c r="M269" s="50"/>
      <c r="N269" s="50"/>
      <c r="O269" s="51"/>
      <c r="P269" s="50"/>
      <c r="Q269" s="50"/>
      <c r="R269" s="50"/>
      <c r="S269" s="50"/>
      <c r="T269" s="50"/>
    </row>
    <row r="270" spans="1:20" ht="25.5" customHeight="1" x14ac:dyDescent="0.2">
      <c r="A270" s="50"/>
      <c r="B270" s="50"/>
      <c r="C270" s="50"/>
      <c r="D270" s="50"/>
      <c r="E270" s="51"/>
      <c r="F270" s="51"/>
      <c r="G270" s="50"/>
      <c r="H270" s="51"/>
      <c r="I270" s="51"/>
      <c r="J270" s="51"/>
      <c r="K270" s="51"/>
      <c r="L270" s="50"/>
      <c r="M270" s="50"/>
      <c r="N270" s="50"/>
      <c r="O270" s="51"/>
      <c r="P270" s="50"/>
      <c r="Q270" s="50"/>
      <c r="R270" s="50"/>
      <c r="S270" s="50"/>
      <c r="T270" s="50"/>
    </row>
    <row r="271" spans="1:20" ht="25.5" customHeight="1" x14ac:dyDescent="0.2">
      <c r="A271" s="50"/>
      <c r="B271" s="50"/>
      <c r="C271" s="50"/>
      <c r="D271" s="50"/>
      <c r="E271" s="51"/>
      <c r="F271" s="51"/>
      <c r="G271" s="50"/>
      <c r="H271" s="51"/>
      <c r="I271" s="51"/>
      <c r="J271" s="51"/>
      <c r="K271" s="51"/>
      <c r="L271" s="50"/>
      <c r="M271" s="50"/>
      <c r="N271" s="50"/>
      <c r="O271" s="51"/>
      <c r="P271" s="50"/>
      <c r="Q271" s="50"/>
      <c r="R271" s="50"/>
      <c r="S271" s="50"/>
      <c r="T271" s="50"/>
    </row>
    <row r="272" spans="1:20" ht="25.5" customHeight="1" x14ac:dyDescent="0.2">
      <c r="A272" s="50"/>
      <c r="B272" s="50"/>
      <c r="C272" s="50"/>
      <c r="D272" s="50"/>
      <c r="E272" s="51"/>
      <c r="F272" s="51"/>
      <c r="G272" s="50"/>
      <c r="H272" s="51"/>
      <c r="I272" s="51"/>
      <c r="J272" s="51"/>
      <c r="K272" s="51"/>
      <c r="L272" s="50"/>
      <c r="M272" s="50"/>
      <c r="N272" s="50"/>
      <c r="O272" s="51"/>
      <c r="P272" s="50"/>
      <c r="Q272" s="50"/>
      <c r="R272" s="50"/>
      <c r="S272" s="50"/>
      <c r="T272" s="50"/>
    </row>
    <row r="273" spans="1:20" ht="25.5" customHeight="1" x14ac:dyDescent="0.2">
      <c r="A273" s="50"/>
      <c r="B273" s="50"/>
      <c r="C273" s="50"/>
      <c r="D273" s="50"/>
      <c r="E273" s="51"/>
      <c r="F273" s="51"/>
      <c r="G273" s="50"/>
      <c r="H273" s="51"/>
      <c r="I273" s="51"/>
      <c r="J273" s="51"/>
      <c r="K273" s="51"/>
      <c r="L273" s="50"/>
      <c r="M273" s="50"/>
      <c r="N273" s="50"/>
      <c r="O273" s="51"/>
      <c r="P273" s="50"/>
      <c r="Q273" s="50"/>
      <c r="R273" s="50"/>
      <c r="S273" s="50"/>
      <c r="T273" s="50"/>
    </row>
    <row r="274" spans="1:20" ht="25.5" customHeight="1" x14ac:dyDescent="0.2">
      <c r="A274" s="50"/>
      <c r="B274" s="50"/>
      <c r="C274" s="50"/>
      <c r="D274" s="50"/>
      <c r="E274" s="51"/>
      <c r="F274" s="51"/>
      <c r="G274" s="50"/>
      <c r="H274" s="51"/>
      <c r="I274" s="51"/>
      <c r="J274" s="51"/>
      <c r="K274" s="51"/>
      <c r="L274" s="50"/>
      <c r="M274" s="50"/>
      <c r="N274" s="50"/>
      <c r="O274" s="51"/>
      <c r="P274" s="50"/>
      <c r="Q274" s="50"/>
      <c r="R274" s="50"/>
      <c r="S274" s="50"/>
      <c r="T274" s="50"/>
    </row>
    <row r="275" spans="1:20" ht="25.5" customHeight="1" x14ac:dyDescent="0.2">
      <c r="A275" s="50"/>
      <c r="B275" s="50"/>
      <c r="C275" s="50"/>
      <c r="D275" s="50"/>
      <c r="E275" s="51"/>
      <c r="F275" s="51"/>
      <c r="G275" s="50"/>
      <c r="H275" s="51"/>
      <c r="I275" s="51"/>
      <c r="J275" s="51"/>
      <c r="K275" s="51"/>
      <c r="L275" s="50"/>
      <c r="M275" s="50"/>
      <c r="N275" s="50"/>
      <c r="O275" s="51"/>
      <c r="P275" s="50"/>
      <c r="Q275" s="50"/>
      <c r="R275" s="50"/>
      <c r="S275" s="50"/>
      <c r="T275" s="50"/>
    </row>
    <row r="276" spans="1:20" ht="25.5" customHeight="1" x14ac:dyDescent="0.2">
      <c r="A276" s="50"/>
      <c r="B276" s="50"/>
      <c r="C276" s="50"/>
      <c r="D276" s="50"/>
      <c r="E276" s="51"/>
      <c r="F276" s="51"/>
      <c r="G276" s="50"/>
      <c r="H276" s="51"/>
      <c r="I276" s="51"/>
      <c r="J276" s="51"/>
      <c r="K276" s="51"/>
      <c r="L276" s="50"/>
      <c r="M276" s="50"/>
      <c r="N276" s="50"/>
      <c r="O276" s="51"/>
      <c r="P276" s="50"/>
      <c r="Q276" s="50"/>
      <c r="R276" s="50"/>
      <c r="S276" s="50"/>
      <c r="T276" s="50"/>
    </row>
    <row r="277" spans="1:20" ht="25.5" customHeight="1" x14ac:dyDescent="0.2">
      <c r="A277" s="50"/>
      <c r="B277" s="50"/>
      <c r="C277" s="50"/>
      <c r="D277" s="50"/>
      <c r="E277" s="51"/>
      <c r="F277" s="51"/>
      <c r="G277" s="50"/>
      <c r="H277" s="51"/>
      <c r="I277" s="51"/>
      <c r="J277" s="51"/>
      <c r="K277" s="51"/>
      <c r="L277" s="50"/>
      <c r="M277" s="50"/>
      <c r="N277" s="50"/>
      <c r="O277" s="51"/>
      <c r="P277" s="50"/>
      <c r="Q277" s="50"/>
      <c r="R277" s="50"/>
      <c r="S277" s="50"/>
      <c r="T277" s="50"/>
    </row>
    <row r="278" spans="1:20" ht="25.5" customHeight="1" x14ac:dyDescent="0.2">
      <c r="A278" s="50"/>
      <c r="B278" s="50"/>
      <c r="C278" s="50"/>
      <c r="D278" s="50"/>
      <c r="E278" s="51"/>
      <c r="F278" s="51"/>
      <c r="G278" s="50"/>
      <c r="H278" s="51"/>
      <c r="I278" s="51"/>
      <c r="J278" s="51"/>
      <c r="K278" s="51"/>
      <c r="L278" s="50"/>
      <c r="M278" s="50"/>
      <c r="N278" s="50"/>
      <c r="O278" s="51"/>
      <c r="P278" s="50"/>
      <c r="Q278" s="50"/>
      <c r="R278" s="50"/>
      <c r="S278" s="50"/>
      <c r="T278" s="50"/>
    </row>
    <row r="279" spans="1:20" ht="25.5" customHeight="1" x14ac:dyDescent="0.2">
      <c r="A279" s="50"/>
      <c r="B279" s="50"/>
      <c r="C279" s="50"/>
      <c r="D279" s="50"/>
      <c r="E279" s="51"/>
      <c r="F279" s="51"/>
      <c r="G279" s="50"/>
      <c r="H279" s="51"/>
      <c r="I279" s="51"/>
      <c r="J279" s="51"/>
      <c r="K279" s="51"/>
      <c r="L279" s="50"/>
      <c r="M279" s="50"/>
      <c r="N279" s="50"/>
      <c r="O279" s="51"/>
      <c r="P279" s="50"/>
      <c r="Q279" s="50"/>
      <c r="R279" s="50"/>
      <c r="S279" s="50"/>
      <c r="T279" s="50"/>
    </row>
    <row r="280" spans="1:20" ht="25.5" customHeight="1" x14ac:dyDescent="0.2">
      <c r="A280" s="50"/>
      <c r="B280" s="50"/>
      <c r="C280" s="50"/>
      <c r="D280" s="50"/>
      <c r="E280" s="51"/>
      <c r="F280" s="51"/>
      <c r="G280" s="50"/>
      <c r="H280" s="51"/>
      <c r="I280" s="51"/>
      <c r="J280" s="51"/>
      <c r="K280" s="51"/>
      <c r="L280" s="50"/>
      <c r="M280" s="50"/>
      <c r="N280" s="50"/>
      <c r="O280" s="51"/>
      <c r="P280" s="50"/>
      <c r="Q280" s="50"/>
      <c r="R280" s="50"/>
      <c r="S280" s="50"/>
      <c r="T280" s="50"/>
    </row>
    <row r="281" spans="1:20" ht="25.5" customHeight="1" x14ac:dyDescent="0.2">
      <c r="A281" s="50"/>
      <c r="B281" s="50"/>
      <c r="C281" s="50"/>
      <c r="D281" s="50"/>
      <c r="E281" s="51"/>
      <c r="F281" s="51"/>
      <c r="G281" s="50"/>
      <c r="H281" s="51"/>
      <c r="I281" s="51"/>
      <c r="J281" s="51"/>
      <c r="K281" s="51"/>
      <c r="L281" s="50"/>
      <c r="M281" s="50"/>
      <c r="N281" s="50"/>
      <c r="O281" s="51"/>
      <c r="P281" s="50"/>
      <c r="Q281" s="50"/>
      <c r="R281" s="50"/>
      <c r="S281" s="50"/>
      <c r="T281" s="50"/>
    </row>
    <row r="282" spans="1:20" ht="25.5" customHeight="1" x14ac:dyDescent="0.2">
      <c r="A282" s="50"/>
      <c r="B282" s="50"/>
      <c r="C282" s="50"/>
      <c r="D282" s="50"/>
      <c r="E282" s="51"/>
      <c r="F282" s="51"/>
      <c r="G282" s="50"/>
      <c r="H282" s="51"/>
      <c r="I282" s="51"/>
      <c r="J282" s="51"/>
      <c r="K282" s="51"/>
      <c r="L282" s="50"/>
      <c r="M282" s="50"/>
      <c r="N282" s="50"/>
      <c r="O282" s="51"/>
      <c r="P282" s="50"/>
      <c r="Q282" s="50"/>
      <c r="R282" s="50"/>
      <c r="S282" s="50"/>
      <c r="T282" s="50"/>
    </row>
    <row r="283" spans="1:20" ht="25.5" customHeight="1" x14ac:dyDescent="0.2">
      <c r="A283" s="50"/>
      <c r="B283" s="50"/>
      <c r="C283" s="50"/>
      <c r="D283" s="50"/>
      <c r="E283" s="51"/>
      <c r="F283" s="51"/>
      <c r="G283" s="50"/>
      <c r="H283" s="51"/>
      <c r="I283" s="51"/>
      <c r="J283" s="51"/>
      <c r="K283" s="51"/>
      <c r="L283" s="50"/>
      <c r="M283" s="50"/>
      <c r="N283" s="50"/>
      <c r="O283" s="51"/>
      <c r="P283" s="50"/>
      <c r="Q283" s="50"/>
      <c r="R283" s="50"/>
      <c r="S283" s="50"/>
      <c r="T283" s="50"/>
    </row>
    <row r="284" spans="1:20" ht="25.5" customHeight="1" x14ac:dyDescent="0.2">
      <c r="A284" s="50"/>
      <c r="B284" s="50"/>
      <c r="C284" s="50"/>
      <c r="D284" s="50"/>
      <c r="E284" s="51"/>
      <c r="F284" s="51"/>
      <c r="G284" s="50"/>
      <c r="H284" s="51"/>
      <c r="I284" s="51"/>
      <c r="J284" s="51"/>
      <c r="K284" s="51"/>
      <c r="L284" s="50"/>
      <c r="M284" s="50"/>
      <c r="N284" s="50"/>
      <c r="O284" s="51"/>
      <c r="P284" s="50"/>
      <c r="Q284" s="50"/>
      <c r="R284" s="50"/>
      <c r="S284" s="50"/>
      <c r="T284" s="50"/>
    </row>
    <row r="285" spans="1:20" ht="25.5" customHeight="1" x14ac:dyDescent="0.2">
      <c r="A285" s="50"/>
      <c r="B285" s="50"/>
      <c r="C285" s="50"/>
      <c r="D285" s="50"/>
      <c r="E285" s="51"/>
      <c r="F285" s="51"/>
      <c r="G285" s="50"/>
      <c r="H285" s="51"/>
      <c r="I285" s="51"/>
      <c r="J285" s="51"/>
      <c r="K285" s="51"/>
      <c r="L285" s="50"/>
      <c r="M285" s="50"/>
      <c r="N285" s="50"/>
      <c r="O285" s="51"/>
      <c r="P285" s="50"/>
      <c r="Q285" s="50"/>
      <c r="R285" s="50"/>
      <c r="S285" s="50"/>
      <c r="T285" s="50"/>
    </row>
    <row r="286" spans="1:20" ht="25.5" customHeight="1" x14ac:dyDescent="0.2">
      <c r="A286" s="50"/>
      <c r="B286" s="50"/>
      <c r="C286" s="50"/>
      <c r="D286" s="50"/>
      <c r="E286" s="51"/>
      <c r="F286" s="51"/>
      <c r="G286" s="50"/>
      <c r="H286" s="51"/>
      <c r="I286" s="51"/>
      <c r="J286" s="51"/>
      <c r="K286" s="51"/>
      <c r="L286" s="50"/>
      <c r="M286" s="50"/>
      <c r="N286" s="50"/>
      <c r="O286" s="51"/>
      <c r="P286" s="50"/>
      <c r="Q286" s="50"/>
      <c r="R286" s="50"/>
      <c r="S286" s="50"/>
      <c r="T286" s="50"/>
    </row>
    <row r="287" spans="1:20" ht="25.5" customHeight="1" x14ac:dyDescent="0.2">
      <c r="A287" s="50"/>
      <c r="B287" s="50"/>
      <c r="C287" s="50"/>
      <c r="D287" s="50"/>
      <c r="E287" s="51"/>
      <c r="F287" s="51"/>
      <c r="G287" s="50"/>
      <c r="H287" s="51"/>
      <c r="I287" s="51"/>
      <c r="J287" s="51"/>
      <c r="K287" s="51"/>
      <c r="L287" s="50"/>
      <c r="M287" s="50"/>
      <c r="N287" s="50"/>
      <c r="O287" s="51"/>
      <c r="P287" s="50"/>
      <c r="Q287" s="50"/>
      <c r="R287" s="50"/>
      <c r="S287" s="50"/>
      <c r="T287" s="50"/>
    </row>
    <row r="288" spans="1:20" ht="25.5" customHeight="1" x14ac:dyDescent="0.2">
      <c r="A288" s="50"/>
      <c r="B288" s="50"/>
      <c r="C288" s="50"/>
      <c r="D288" s="50"/>
      <c r="E288" s="51"/>
      <c r="F288" s="51"/>
      <c r="G288" s="50"/>
      <c r="H288" s="51"/>
      <c r="I288" s="51"/>
      <c r="J288" s="51"/>
      <c r="K288" s="51"/>
      <c r="L288" s="50"/>
      <c r="M288" s="50"/>
      <c r="N288" s="50"/>
      <c r="O288" s="51"/>
      <c r="P288" s="50"/>
      <c r="Q288" s="50"/>
      <c r="R288" s="50"/>
      <c r="S288" s="50"/>
      <c r="T288" s="50"/>
    </row>
    <row r="289" spans="1:20" ht="25.5" customHeight="1" x14ac:dyDescent="0.2">
      <c r="A289" s="50"/>
      <c r="B289" s="50"/>
      <c r="C289" s="50"/>
      <c r="D289" s="50"/>
      <c r="E289" s="51"/>
      <c r="F289" s="51"/>
      <c r="G289" s="50"/>
      <c r="H289" s="51"/>
      <c r="I289" s="51"/>
      <c r="J289" s="51"/>
      <c r="K289" s="51"/>
      <c r="L289" s="50"/>
      <c r="M289" s="50"/>
      <c r="N289" s="50"/>
      <c r="O289" s="51"/>
      <c r="P289" s="50"/>
      <c r="Q289" s="50"/>
      <c r="R289" s="50"/>
      <c r="S289" s="50"/>
      <c r="T289" s="50"/>
    </row>
    <row r="290" spans="1:20" ht="25.5" customHeight="1" x14ac:dyDescent="0.2">
      <c r="A290" s="50"/>
      <c r="B290" s="50"/>
      <c r="C290" s="50"/>
      <c r="D290" s="50"/>
      <c r="E290" s="51"/>
      <c r="F290" s="51"/>
      <c r="G290" s="50"/>
      <c r="H290" s="51"/>
      <c r="I290" s="51"/>
      <c r="J290" s="51"/>
      <c r="K290" s="51"/>
      <c r="L290" s="50"/>
      <c r="M290" s="50"/>
      <c r="N290" s="50"/>
      <c r="O290" s="51"/>
      <c r="P290" s="50"/>
      <c r="Q290" s="50"/>
      <c r="R290" s="50"/>
      <c r="S290" s="50"/>
      <c r="T290" s="50"/>
    </row>
    <row r="291" spans="1:20" ht="25.5" customHeight="1" x14ac:dyDescent="0.2">
      <c r="A291" s="50"/>
      <c r="B291" s="50"/>
      <c r="C291" s="50"/>
      <c r="D291" s="50"/>
      <c r="E291" s="51"/>
      <c r="F291" s="51"/>
      <c r="G291" s="50"/>
      <c r="H291" s="51"/>
      <c r="I291" s="51"/>
      <c r="J291" s="51"/>
      <c r="K291" s="51"/>
      <c r="L291" s="50"/>
      <c r="M291" s="50"/>
      <c r="N291" s="50"/>
      <c r="O291" s="51"/>
      <c r="P291" s="50"/>
      <c r="Q291" s="50"/>
      <c r="R291" s="50"/>
      <c r="S291" s="50"/>
      <c r="T291" s="50"/>
    </row>
    <row r="292" spans="1:20" ht="25.5" customHeight="1" x14ac:dyDescent="0.2">
      <c r="A292" s="50"/>
      <c r="B292" s="50"/>
      <c r="C292" s="50"/>
      <c r="D292" s="50"/>
      <c r="E292" s="51"/>
      <c r="F292" s="51"/>
      <c r="G292" s="50"/>
      <c r="H292" s="51"/>
      <c r="I292" s="51"/>
      <c r="J292" s="51"/>
      <c r="K292" s="51"/>
      <c r="L292" s="50"/>
      <c r="M292" s="50"/>
      <c r="N292" s="50"/>
      <c r="O292" s="51"/>
      <c r="P292" s="50"/>
      <c r="Q292" s="50"/>
      <c r="R292" s="50"/>
      <c r="S292" s="50"/>
      <c r="T292" s="50"/>
    </row>
    <row r="293" spans="1:20" ht="25.5" customHeight="1" x14ac:dyDescent="0.2">
      <c r="A293" s="50"/>
      <c r="B293" s="50"/>
      <c r="C293" s="50"/>
      <c r="D293" s="50"/>
      <c r="E293" s="51"/>
      <c r="F293" s="51"/>
      <c r="G293" s="50"/>
      <c r="H293" s="51"/>
      <c r="I293" s="51"/>
      <c r="J293" s="51"/>
      <c r="K293" s="51"/>
      <c r="L293" s="50"/>
      <c r="M293" s="50"/>
      <c r="N293" s="50"/>
      <c r="O293" s="51"/>
      <c r="P293" s="50"/>
      <c r="Q293" s="50"/>
      <c r="R293" s="50"/>
      <c r="S293" s="50"/>
      <c r="T293" s="50"/>
    </row>
    <row r="294" spans="1:20" ht="25.5" customHeight="1" x14ac:dyDescent="0.2">
      <c r="A294" s="50"/>
      <c r="B294" s="50"/>
      <c r="C294" s="50"/>
      <c r="D294" s="50"/>
      <c r="E294" s="51"/>
      <c r="F294" s="51"/>
      <c r="G294" s="50"/>
      <c r="H294" s="51"/>
      <c r="I294" s="51"/>
      <c r="J294" s="51"/>
      <c r="K294" s="51"/>
      <c r="L294" s="50"/>
      <c r="M294" s="50"/>
      <c r="N294" s="50"/>
      <c r="O294" s="51"/>
      <c r="P294" s="50"/>
      <c r="Q294" s="50"/>
      <c r="R294" s="50"/>
      <c r="S294" s="50"/>
      <c r="T294" s="50"/>
    </row>
    <row r="295" spans="1:20" ht="25.5" customHeight="1" x14ac:dyDescent="0.2">
      <c r="A295" s="50"/>
      <c r="B295" s="50"/>
      <c r="C295" s="50"/>
      <c r="D295" s="50"/>
      <c r="E295" s="51"/>
      <c r="F295" s="51"/>
      <c r="G295" s="50"/>
      <c r="H295" s="51"/>
      <c r="I295" s="51"/>
      <c r="J295" s="51"/>
      <c r="K295" s="51"/>
      <c r="L295" s="50"/>
      <c r="M295" s="50"/>
      <c r="N295" s="50"/>
      <c r="O295" s="51"/>
      <c r="P295" s="50"/>
      <c r="Q295" s="50"/>
      <c r="R295" s="50"/>
      <c r="S295" s="50"/>
      <c r="T295" s="50"/>
    </row>
    <row r="296" spans="1:20" ht="25.5" customHeight="1" x14ac:dyDescent="0.2">
      <c r="A296" s="50"/>
      <c r="B296" s="50"/>
      <c r="C296" s="50"/>
      <c r="D296" s="50"/>
      <c r="E296" s="51"/>
      <c r="F296" s="51"/>
      <c r="G296" s="50"/>
      <c r="H296" s="51"/>
      <c r="I296" s="51"/>
      <c r="J296" s="51"/>
      <c r="K296" s="51"/>
      <c r="L296" s="50"/>
      <c r="M296" s="50"/>
      <c r="N296" s="50"/>
      <c r="O296" s="51"/>
      <c r="P296" s="50"/>
      <c r="Q296" s="50"/>
      <c r="R296" s="50"/>
      <c r="S296" s="50"/>
      <c r="T296" s="50"/>
    </row>
    <row r="297" spans="1:20" ht="25.5" customHeight="1" x14ac:dyDescent="0.2">
      <c r="A297" s="50"/>
      <c r="B297" s="50"/>
      <c r="C297" s="50"/>
      <c r="D297" s="50"/>
      <c r="E297" s="51"/>
      <c r="F297" s="51"/>
      <c r="G297" s="50"/>
      <c r="H297" s="51"/>
      <c r="I297" s="51"/>
      <c r="J297" s="51"/>
      <c r="K297" s="51"/>
      <c r="L297" s="50"/>
      <c r="M297" s="50"/>
      <c r="N297" s="50"/>
      <c r="O297" s="51"/>
      <c r="P297" s="50"/>
      <c r="Q297" s="50"/>
      <c r="R297" s="50"/>
      <c r="S297" s="50"/>
      <c r="T297" s="50"/>
    </row>
    <row r="298" spans="1:20" ht="25.5" customHeight="1" x14ac:dyDescent="0.2">
      <c r="A298" s="50"/>
      <c r="B298" s="50"/>
      <c r="C298" s="50"/>
      <c r="D298" s="50"/>
      <c r="E298" s="51"/>
      <c r="F298" s="51"/>
      <c r="G298" s="50"/>
      <c r="H298" s="51"/>
      <c r="I298" s="51"/>
      <c r="J298" s="51"/>
      <c r="K298" s="51"/>
      <c r="L298" s="50"/>
      <c r="M298" s="50"/>
      <c r="N298" s="50"/>
      <c r="O298" s="51"/>
      <c r="P298" s="50"/>
      <c r="Q298" s="50"/>
      <c r="R298" s="50"/>
      <c r="S298" s="50"/>
      <c r="T298" s="50"/>
    </row>
    <row r="299" spans="1:20" ht="25.5" customHeight="1" x14ac:dyDescent="0.2">
      <c r="A299" s="50"/>
      <c r="B299" s="50"/>
      <c r="C299" s="50"/>
      <c r="D299" s="50"/>
      <c r="E299" s="51"/>
      <c r="F299" s="51"/>
      <c r="G299" s="50"/>
      <c r="H299" s="51"/>
      <c r="I299" s="51"/>
      <c r="J299" s="51"/>
      <c r="K299" s="51"/>
      <c r="L299" s="50"/>
      <c r="M299" s="50"/>
      <c r="N299" s="50"/>
      <c r="O299" s="51"/>
      <c r="P299" s="50"/>
      <c r="Q299" s="50"/>
      <c r="R299" s="50"/>
      <c r="S299" s="50"/>
      <c r="T299" s="50"/>
    </row>
    <row r="300" spans="1:20" ht="25.5" customHeight="1" x14ac:dyDescent="0.2">
      <c r="A300" s="50"/>
      <c r="B300" s="50"/>
      <c r="C300" s="50"/>
      <c r="D300" s="50"/>
      <c r="E300" s="51"/>
      <c r="F300" s="51"/>
      <c r="G300" s="50"/>
      <c r="H300" s="51"/>
      <c r="I300" s="51"/>
      <c r="J300" s="51"/>
      <c r="K300" s="51"/>
      <c r="L300" s="50"/>
      <c r="M300" s="50"/>
      <c r="N300" s="50"/>
      <c r="O300" s="51"/>
      <c r="P300" s="50"/>
      <c r="Q300" s="50"/>
      <c r="R300" s="50"/>
      <c r="S300" s="50"/>
      <c r="T300" s="50"/>
    </row>
    <row r="301" spans="1:20" ht="25.5" customHeight="1" x14ac:dyDescent="0.2">
      <c r="A301" s="50"/>
      <c r="B301" s="50"/>
      <c r="C301" s="50"/>
      <c r="D301" s="50"/>
      <c r="E301" s="51"/>
      <c r="F301" s="51"/>
      <c r="G301" s="50"/>
      <c r="H301" s="51"/>
      <c r="I301" s="51"/>
      <c r="J301" s="51"/>
      <c r="K301" s="51"/>
      <c r="L301" s="50"/>
      <c r="M301" s="50"/>
      <c r="N301" s="50"/>
      <c r="O301" s="51"/>
      <c r="P301" s="50"/>
      <c r="Q301" s="50"/>
      <c r="R301" s="50"/>
      <c r="S301" s="50"/>
      <c r="T301" s="50"/>
    </row>
    <row r="302" spans="1:20" ht="25.5" customHeight="1" x14ac:dyDescent="0.2">
      <c r="A302" s="50"/>
      <c r="B302" s="50"/>
      <c r="C302" s="50"/>
      <c r="D302" s="50"/>
      <c r="E302" s="51"/>
      <c r="F302" s="51"/>
      <c r="G302" s="50"/>
      <c r="H302" s="51"/>
      <c r="I302" s="51"/>
      <c r="J302" s="51"/>
      <c r="K302" s="51"/>
      <c r="L302" s="50"/>
      <c r="M302" s="50"/>
      <c r="N302" s="50"/>
      <c r="O302" s="51"/>
      <c r="P302" s="50"/>
      <c r="Q302" s="50"/>
      <c r="R302" s="50"/>
      <c r="S302" s="50"/>
      <c r="T302" s="50"/>
    </row>
    <row r="303" spans="1:20" ht="25.5" customHeight="1" x14ac:dyDescent="0.2">
      <c r="A303" s="50"/>
      <c r="B303" s="50"/>
      <c r="C303" s="50"/>
      <c r="D303" s="50"/>
      <c r="E303" s="51"/>
      <c r="F303" s="51"/>
      <c r="G303" s="50"/>
      <c r="H303" s="51"/>
      <c r="I303" s="51"/>
      <c r="J303" s="51"/>
      <c r="K303" s="51"/>
      <c r="L303" s="50"/>
      <c r="M303" s="50"/>
      <c r="N303" s="50"/>
      <c r="O303" s="51"/>
      <c r="P303" s="50"/>
      <c r="Q303" s="50"/>
      <c r="R303" s="50"/>
      <c r="S303" s="50"/>
      <c r="T303" s="50"/>
    </row>
    <row r="304" spans="1:20" ht="25.5" customHeight="1" x14ac:dyDescent="0.2">
      <c r="A304" s="50"/>
      <c r="B304" s="50"/>
      <c r="C304" s="50"/>
      <c r="D304" s="50"/>
      <c r="E304" s="51"/>
      <c r="F304" s="51"/>
      <c r="G304" s="50"/>
      <c r="H304" s="51"/>
      <c r="I304" s="51"/>
      <c r="J304" s="51"/>
      <c r="K304" s="51"/>
      <c r="L304" s="50"/>
      <c r="M304" s="50"/>
      <c r="N304" s="50"/>
      <c r="O304" s="51"/>
      <c r="P304" s="50"/>
      <c r="Q304" s="50"/>
      <c r="R304" s="50"/>
      <c r="S304" s="50"/>
      <c r="T304" s="50"/>
    </row>
    <row r="305" spans="1:20" ht="25.5" customHeight="1" x14ac:dyDescent="0.2">
      <c r="A305" s="50"/>
      <c r="B305" s="50"/>
      <c r="C305" s="50"/>
      <c r="D305" s="50"/>
      <c r="E305" s="51"/>
      <c r="F305" s="51"/>
      <c r="G305" s="50"/>
      <c r="H305" s="51"/>
      <c r="I305" s="51"/>
      <c r="J305" s="51"/>
      <c r="K305" s="51"/>
      <c r="L305" s="50"/>
      <c r="M305" s="50"/>
      <c r="N305" s="50"/>
      <c r="O305" s="51"/>
      <c r="P305" s="50"/>
      <c r="Q305" s="50"/>
      <c r="R305" s="50"/>
      <c r="S305" s="50"/>
      <c r="T305" s="50"/>
    </row>
    <row r="306" spans="1:20" ht="25.5" customHeight="1" x14ac:dyDescent="0.2">
      <c r="A306" s="50"/>
      <c r="B306" s="50"/>
      <c r="C306" s="50"/>
      <c r="D306" s="50"/>
      <c r="E306" s="51"/>
      <c r="F306" s="51"/>
      <c r="G306" s="50"/>
      <c r="H306" s="51"/>
      <c r="I306" s="51"/>
      <c r="J306" s="51"/>
      <c r="K306" s="51"/>
      <c r="L306" s="50"/>
      <c r="M306" s="50"/>
      <c r="N306" s="50"/>
      <c r="O306" s="51"/>
      <c r="P306" s="50"/>
      <c r="Q306" s="50"/>
      <c r="R306" s="50"/>
      <c r="S306" s="50"/>
      <c r="T306" s="50"/>
    </row>
    <row r="307" spans="1:20" ht="25.5" customHeight="1" x14ac:dyDescent="0.2">
      <c r="A307" s="50"/>
      <c r="B307" s="50"/>
      <c r="C307" s="50"/>
      <c r="D307" s="50"/>
      <c r="E307" s="51"/>
      <c r="F307" s="51"/>
      <c r="G307" s="50"/>
      <c r="H307" s="51"/>
      <c r="I307" s="51"/>
      <c r="J307" s="51"/>
      <c r="K307" s="51"/>
      <c r="L307" s="50"/>
      <c r="M307" s="50"/>
      <c r="N307" s="50"/>
      <c r="O307" s="51"/>
      <c r="P307" s="50"/>
      <c r="Q307" s="50"/>
      <c r="R307" s="50"/>
      <c r="S307" s="50"/>
      <c r="T307" s="50"/>
    </row>
    <row r="308" spans="1:20" ht="25.5" customHeight="1" x14ac:dyDescent="0.2">
      <c r="A308" s="50"/>
      <c r="B308" s="50"/>
      <c r="C308" s="50"/>
      <c r="D308" s="50"/>
      <c r="E308" s="51"/>
      <c r="F308" s="51"/>
      <c r="G308" s="50"/>
      <c r="H308" s="51"/>
      <c r="I308" s="51"/>
      <c r="J308" s="51"/>
      <c r="K308" s="51"/>
      <c r="L308" s="50"/>
      <c r="M308" s="50"/>
      <c r="N308" s="50"/>
      <c r="O308" s="51"/>
      <c r="P308" s="50"/>
      <c r="Q308" s="50"/>
      <c r="R308" s="50"/>
      <c r="S308" s="50"/>
      <c r="T308" s="50"/>
    </row>
    <row r="309" spans="1:20" ht="25.5" customHeight="1" x14ac:dyDescent="0.2">
      <c r="A309" s="50"/>
      <c r="B309" s="50"/>
      <c r="C309" s="50"/>
      <c r="D309" s="50"/>
      <c r="E309" s="51"/>
      <c r="F309" s="51"/>
      <c r="G309" s="50"/>
      <c r="H309" s="51"/>
      <c r="I309" s="51"/>
      <c r="J309" s="51"/>
      <c r="K309" s="51"/>
      <c r="L309" s="50"/>
      <c r="M309" s="50"/>
      <c r="N309" s="50"/>
      <c r="O309" s="51"/>
      <c r="P309" s="50"/>
      <c r="Q309" s="50"/>
      <c r="R309" s="50"/>
      <c r="S309" s="50"/>
      <c r="T309" s="50"/>
    </row>
    <row r="310" spans="1:20" ht="25.5" customHeight="1" x14ac:dyDescent="0.2">
      <c r="A310" s="50"/>
      <c r="B310" s="50"/>
      <c r="C310" s="50"/>
      <c r="D310" s="50"/>
      <c r="E310" s="51"/>
      <c r="F310" s="51"/>
      <c r="G310" s="50"/>
      <c r="H310" s="51"/>
      <c r="I310" s="51"/>
      <c r="J310" s="51"/>
      <c r="K310" s="51"/>
      <c r="L310" s="50"/>
      <c r="M310" s="50"/>
      <c r="N310" s="50"/>
      <c r="O310" s="51"/>
      <c r="P310" s="50"/>
      <c r="Q310" s="50"/>
      <c r="R310" s="50"/>
      <c r="S310" s="50"/>
      <c r="T310" s="50"/>
    </row>
    <row r="311" spans="1:20" ht="25.5" customHeight="1" x14ac:dyDescent="0.2">
      <c r="A311" s="50"/>
      <c r="B311" s="50"/>
      <c r="C311" s="50"/>
      <c r="D311" s="50"/>
      <c r="E311" s="51"/>
      <c r="F311" s="51"/>
      <c r="G311" s="50"/>
      <c r="H311" s="51"/>
      <c r="I311" s="51"/>
      <c r="J311" s="51"/>
      <c r="K311" s="51"/>
      <c r="L311" s="50"/>
      <c r="M311" s="50"/>
      <c r="N311" s="50"/>
      <c r="O311" s="51"/>
      <c r="P311" s="50"/>
      <c r="Q311" s="50"/>
      <c r="R311" s="50"/>
      <c r="S311" s="50"/>
      <c r="T311" s="50"/>
    </row>
    <row r="312" spans="1:20" ht="25.5" customHeight="1" x14ac:dyDescent="0.2">
      <c r="A312" s="50"/>
      <c r="B312" s="50"/>
      <c r="C312" s="50"/>
      <c r="D312" s="50"/>
      <c r="E312" s="51"/>
      <c r="F312" s="51"/>
      <c r="G312" s="50"/>
      <c r="H312" s="51"/>
      <c r="I312" s="51"/>
      <c r="J312" s="51"/>
      <c r="K312" s="51"/>
      <c r="L312" s="50"/>
      <c r="M312" s="50"/>
      <c r="N312" s="50"/>
      <c r="O312" s="51"/>
      <c r="P312" s="50"/>
      <c r="Q312" s="50"/>
      <c r="R312" s="50"/>
      <c r="S312" s="50"/>
      <c r="T312" s="50"/>
    </row>
    <row r="313" spans="1:20" ht="25.5" customHeight="1" x14ac:dyDescent="0.2">
      <c r="A313" s="50"/>
      <c r="B313" s="50"/>
      <c r="C313" s="50"/>
      <c r="D313" s="50"/>
      <c r="E313" s="51"/>
      <c r="F313" s="51"/>
      <c r="G313" s="50"/>
      <c r="H313" s="51"/>
      <c r="I313" s="51"/>
      <c r="J313" s="51"/>
      <c r="K313" s="51"/>
      <c r="L313" s="50"/>
      <c r="M313" s="50"/>
      <c r="N313" s="50"/>
      <c r="O313" s="51"/>
      <c r="P313" s="50"/>
      <c r="Q313" s="50"/>
      <c r="R313" s="50"/>
      <c r="S313" s="50"/>
      <c r="T313" s="50"/>
    </row>
    <row r="314" spans="1:20" ht="25.5" customHeight="1" x14ac:dyDescent="0.2">
      <c r="A314" s="50"/>
      <c r="B314" s="50"/>
      <c r="C314" s="50"/>
      <c r="D314" s="50"/>
      <c r="E314" s="51"/>
      <c r="F314" s="51"/>
      <c r="G314" s="50"/>
      <c r="H314" s="51"/>
      <c r="I314" s="51"/>
      <c r="J314" s="51"/>
      <c r="K314" s="51"/>
      <c r="L314" s="50"/>
      <c r="M314" s="50"/>
      <c r="N314" s="50"/>
      <c r="O314" s="51"/>
      <c r="P314" s="50"/>
      <c r="Q314" s="50"/>
      <c r="R314" s="50"/>
      <c r="S314" s="50"/>
      <c r="T314" s="50"/>
    </row>
    <row r="315" spans="1:20" ht="25.5" customHeight="1" x14ac:dyDescent="0.2">
      <c r="A315" s="50"/>
      <c r="B315" s="50"/>
      <c r="C315" s="50"/>
      <c r="D315" s="50"/>
      <c r="E315" s="51"/>
      <c r="F315" s="51"/>
      <c r="G315" s="50"/>
      <c r="H315" s="51"/>
      <c r="I315" s="51"/>
      <c r="J315" s="51"/>
      <c r="K315" s="51"/>
      <c r="L315" s="50"/>
      <c r="M315" s="50"/>
      <c r="N315" s="50"/>
      <c r="O315" s="51"/>
      <c r="P315" s="50"/>
      <c r="Q315" s="50"/>
      <c r="R315" s="50"/>
      <c r="S315" s="50"/>
      <c r="T315" s="50"/>
    </row>
    <row r="316" spans="1:20" ht="25.5" customHeight="1" x14ac:dyDescent="0.2">
      <c r="A316" s="50"/>
      <c r="B316" s="50"/>
      <c r="C316" s="50"/>
      <c r="D316" s="50"/>
      <c r="E316" s="51"/>
      <c r="F316" s="51"/>
      <c r="G316" s="50"/>
      <c r="H316" s="51"/>
      <c r="I316" s="51"/>
      <c r="J316" s="51"/>
      <c r="K316" s="51"/>
      <c r="L316" s="50"/>
      <c r="M316" s="50"/>
      <c r="N316" s="50"/>
      <c r="O316" s="51"/>
      <c r="P316" s="50"/>
      <c r="Q316" s="50"/>
      <c r="R316" s="50"/>
      <c r="S316" s="50"/>
      <c r="T316" s="50"/>
    </row>
    <row r="317" spans="1:20" ht="25.5" customHeight="1" x14ac:dyDescent="0.2">
      <c r="A317" s="50"/>
      <c r="B317" s="50"/>
      <c r="C317" s="50"/>
      <c r="D317" s="50"/>
      <c r="E317" s="51"/>
      <c r="F317" s="51"/>
      <c r="G317" s="50"/>
      <c r="H317" s="51"/>
      <c r="I317" s="51"/>
      <c r="J317" s="51"/>
      <c r="K317" s="51"/>
      <c r="L317" s="50"/>
      <c r="M317" s="50"/>
      <c r="N317" s="50"/>
      <c r="O317" s="51"/>
      <c r="P317" s="50"/>
      <c r="Q317" s="50"/>
      <c r="R317" s="50"/>
      <c r="S317" s="50"/>
      <c r="T317" s="50"/>
    </row>
    <row r="318" spans="1:20" ht="25.5" customHeight="1" x14ac:dyDescent="0.2">
      <c r="A318" s="50"/>
      <c r="B318" s="50"/>
      <c r="C318" s="50"/>
      <c r="D318" s="50"/>
      <c r="E318" s="51"/>
      <c r="F318" s="51"/>
      <c r="G318" s="50"/>
      <c r="H318" s="51"/>
      <c r="I318" s="51"/>
      <c r="J318" s="51"/>
      <c r="K318" s="51"/>
      <c r="L318" s="50"/>
      <c r="M318" s="50"/>
      <c r="N318" s="50"/>
      <c r="O318" s="51"/>
      <c r="P318" s="50"/>
      <c r="Q318" s="50"/>
      <c r="R318" s="50"/>
      <c r="S318" s="50"/>
      <c r="T318" s="50"/>
    </row>
    <row r="319" spans="1:20" ht="25.5" customHeight="1" x14ac:dyDescent="0.2">
      <c r="A319" s="50"/>
      <c r="B319" s="50"/>
      <c r="C319" s="50"/>
      <c r="D319" s="50"/>
      <c r="E319" s="51"/>
      <c r="F319" s="51"/>
      <c r="G319" s="50"/>
      <c r="H319" s="51"/>
      <c r="I319" s="51"/>
      <c r="J319" s="51"/>
      <c r="K319" s="51"/>
      <c r="L319" s="50"/>
      <c r="M319" s="50"/>
      <c r="N319" s="50"/>
      <c r="O319" s="51"/>
      <c r="P319" s="50"/>
      <c r="Q319" s="50"/>
      <c r="R319" s="50"/>
      <c r="S319" s="50"/>
      <c r="T319" s="50"/>
    </row>
    <row r="320" spans="1:20" ht="25.5" customHeight="1" x14ac:dyDescent="0.2">
      <c r="A320" s="50"/>
      <c r="B320" s="50"/>
      <c r="C320" s="50"/>
      <c r="D320" s="50"/>
      <c r="E320" s="51"/>
      <c r="F320" s="51"/>
      <c r="G320" s="50"/>
      <c r="H320" s="51"/>
      <c r="I320" s="51"/>
      <c r="J320" s="51"/>
      <c r="K320" s="51"/>
      <c r="L320" s="50"/>
      <c r="M320" s="50"/>
      <c r="N320" s="50"/>
      <c r="O320" s="51"/>
      <c r="P320" s="50"/>
      <c r="Q320" s="50"/>
      <c r="R320" s="50"/>
      <c r="S320" s="50"/>
      <c r="T320" s="50"/>
    </row>
    <row r="321" spans="1:20" ht="25.5" customHeight="1" x14ac:dyDescent="0.2">
      <c r="A321" s="50"/>
      <c r="B321" s="50"/>
      <c r="C321" s="50"/>
      <c r="D321" s="50"/>
      <c r="E321" s="51"/>
      <c r="F321" s="51"/>
      <c r="G321" s="50"/>
      <c r="H321" s="51"/>
      <c r="I321" s="51"/>
      <c r="J321" s="51"/>
      <c r="K321" s="51"/>
      <c r="L321" s="50"/>
      <c r="M321" s="50"/>
      <c r="N321" s="50"/>
      <c r="O321" s="51"/>
      <c r="P321" s="50"/>
      <c r="Q321" s="50"/>
      <c r="R321" s="50"/>
      <c r="S321" s="50"/>
      <c r="T321" s="50"/>
    </row>
    <row r="322" spans="1:20" ht="25.5" customHeight="1" x14ac:dyDescent="0.2">
      <c r="A322" s="50"/>
      <c r="B322" s="50"/>
      <c r="C322" s="50"/>
      <c r="D322" s="50"/>
      <c r="E322" s="51"/>
      <c r="F322" s="51"/>
      <c r="G322" s="50"/>
      <c r="H322" s="51"/>
      <c r="I322" s="51"/>
      <c r="J322" s="51"/>
      <c r="K322" s="51"/>
      <c r="L322" s="50"/>
      <c r="M322" s="50"/>
      <c r="N322" s="50"/>
      <c r="O322" s="51"/>
      <c r="P322" s="50"/>
      <c r="Q322" s="50"/>
      <c r="R322" s="50"/>
      <c r="S322" s="50"/>
      <c r="T322" s="50"/>
    </row>
    <row r="323" spans="1:20" ht="25.5" customHeight="1" x14ac:dyDescent="0.2">
      <c r="A323" s="50"/>
      <c r="B323" s="50"/>
      <c r="C323" s="50"/>
      <c r="D323" s="50"/>
      <c r="E323" s="51"/>
      <c r="F323" s="51"/>
      <c r="G323" s="50"/>
      <c r="H323" s="51"/>
      <c r="I323" s="51"/>
      <c r="J323" s="51"/>
      <c r="K323" s="51"/>
      <c r="L323" s="50"/>
      <c r="M323" s="50"/>
      <c r="N323" s="50"/>
      <c r="O323" s="51"/>
      <c r="P323" s="50"/>
      <c r="Q323" s="50"/>
      <c r="R323" s="50"/>
      <c r="S323" s="50"/>
      <c r="T323" s="50"/>
    </row>
    <row r="324" spans="1:20" ht="25.5" customHeight="1" x14ac:dyDescent="0.2">
      <c r="A324" s="50"/>
      <c r="B324" s="50"/>
      <c r="C324" s="50"/>
      <c r="D324" s="50"/>
      <c r="E324" s="51"/>
      <c r="F324" s="51"/>
      <c r="G324" s="50"/>
      <c r="H324" s="51"/>
      <c r="I324" s="51"/>
      <c r="J324" s="51"/>
      <c r="K324" s="51"/>
      <c r="L324" s="50"/>
      <c r="M324" s="50"/>
      <c r="N324" s="50"/>
      <c r="O324" s="51"/>
      <c r="P324" s="50"/>
      <c r="Q324" s="50"/>
      <c r="R324" s="50"/>
      <c r="S324" s="50"/>
      <c r="T324" s="50"/>
    </row>
    <row r="325" spans="1:20" ht="25.5" customHeight="1" x14ac:dyDescent="0.2">
      <c r="A325" s="50"/>
      <c r="B325" s="50"/>
      <c r="C325" s="50"/>
      <c r="D325" s="50"/>
      <c r="E325" s="51"/>
      <c r="F325" s="51"/>
      <c r="G325" s="50"/>
      <c r="H325" s="51"/>
      <c r="I325" s="51"/>
      <c r="J325" s="51"/>
      <c r="K325" s="51"/>
      <c r="L325" s="50"/>
      <c r="M325" s="50"/>
      <c r="N325" s="50"/>
      <c r="O325" s="51"/>
      <c r="P325" s="50"/>
      <c r="Q325" s="50"/>
      <c r="R325" s="50"/>
      <c r="S325" s="50"/>
      <c r="T325" s="50"/>
    </row>
    <row r="326" spans="1:20" ht="25.5" customHeight="1" x14ac:dyDescent="0.2">
      <c r="A326" s="50"/>
      <c r="B326" s="50"/>
      <c r="C326" s="50"/>
      <c r="D326" s="50"/>
      <c r="E326" s="51"/>
      <c r="F326" s="51"/>
      <c r="G326" s="50"/>
      <c r="H326" s="51"/>
      <c r="I326" s="51"/>
      <c r="J326" s="51"/>
      <c r="K326" s="51"/>
      <c r="L326" s="50"/>
      <c r="M326" s="50"/>
      <c r="N326" s="50"/>
      <c r="O326" s="51"/>
      <c r="P326" s="50"/>
      <c r="Q326" s="50"/>
      <c r="R326" s="50"/>
      <c r="S326" s="50"/>
      <c r="T326" s="50"/>
    </row>
    <row r="327" spans="1:20" ht="25.5" customHeight="1" x14ac:dyDescent="0.2">
      <c r="A327" s="50"/>
      <c r="B327" s="50"/>
      <c r="C327" s="50"/>
      <c r="D327" s="50"/>
      <c r="E327" s="51"/>
      <c r="F327" s="51"/>
      <c r="G327" s="50"/>
      <c r="H327" s="51"/>
      <c r="I327" s="51"/>
      <c r="J327" s="51"/>
      <c r="K327" s="51"/>
      <c r="L327" s="50"/>
      <c r="M327" s="50"/>
      <c r="N327" s="50"/>
      <c r="O327" s="51"/>
      <c r="P327" s="50"/>
      <c r="Q327" s="50"/>
      <c r="R327" s="50"/>
      <c r="S327" s="50"/>
      <c r="T327" s="50"/>
    </row>
    <row r="328" spans="1:20" ht="25.5" customHeight="1" x14ac:dyDescent="0.2">
      <c r="A328" s="50"/>
      <c r="B328" s="50"/>
      <c r="C328" s="50"/>
      <c r="D328" s="50"/>
      <c r="E328" s="51"/>
      <c r="F328" s="51"/>
      <c r="G328" s="50"/>
      <c r="H328" s="51"/>
      <c r="I328" s="51"/>
      <c r="J328" s="51"/>
      <c r="K328" s="51"/>
      <c r="L328" s="50"/>
      <c r="M328" s="50"/>
      <c r="N328" s="50"/>
      <c r="O328" s="51"/>
      <c r="P328" s="50"/>
      <c r="Q328" s="50"/>
      <c r="R328" s="50"/>
      <c r="S328" s="50"/>
      <c r="T328" s="50"/>
    </row>
    <row r="329" spans="1:20" ht="25.5" customHeight="1" x14ac:dyDescent="0.2">
      <c r="A329" s="50"/>
      <c r="B329" s="50"/>
      <c r="C329" s="50"/>
      <c r="D329" s="50"/>
      <c r="E329" s="51"/>
      <c r="F329" s="51"/>
      <c r="G329" s="50"/>
      <c r="H329" s="51"/>
      <c r="I329" s="51"/>
      <c r="J329" s="51"/>
      <c r="K329" s="51"/>
      <c r="L329" s="50"/>
      <c r="M329" s="50"/>
      <c r="N329" s="50"/>
      <c r="O329" s="51"/>
      <c r="P329" s="50"/>
      <c r="Q329" s="50"/>
      <c r="R329" s="50"/>
      <c r="S329" s="50"/>
      <c r="T329" s="50"/>
    </row>
    <row r="330" spans="1:20" ht="25.5" customHeight="1" x14ac:dyDescent="0.2">
      <c r="A330" s="50"/>
      <c r="B330" s="50"/>
      <c r="C330" s="50"/>
      <c r="D330" s="50"/>
      <c r="E330" s="51"/>
      <c r="F330" s="51"/>
      <c r="G330" s="50"/>
      <c r="H330" s="51"/>
      <c r="I330" s="51"/>
      <c r="J330" s="51"/>
      <c r="K330" s="51"/>
      <c r="L330" s="50"/>
      <c r="M330" s="50"/>
      <c r="N330" s="50"/>
      <c r="O330" s="51"/>
      <c r="P330" s="50"/>
      <c r="Q330" s="50"/>
      <c r="R330" s="50"/>
      <c r="S330" s="50"/>
      <c r="T330" s="50"/>
    </row>
    <row r="331" spans="1:20" ht="25.5" customHeight="1" x14ac:dyDescent="0.2">
      <c r="A331" s="50"/>
      <c r="B331" s="50"/>
      <c r="C331" s="50"/>
      <c r="D331" s="50"/>
      <c r="E331" s="51"/>
      <c r="F331" s="51"/>
      <c r="G331" s="50"/>
      <c r="H331" s="51"/>
      <c r="I331" s="51"/>
      <c r="J331" s="51"/>
      <c r="K331" s="51"/>
      <c r="L331" s="50"/>
      <c r="M331" s="50"/>
      <c r="N331" s="50"/>
      <c r="O331" s="51"/>
      <c r="P331" s="50"/>
      <c r="Q331" s="50"/>
      <c r="R331" s="50"/>
      <c r="S331" s="50"/>
      <c r="T331" s="50"/>
    </row>
    <row r="332" spans="1:20" ht="25.5" customHeight="1" x14ac:dyDescent="0.2">
      <c r="A332" s="50"/>
      <c r="B332" s="50"/>
      <c r="C332" s="50"/>
      <c r="D332" s="50"/>
      <c r="E332" s="51"/>
      <c r="F332" s="51"/>
      <c r="G332" s="50"/>
      <c r="H332" s="51"/>
      <c r="I332" s="51"/>
      <c r="J332" s="51"/>
      <c r="K332" s="51"/>
      <c r="L332" s="50"/>
      <c r="M332" s="50"/>
      <c r="N332" s="50"/>
      <c r="O332" s="51"/>
      <c r="P332" s="50"/>
      <c r="Q332" s="50"/>
      <c r="R332" s="50"/>
      <c r="S332" s="50"/>
      <c r="T332" s="50"/>
    </row>
    <row r="333" spans="1:20" ht="25.5" customHeight="1" x14ac:dyDescent="0.2">
      <c r="A333" s="50"/>
      <c r="B333" s="50"/>
      <c r="C333" s="50"/>
      <c r="D333" s="50"/>
      <c r="E333" s="51"/>
      <c r="F333" s="51"/>
      <c r="G333" s="50"/>
      <c r="H333" s="51"/>
      <c r="I333" s="51"/>
      <c r="J333" s="51"/>
      <c r="K333" s="51"/>
      <c r="L333" s="50"/>
      <c r="M333" s="50"/>
      <c r="N333" s="50"/>
      <c r="O333" s="51"/>
      <c r="P333" s="50"/>
      <c r="Q333" s="50"/>
      <c r="R333" s="50"/>
      <c r="S333" s="50"/>
      <c r="T333" s="50"/>
    </row>
    <row r="334" spans="1:20" ht="25.5" customHeight="1" x14ac:dyDescent="0.2">
      <c r="A334" s="50"/>
      <c r="B334" s="50"/>
      <c r="C334" s="50"/>
      <c r="D334" s="50"/>
      <c r="E334" s="51"/>
      <c r="F334" s="51"/>
      <c r="G334" s="50"/>
      <c r="H334" s="51"/>
      <c r="I334" s="51"/>
      <c r="J334" s="51"/>
      <c r="K334" s="51"/>
      <c r="L334" s="50"/>
      <c r="M334" s="50"/>
      <c r="N334" s="50"/>
      <c r="O334" s="51"/>
      <c r="P334" s="50"/>
      <c r="Q334" s="50"/>
      <c r="R334" s="50"/>
      <c r="S334" s="50"/>
      <c r="T334" s="50"/>
    </row>
    <row r="335" spans="1:20" ht="25.5" customHeight="1" x14ac:dyDescent="0.2">
      <c r="A335" s="50"/>
      <c r="B335" s="50"/>
      <c r="C335" s="50"/>
      <c r="D335" s="50"/>
      <c r="E335" s="51"/>
      <c r="F335" s="51"/>
      <c r="G335" s="50"/>
      <c r="H335" s="51"/>
      <c r="I335" s="51"/>
      <c r="J335" s="51"/>
      <c r="K335" s="51"/>
      <c r="L335" s="50"/>
      <c r="M335" s="50"/>
      <c r="N335" s="50"/>
      <c r="O335" s="51"/>
      <c r="P335" s="50"/>
      <c r="Q335" s="50"/>
      <c r="R335" s="50"/>
      <c r="S335" s="50"/>
      <c r="T335" s="50"/>
    </row>
    <row r="336" spans="1:20" ht="25.5" customHeight="1" x14ac:dyDescent="0.2">
      <c r="A336" s="50"/>
      <c r="B336" s="50"/>
      <c r="C336" s="50"/>
      <c r="D336" s="50"/>
      <c r="E336" s="51"/>
      <c r="F336" s="51"/>
      <c r="G336" s="50"/>
      <c r="H336" s="51"/>
      <c r="I336" s="51"/>
      <c r="J336" s="51"/>
      <c r="K336" s="51"/>
      <c r="L336" s="50"/>
      <c r="M336" s="50"/>
      <c r="N336" s="50"/>
      <c r="O336" s="51"/>
      <c r="P336" s="50"/>
      <c r="Q336" s="50"/>
      <c r="R336" s="50"/>
      <c r="S336" s="50"/>
      <c r="T336" s="50"/>
    </row>
    <row r="337" spans="1:20" ht="25.5" customHeight="1" x14ac:dyDescent="0.2">
      <c r="A337" s="50"/>
      <c r="B337" s="50"/>
      <c r="C337" s="50"/>
      <c r="D337" s="50"/>
      <c r="E337" s="51"/>
      <c r="F337" s="51"/>
      <c r="G337" s="50"/>
      <c r="H337" s="51"/>
      <c r="I337" s="51"/>
      <c r="J337" s="51"/>
      <c r="K337" s="51"/>
      <c r="L337" s="50"/>
      <c r="M337" s="50"/>
      <c r="N337" s="50"/>
      <c r="O337" s="51"/>
      <c r="P337" s="50"/>
      <c r="Q337" s="50"/>
      <c r="R337" s="50"/>
      <c r="S337" s="50"/>
      <c r="T337" s="50"/>
    </row>
    <row r="338" spans="1:20" ht="25.5" customHeight="1" x14ac:dyDescent="0.2">
      <c r="A338" s="50"/>
      <c r="B338" s="50"/>
      <c r="C338" s="50"/>
      <c r="D338" s="50"/>
      <c r="E338" s="51"/>
      <c r="F338" s="51"/>
      <c r="G338" s="50"/>
      <c r="H338" s="51"/>
      <c r="I338" s="51"/>
      <c r="J338" s="51"/>
      <c r="K338" s="51"/>
      <c r="L338" s="50"/>
      <c r="M338" s="50"/>
      <c r="N338" s="50"/>
      <c r="O338" s="51"/>
      <c r="P338" s="50"/>
      <c r="Q338" s="50"/>
      <c r="R338" s="50"/>
      <c r="S338" s="50"/>
      <c r="T338" s="50"/>
    </row>
    <row r="339" spans="1:20" ht="25.5" customHeight="1" x14ac:dyDescent="0.2">
      <c r="A339" s="50"/>
      <c r="B339" s="50"/>
      <c r="C339" s="50"/>
      <c r="D339" s="50"/>
      <c r="E339" s="51"/>
      <c r="F339" s="51"/>
      <c r="G339" s="50"/>
      <c r="H339" s="51"/>
      <c r="I339" s="51"/>
      <c r="J339" s="51"/>
      <c r="K339" s="51"/>
      <c r="L339" s="50"/>
      <c r="M339" s="50"/>
      <c r="N339" s="50"/>
      <c r="O339" s="51"/>
      <c r="P339" s="50"/>
      <c r="Q339" s="50"/>
      <c r="R339" s="50"/>
      <c r="S339" s="50"/>
      <c r="T339" s="50"/>
    </row>
    <row r="340" spans="1:20" ht="25.5" customHeight="1" x14ac:dyDescent="0.2">
      <c r="A340" s="50"/>
      <c r="B340" s="50"/>
      <c r="C340" s="50"/>
      <c r="D340" s="50"/>
      <c r="E340" s="51"/>
      <c r="F340" s="51"/>
      <c r="G340" s="50"/>
      <c r="H340" s="51"/>
      <c r="I340" s="51"/>
      <c r="J340" s="51"/>
      <c r="K340" s="51"/>
      <c r="L340" s="50"/>
      <c r="M340" s="50"/>
      <c r="N340" s="50"/>
      <c r="O340" s="51"/>
      <c r="P340" s="50"/>
      <c r="Q340" s="50"/>
      <c r="R340" s="50"/>
      <c r="S340" s="50"/>
      <c r="T340" s="50"/>
    </row>
    <row r="341" spans="1:20" ht="25.5" customHeight="1" x14ac:dyDescent="0.2">
      <c r="A341" s="50"/>
      <c r="B341" s="50"/>
      <c r="C341" s="50"/>
      <c r="D341" s="50"/>
      <c r="E341" s="51"/>
      <c r="F341" s="51"/>
      <c r="G341" s="50"/>
      <c r="H341" s="51"/>
      <c r="I341" s="51"/>
      <c r="J341" s="51"/>
      <c r="K341" s="51"/>
      <c r="L341" s="50"/>
      <c r="M341" s="50"/>
      <c r="N341" s="50"/>
      <c r="O341" s="51"/>
      <c r="P341" s="50"/>
      <c r="Q341" s="50"/>
      <c r="R341" s="50"/>
      <c r="S341" s="50"/>
      <c r="T341" s="50"/>
    </row>
    <row r="342" spans="1:20" ht="25.5" customHeight="1" x14ac:dyDescent="0.2">
      <c r="A342" s="50"/>
      <c r="B342" s="50"/>
      <c r="C342" s="50"/>
      <c r="D342" s="50"/>
      <c r="E342" s="51"/>
      <c r="F342" s="51"/>
      <c r="G342" s="50"/>
      <c r="H342" s="51"/>
      <c r="I342" s="51"/>
      <c r="J342" s="51"/>
      <c r="K342" s="51"/>
      <c r="L342" s="50"/>
      <c r="M342" s="50"/>
      <c r="N342" s="50"/>
      <c r="O342" s="51"/>
      <c r="P342" s="50"/>
      <c r="Q342" s="50"/>
      <c r="R342" s="50"/>
      <c r="S342" s="50"/>
      <c r="T342" s="50"/>
    </row>
    <row r="343" spans="1:20" ht="25.5" customHeight="1" x14ac:dyDescent="0.2">
      <c r="A343" s="50"/>
      <c r="B343" s="50"/>
      <c r="C343" s="50"/>
      <c r="D343" s="50"/>
      <c r="E343" s="51"/>
      <c r="F343" s="51"/>
      <c r="G343" s="50"/>
      <c r="H343" s="51"/>
      <c r="I343" s="51"/>
      <c r="J343" s="51"/>
      <c r="K343" s="51"/>
      <c r="L343" s="50"/>
      <c r="M343" s="50"/>
      <c r="N343" s="50"/>
      <c r="O343" s="51"/>
      <c r="P343" s="50"/>
      <c r="Q343" s="50"/>
      <c r="R343" s="50"/>
      <c r="S343" s="50"/>
      <c r="T343" s="50"/>
    </row>
    <row r="344" spans="1:20" ht="25.5" customHeight="1" x14ac:dyDescent="0.2">
      <c r="A344" s="50"/>
      <c r="B344" s="50"/>
      <c r="C344" s="50"/>
      <c r="D344" s="50"/>
      <c r="E344" s="51"/>
      <c r="F344" s="51"/>
      <c r="G344" s="50"/>
      <c r="H344" s="51"/>
      <c r="I344" s="51"/>
      <c r="J344" s="51"/>
      <c r="K344" s="51"/>
      <c r="L344" s="50"/>
      <c r="M344" s="50"/>
      <c r="N344" s="50"/>
      <c r="O344" s="51"/>
      <c r="P344" s="50"/>
      <c r="Q344" s="50"/>
      <c r="R344" s="50"/>
      <c r="S344" s="50"/>
      <c r="T344" s="50"/>
    </row>
    <row r="345" spans="1:20" ht="25.5" customHeight="1" x14ac:dyDescent="0.2">
      <c r="A345" s="50"/>
      <c r="B345" s="50"/>
      <c r="C345" s="50"/>
      <c r="D345" s="50"/>
      <c r="E345" s="51"/>
      <c r="F345" s="51"/>
      <c r="G345" s="50"/>
      <c r="H345" s="51"/>
      <c r="I345" s="51"/>
      <c r="J345" s="51"/>
      <c r="K345" s="51"/>
      <c r="L345" s="50"/>
      <c r="M345" s="50"/>
      <c r="N345" s="50"/>
      <c r="O345" s="51"/>
      <c r="P345" s="50"/>
      <c r="Q345" s="50"/>
      <c r="R345" s="50"/>
      <c r="S345" s="50"/>
      <c r="T345" s="50"/>
    </row>
    <row r="346" spans="1:20" ht="25.5" customHeight="1" x14ac:dyDescent="0.2">
      <c r="A346" s="50"/>
      <c r="B346" s="50"/>
      <c r="C346" s="50"/>
      <c r="D346" s="50"/>
      <c r="E346" s="51"/>
      <c r="F346" s="51"/>
      <c r="G346" s="50"/>
      <c r="H346" s="51"/>
      <c r="I346" s="51"/>
      <c r="J346" s="51"/>
      <c r="K346" s="51"/>
      <c r="L346" s="50"/>
      <c r="M346" s="50"/>
      <c r="N346" s="50"/>
      <c r="O346" s="51"/>
      <c r="P346" s="50"/>
      <c r="Q346" s="50"/>
      <c r="R346" s="50"/>
      <c r="S346" s="50"/>
      <c r="T346" s="50"/>
    </row>
    <row r="347" spans="1:20" ht="25.5" customHeight="1" x14ac:dyDescent="0.2">
      <c r="A347" s="50"/>
      <c r="B347" s="50"/>
      <c r="C347" s="50"/>
      <c r="D347" s="50"/>
      <c r="E347" s="51"/>
      <c r="F347" s="51"/>
      <c r="G347" s="50"/>
      <c r="H347" s="51"/>
      <c r="I347" s="51"/>
      <c r="J347" s="51"/>
      <c r="K347" s="51"/>
      <c r="L347" s="50"/>
      <c r="M347" s="50"/>
      <c r="N347" s="50"/>
      <c r="O347" s="51"/>
      <c r="P347" s="50"/>
      <c r="Q347" s="50"/>
      <c r="R347" s="50"/>
      <c r="S347" s="50"/>
      <c r="T347" s="50"/>
    </row>
    <row r="348" spans="1:20" ht="25.5" customHeight="1" x14ac:dyDescent="0.2">
      <c r="A348" s="50"/>
      <c r="B348" s="50"/>
      <c r="C348" s="50"/>
      <c r="D348" s="50"/>
      <c r="E348" s="51"/>
      <c r="F348" s="51"/>
      <c r="G348" s="50"/>
      <c r="H348" s="51"/>
      <c r="I348" s="51"/>
      <c r="J348" s="51"/>
      <c r="K348" s="51"/>
      <c r="L348" s="50"/>
      <c r="M348" s="50"/>
      <c r="N348" s="50"/>
      <c r="O348" s="51"/>
      <c r="P348" s="50"/>
      <c r="Q348" s="50"/>
      <c r="R348" s="50"/>
      <c r="S348" s="50"/>
      <c r="T348" s="50"/>
    </row>
    <row r="349" spans="1:20" ht="25.5" customHeight="1" x14ac:dyDescent="0.2">
      <c r="A349" s="50"/>
      <c r="B349" s="50"/>
      <c r="C349" s="50"/>
      <c r="D349" s="50"/>
      <c r="E349" s="51"/>
      <c r="F349" s="51"/>
      <c r="G349" s="50"/>
      <c r="H349" s="51"/>
      <c r="I349" s="51"/>
      <c r="J349" s="51"/>
      <c r="K349" s="51"/>
      <c r="L349" s="50"/>
      <c r="M349" s="50"/>
      <c r="N349" s="50"/>
      <c r="O349" s="51"/>
      <c r="P349" s="50"/>
      <c r="Q349" s="50"/>
      <c r="R349" s="50"/>
      <c r="S349" s="50"/>
      <c r="T349" s="50"/>
    </row>
    <row r="350" spans="1:20" ht="25.5" customHeight="1" x14ac:dyDescent="0.2">
      <c r="A350" s="50"/>
      <c r="B350" s="50"/>
      <c r="C350" s="50"/>
      <c r="D350" s="50"/>
      <c r="E350" s="51"/>
      <c r="F350" s="51"/>
      <c r="G350" s="50"/>
      <c r="H350" s="51"/>
      <c r="I350" s="51"/>
      <c r="J350" s="51"/>
      <c r="K350" s="51"/>
      <c r="L350" s="50"/>
      <c r="M350" s="50"/>
      <c r="N350" s="50"/>
      <c r="O350" s="51"/>
      <c r="P350" s="50"/>
      <c r="Q350" s="50"/>
      <c r="R350" s="50"/>
      <c r="S350" s="50"/>
      <c r="T350" s="50"/>
    </row>
    <row r="351" spans="1:20" ht="25.5" customHeight="1" x14ac:dyDescent="0.2">
      <c r="A351" s="50"/>
      <c r="B351" s="50"/>
      <c r="C351" s="50"/>
      <c r="D351" s="50"/>
      <c r="E351" s="51"/>
      <c r="F351" s="51"/>
      <c r="G351" s="50"/>
      <c r="H351" s="51"/>
      <c r="I351" s="51"/>
      <c r="J351" s="51"/>
      <c r="K351" s="51"/>
      <c r="L351" s="50"/>
      <c r="M351" s="50"/>
      <c r="N351" s="50"/>
      <c r="O351" s="51"/>
      <c r="P351" s="50"/>
      <c r="Q351" s="50"/>
      <c r="R351" s="50"/>
      <c r="S351" s="50"/>
      <c r="T351" s="50"/>
    </row>
    <row r="352" spans="1:20" ht="25.5" customHeight="1" x14ac:dyDescent="0.2">
      <c r="A352" s="50"/>
      <c r="B352" s="50"/>
      <c r="C352" s="50"/>
      <c r="D352" s="50"/>
      <c r="E352" s="51"/>
      <c r="F352" s="51"/>
      <c r="G352" s="50"/>
      <c r="H352" s="51"/>
      <c r="I352" s="51"/>
      <c r="J352" s="51"/>
      <c r="K352" s="51"/>
      <c r="L352" s="50"/>
      <c r="M352" s="50"/>
      <c r="N352" s="50"/>
      <c r="O352" s="51"/>
      <c r="P352" s="50"/>
      <c r="Q352" s="50"/>
      <c r="R352" s="50"/>
      <c r="S352" s="50"/>
      <c r="T352" s="50"/>
    </row>
    <row r="353" spans="1:20" ht="25.5" customHeight="1" x14ac:dyDescent="0.2">
      <c r="A353" s="50"/>
      <c r="B353" s="50"/>
      <c r="C353" s="50"/>
      <c r="D353" s="50"/>
      <c r="E353" s="51"/>
      <c r="F353" s="51"/>
      <c r="G353" s="50"/>
      <c r="H353" s="51"/>
      <c r="I353" s="51"/>
      <c r="J353" s="51"/>
      <c r="K353" s="51"/>
      <c r="L353" s="50"/>
      <c r="M353" s="50"/>
      <c r="N353" s="50"/>
      <c r="O353" s="51"/>
      <c r="P353" s="50"/>
      <c r="Q353" s="50"/>
      <c r="R353" s="50"/>
      <c r="S353" s="50"/>
      <c r="T353" s="50"/>
    </row>
    <row r="354" spans="1:20" ht="25.5" customHeight="1" x14ac:dyDescent="0.2">
      <c r="A354" s="50"/>
      <c r="B354" s="50"/>
      <c r="C354" s="50"/>
      <c r="D354" s="50"/>
      <c r="E354" s="51"/>
      <c r="F354" s="51"/>
      <c r="G354" s="50"/>
      <c r="H354" s="51"/>
      <c r="I354" s="51"/>
      <c r="J354" s="51"/>
      <c r="K354" s="51"/>
      <c r="L354" s="50"/>
      <c r="M354" s="50"/>
      <c r="N354" s="50"/>
      <c r="O354" s="51"/>
      <c r="P354" s="50"/>
      <c r="Q354" s="50"/>
      <c r="R354" s="50"/>
      <c r="S354" s="50"/>
      <c r="T354" s="50"/>
    </row>
    <row r="355" spans="1:20" ht="25.5" customHeight="1" x14ac:dyDescent="0.2">
      <c r="A355" s="50"/>
      <c r="B355" s="50"/>
      <c r="C355" s="50"/>
      <c r="D355" s="50"/>
      <c r="E355" s="51"/>
      <c r="F355" s="51"/>
      <c r="G355" s="50"/>
      <c r="H355" s="51"/>
      <c r="I355" s="51"/>
      <c r="J355" s="51"/>
      <c r="K355" s="51"/>
      <c r="L355" s="50"/>
      <c r="M355" s="50"/>
      <c r="N355" s="50"/>
      <c r="O355" s="51"/>
      <c r="P355" s="50"/>
      <c r="Q355" s="50"/>
      <c r="R355" s="50"/>
      <c r="S355" s="50"/>
      <c r="T355" s="50"/>
    </row>
    <row r="356" spans="1:20" ht="25.5" customHeight="1" x14ac:dyDescent="0.2">
      <c r="A356" s="50"/>
      <c r="B356" s="50"/>
      <c r="C356" s="50"/>
      <c r="D356" s="50"/>
      <c r="E356" s="51"/>
      <c r="F356" s="51"/>
      <c r="G356" s="50"/>
      <c r="H356" s="51"/>
      <c r="I356" s="51"/>
      <c r="J356" s="51"/>
      <c r="K356" s="51"/>
      <c r="L356" s="50"/>
      <c r="M356" s="50"/>
      <c r="N356" s="50"/>
      <c r="O356" s="51"/>
      <c r="P356" s="50"/>
      <c r="Q356" s="50"/>
      <c r="R356" s="50"/>
      <c r="S356" s="50"/>
      <c r="T356" s="50"/>
    </row>
    <row r="357" spans="1:20" ht="25.5" customHeight="1" x14ac:dyDescent="0.2">
      <c r="A357" s="50"/>
      <c r="B357" s="50"/>
      <c r="C357" s="50"/>
      <c r="D357" s="50"/>
      <c r="E357" s="51"/>
      <c r="F357" s="51"/>
      <c r="G357" s="50"/>
      <c r="H357" s="51"/>
      <c r="I357" s="51"/>
      <c r="J357" s="51"/>
      <c r="K357" s="51"/>
      <c r="L357" s="50"/>
      <c r="M357" s="50"/>
      <c r="N357" s="50"/>
      <c r="O357" s="51"/>
      <c r="P357" s="50"/>
      <c r="Q357" s="50"/>
      <c r="R357" s="50"/>
      <c r="S357" s="50"/>
      <c r="T357" s="50"/>
    </row>
    <row r="358" spans="1:20" ht="25.5" customHeight="1" x14ac:dyDescent="0.2">
      <c r="A358" s="50"/>
      <c r="B358" s="50"/>
      <c r="C358" s="50"/>
      <c r="D358" s="50"/>
      <c r="E358" s="51"/>
      <c r="F358" s="51"/>
      <c r="G358" s="50"/>
      <c r="H358" s="51"/>
      <c r="I358" s="51"/>
      <c r="J358" s="51"/>
      <c r="K358" s="51"/>
      <c r="L358" s="50"/>
      <c r="M358" s="50"/>
      <c r="N358" s="50"/>
      <c r="O358" s="51"/>
      <c r="P358" s="50"/>
      <c r="Q358" s="50"/>
      <c r="R358" s="50"/>
      <c r="S358" s="50"/>
      <c r="T358" s="50"/>
    </row>
    <row r="359" spans="1:20" ht="25.5" customHeight="1" x14ac:dyDescent="0.2">
      <c r="A359" s="50"/>
      <c r="B359" s="50"/>
      <c r="C359" s="50"/>
      <c r="D359" s="50"/>
      <c r="E359" s="51"/>
      <c r="F359" s="51"/>
      <c r="G359" s="50"/>
      <c r="H359" s="51"/>
      <c r="I359" s="51"/>
      <c r="J359" s="51"/>
      <c r="K359" s="51"/>
      <c r="L359" s="50"/>
      <c r="M359" s="50"/>
      <c r="N359" s="50"/>
      <c r="O359" s="51"/>
      <c r="P359" s="50"/>
      <c r="Q359" s="50"/>
      <c r="R359" s="50"/>
      <c r="S359" s="50"/>
      <c r="T359" s="50"/>
    </row>
    <row r="360" spans="1:20" ht="25.5" customHeight="1" x14ac:dyDescent="0.2">
      <c r="A360" s="50"/>
      <c r="B360" s="50"/>
      <c r="C360" s="50"/>
      <c r="D360" s="50"/>
      <c r="E360" s="51"/>
      <c r="F360" s="51"/>
      <c r="G360" s="50"/>
      <c r="H360" s="51"/>
      <c r="I360" s="51"/>
      <c r="J360" s="51"/>
      <c r="K360" s="51"/>
      <c r="L360" s="50"/>
      <c r="M360" s="50"/>
      <c r="N360" s="50"/>
      <c r="O360" s="51"/>
      <c r="P360" s="50"/>
      <c r="Q360" s="50"/>
      <c r="R360" s="50"/>
      <c r="S360" s="50"/>
      <c r="T360" s="50"/>
    </row>
    <row r="361" spans="1:20" ht="25.5" customHeight="1" x14ac:dyDescent="0.2">
      <c r="A361" s="50"/>
      <c r="B361" s="50"/>
      <c r="C361" s="50"/>
      <c r="D361" s="50"/>
      <c r="E361" s="51"/>
      <c r="F361" s="51"/>
      <c r="G361" s="50"/>
      <c r="H361" s="51"/>
      <c r="I361" s="51"/>
      <c r="J361" s="51"/>
      <c r="K361" s="51"/>
      <c r="L361" s="50"/>
      <c r="M361" s="50"/>
      <c r="N361" s="50"/>
      <c r="O361" s="51"/>
      <c r="P361" s="50"/>
      <c r="Q361" s="50"/>
      <c r="R361" s="50"/>
      <c r="S361" s="50"/>
      <c r="T361" s="50"/>
    </row>
    <row r="362" spans="1:20" ht="25.5" customHeight="1" x14ac:dyDescent="0.2">
      <c r="A362" s="50"/>
      <c r="B362" s="50"/>
      <c r="C362" s="50"/>
      <c r="D362" s="50"/>
      <c r="E362" s="51"/>
      <c r="F362" s="51"/>
      <c r="G362" s="50"/>
      <c r="H362" s="51"/>
      <c r="I362" s="51"/>
      <c r="J362" s="51"/>
      <c r="K362" s="51"/>
      <c r="L362" s="50"/>
      <c r="M362" s="50"/>
      <c r="N362" s="50"/>
      <c r="O362" s="51"/>
      <c r="P362" s="50"/>
      <c r="Q362" s="50"/>
      <c r="R362" s="50"/>
      <c r="S362" s="50"/>
      <c r="T362" s="50"/>
    </row>
    <row r="363" spans="1:20" ht="25.5" customHeight="1" x14ac:dyDescent="0.2">
      <c r="A363" s="50"/>
      <c r="B363" s="50"/>
      <c r="C363" s="50"/>
      <c r="D363" s="50"/>
      <c r="E363" s="51"/>
      <c r="F363" s="51"/>
      <c r="G363" s="50"/>
      <c r="H363" s="51"/>
      <c r="I363" s="51"/>
      <c r="J363" s="51"/>
      <c r="K363" s="51"/>
      <c r="L363" s="50"/>
      <c r="M363" s="50"/>
      <c r="N363" s="50"/>
      <c r="O363" s="51"/>
      <c r="P363" s="50"/>
      <c r="Q363" s="50"/>
      <c r="R363" s="50"/>
      <c r="S363" s="50"/>
      <c r="T363" s="50"/>
    </row>
    <row r="364" spans="1:20" ht="25.5" customHeight="1" x14ac:dyDescent="0.2">
      <c r="A364" s="50"/>
      <c r="B364" s="50"/>
      <c r="C364" s="50"/>
      <c r="D364" s="50"/>
      <c r="E364" s="51"/>
      <c r="F364" s="51"/>
      <c r="G364" s="50"/>
      <c r="H364" s="51"/>
      <c r="I364" s="51"/>
      <c r="J364" s="51"/>
      <c r="K364" s="51"/>
      <c r="L364" s="50"/>
      <c r="M364" s="50"/>
      <c r="N364" s="50"/>
      <c r="O364" s="51"/>
      <c r="P364" s="50"/>
      <c r="Q364" s="50"/>
      <c r="R364" s="50"/>
      <c r="S364" s="50"/>
      <c r="T364" s="50"/>
    </row>
    <row r="365" spans="1:20" ht="25.5" customHeight="1" x14ac:dyDescent="0.2">
      <c r="A365" s="50"/>
      <c r="B365" s="50"/>
      <c r="C365" s="50"/>
      <c r="D365" s="50"/>
      <c r="E365" s="51"/>
      <c r="F365" s="51"/>
      <c r="G365" s="50"/>
      <c r="H365" s="51"/>
      <c r="I365" s="51"/>
      <c r="J365" s="51"/>
      <c r="K365" s="51"/>
      <c r="L365" s="50"/>
      <c r="M365" s="50"/>
      <c r="N365" s="50"/>
      <c r="O365" s="51"/>
      <c r="P365" s="50"/>
      <c r="Q365" s="50"/>
      <c r="R365" s="50"/>
      <c r="S365" s="50"/>
      <c r="T365" s="50"/>
    </row>
    <row r="366" spans="1:20" ht="25.5" customHeight="1" x14ac:dyDescent="0.2">
      <c r="A366" s="50"/>
      <c r="B366" s="50"/>
      <c r="C366" s="50"/>
      <c r="D366" s="50"/>
      <c r="E366" s="51"/>
      <c r="F366" s="51"/>
      <c r="G366" s="50"/>
      <c r="H366" s="51"/>
      <c r="I366" s="51"/>
      <c r="J366" s="51"/>
      <c r="K366" s="51"/>
      <c r="L366" s="50"/>
      <c r="M366" s="50"/>
      <c r="N366" s="50"/>
      <c r="O366" s="51"/>
      <c r="P366" s="50"/>
      <c r="Q366" s="50"/>
      <c r="R366" s="50"/>
      <c r="S366" s="50"/>
      <c r="T366" s="50"/>
    </row>
    <row r="367" spans="1:20" ht="25.5" customHeight="1" x14ac:dyDescent="0.2">
      <c r="A367" s="50"/>
      <c r="B367" s="50"/>
      <c r="C367" s="50"/>
      <c r="D367" s="50"/>
      <c r="E367" s="51"/>
      <c r="F367" s="51"/>
      <c r="G367" s="50"/>
      <c r="H367" s="51"/>
      <c r="I367" s="51"/>
      <c r="J367" s="51"/>
      <c r="K367" s="51"/>
      <c r="L367" s="50"/>
      <c r="M367" s="50"/>
      <c r="N367" s="50"/>
      <c r="O367" s="51"/>
      <c r="P367" s="50"/>
      <c r="Q367" s="50"/>
      <c r="R367" s="50"/>
      <c r="S367" s="50"/>
      <c r="T367" s="50"/>
    </row>
    <row r="368" spans="1:20" ht="25.5" customHeight="1" x14ac:dyDescent="0.2">
      <c r="A368" s="50"/>
      <c r="B368" s="50"/>
      <c r="C368" s="50"/>
      <c r="D368" s="50"/>
      <c r="E368" s="51"/>
      <c r="F368" s="51"/>
      <c r="G368" s="50"/>
      <c r="H368" s="51"/>
      <c r="I368" s="51"/>
      <c r="J368" s="51"/>
      <c r="K368" s="51"/>
      <c r="L368" s="50"/>
      <c r="M368" s="50"/>
      <c r="N368" s="50"/>
      <c r="O368" s="51"/>
      <c r="P368" s="50"/>
      <c r="Q368" s="50"/>
      <c r="R368" s="50"/>
      <c r="S368" s="50"/>
      <c r="T368" s="50"/>
    </row>
    <row r="369" spans="1:20" ht="25.5" customHeight="1" x14ac:dyDescent="0.2">
      <c r="A369" s="50"/>
      <c r="B369" s="50"/>
      <c r="C369" s="50"/>
      <c r="D369" s="50"/>
      <c r="E369" s="51"/>
      <c r="F369" s="51"/>
      <c r="G369" s="50"/>
      <c r="H369" s="51"/>
      <c r="I369" s="51"/>
      <c r="J369" s="51"/>
      <c r="K369" s="51"/>
      <c r="L369" s="50"/>
      <c r="M369" s="50"/>
      <c r="N369" s="50"/>
      <c r="O369" s="51"/>
      <c r="P369" s="50"/>
      <c r="Q369" s="50"/>
      <c r="R369" s="50"/>
      <c r="S369" s="50"/>
      <c r="T369" s="50"/>
    </row>
    <row r="370" spans="1:20" ht="25.5" customHeight="1" x14ac:dyDescent="0.2">
      <c r="A370" s="50"/>
      <c r="B370" s="50"/>
      <c r="C370" s="50"/>
      <c r="D370" s="50"/>
      <c r="E370" s="51"/>
      <c r="F370" s="51"/>
      <c r="G370" s="50"/>
      <c r="H370" s="51"/>
      <c r="I370" s="51"/>
      <c r="J370" s="51"/>
      <c r="K370" s="51"/>
      <c r="L370" s="50"/>
      <c r="M370" s="50"/>
      <c r="N370" s="50"/>
      <c r="O370" s="51"/>
      <c r="P370" s="50"/>
      <c r="Q370" s="50"/>
      <c r="R370" s="50"/>
      <c r="S370" s="50"/>
      <c r="T370" s="50"/>
    </row>
    <row r="371" spans="1:20" ht="25.5" customHeight="1" x14ac:dyDescent="0.2">
      <c r="A371" s="50"/>
      <c r="B371" s="50"/>
      <c r="C371" s="50"/>
      <c r="D371" s="50"/>
      <c r="E371" s="51"/>
      <c r="F371" s="51"/>
      <c r="G371" s="50"/>
      <c r="H371" s="51"/>
      <c r="I371" s="51"/>
      <c r="J371" s="51"/>
      <c r="K371" s="51"/>
      <c r="L371" s="50"/>
      <c r="M371" s="50"/>
      <c r="N371" s="50"/>
      <c r="O371" s="51"/>
      <c r="P371" s="50"/>
      <c r="Q371" s="50"/>
      <c r="R371" s="50"/>
      <c r="S371" s="50"/>
      <c r="T371" s="50"/>
    </row>
    <row r="372" spans="1:20" ht="25.5" customHeight="1" x14ac:dyDescent="0.2">
      <c r="A372" s="50"/>
      <c r="B372" s="50"/>
      <c r="C372" s="50"/>
      <c r="D372" s="50"/>
      <c r="E372" s="51"/>
      <c r="F372" s="51"/>
      <c r="G372" s="50"/>
      <c r="H372" s="51"/>
      <c r="I372" s="51"/>
      <c r="J372" s="51"/>
      <c r="K372" s="51"/>
      <c r="L372" s="50"/>
      <c r="M372" s="50"/>
      <c r="N372" s="50"/>
      <c r="O372" s="51"/>
      <c r="P372" s="50"/>
      <c r="Q372" s="50"/>
      <c r="R372" s="50"/>
      <c r="S372" s="50"/>
      <c r="T372" s="50"/>
    </row>
    <row r="373" spans="1:20" ht="25.5" customHeight="1" x14ac:dyDescent="0.2">
      <c r="A373" s="50"/>
      <c r="B373" s="50"/>
      <c r="C373" s="50"/>
      <c r="D373" s="50"/>
      <c r="E373" s="51"/>
      <c r="F373" s="51"/>
      <c r="G373" s="50"/>
      <c r="H373" s="51"/>
      <c r="I373" s="51"/>
      <c r="J373" s="51"/>
      <c r="K373" s="51"/>
      <c r="L373" s="50"/>
      <c r="M373" s="50"/>
      <c r="N373" s="50"/>
      <c r="O373" s="51"/>
      <c r="P373" s="50"/>
      <c r="Q373" s="50"/>
      <c r="R373" s="50"/>
      <c r="S373" s="50"/>
      <c r="T373" s="50"/>
    </row>
    <row r="374" spans="1:20" ht="25.5" customHeight="1" x14ac:dyDescent="0.2">
      <c r="A374" s="50"/>
      <c r="B374" s="50"/>
      <c r="C374" s="50"/>
      <c r="D374" s="50"/>
      <c r="E374" s="51"/>
      <c r="F374" s="51"/>
      <c r="G374" s="50"/>
      <c r="H374" s="51"/>
      <c r="I374" s="51"/>
      <c r="J374" s="51"/>
      <c r="K374" s="51"/>
      <c r="L374" s="50"/>
      <c r="M374" s="50"/>
      <c r="N374" s="50"/>
      <c r="O374" s="51"/>
      <c r="P374" s="50"/>
      <c r="Q374" s="50"/>
      <c r="R374" s="50"/>
      <c r="S374" s="50"/>
      <c r="T374" s="50"/>
    </row>
    <row r="375" spans="1:20" ht="25.5" customHeight="1" x14ac:dyDescent="0.2">
      <c r="A375" s="50"/>
      <c r="B375" s="50"/>
      <c r="C375" s="50"/>
      <c r="D375" s="50"/>
      <c r="E375" s="51"/>
      <c r="F375" s="51"/>
      <c r="G375" s="50"/>
      <c r="H375" s="51"/>
      <c r="I375" s="51"/>
      <c r="J375" s="51"/>
      <c r="K375" s="51"/>
      <c r="L375" s="50"/>
      <c r="M375" s="50"/>
      <c r="N375" s="50"/>
      <c r="O375" s="51"/>
      <c r="P375" s="50"/>
      <c r="Q375" s="50"/>
      <c r="R375" s="50"/>
      <c r="S375" s="50"/>
      <c r="T375" s="50"/>
    </row>
    <row r="376" spans="1:20" ht="25.5" customHeight="1" x14ac:dyDescent="0.2">
      <c r="A376" s="50"/>
      <c r="B376" s="50"/>
      <c r="C376" s="50"/>
      <c r="D376" s="50"/>
      <c r="E376" s="51"/>
      <c r="F376" s="51"/>
      <c r="G376" s="50"/>
      <c r="H376" s="51"/>
      <c r="I376" s="51"/>
      <c r="J376" s="51"/>
      <c r="K376" s="51"/>
      <c r="L376" s="50"/>
      <c r="M376" s="50"/>
      <c r="N376" s="50"/>
      <c r="O376" s="51"/>
      <c r="P376" s="50"/>
      <c r="Q376" s="50"/>
      <c r="R376" s="50"/>
      <c r="S376" s="50"/>
      <c r="T376" s="50"/>
    </row>
    <row r="377" spans="1:20" ht="25.5" customHeight="1" x14ac:dyDescent="0.2">
      <c r="A377" s="50"/>
      <c r="B377" s="50"/>
      <c r="C377" s="50"/>
      <c r="D377" s="50"/>
      <c r="E377" s="51"/>
      <c r="F377" s="51"/>
      <c r="G377" s="50"/>
      <c r="H377" s="51"/>
      <c r="I377" s="51"/>
      <c r="J377" s="51"/>
      <c r="K377" s="51"/>
      <c r="L377" s="50"/>
      <c r="M377" s="50"/>
      <c r="N377" s="50"/>
      <c r="O377" s="51"/>
      <c r="P377" s="50"/>
      <c r="Q377" s="50"/>
      <c r="R377" s="50"/>
      <c r="S377" s="50"/>
      <c r="T377" s="50"/>
    </row>
    <row r="378" spans="1:20" ht="25.5" customHeight="1" x14ac:dyDescent="0.2">
      <c r="A378" s="50"/>
      <c r="B378" s="50"/>
      <c r="C378" s="50"/>
      <c r="D378" s="50"/>
      <c r="E378" s="51"/>
      <c r="F378" s="51"/>
      <c r="G378" s="50"/>
      <c r="H378" s="51"/>
      <c r="I378" s="51"/>
      <c r="J378" s="51"/>
      <c r="K378" s="51"/>
      <c r="L378" s="50"/>
      <c r="M378" s="50"/>
      <c r="N378" s="50"/>
      <c r="O378" s="51"/>
      <c r="P378" s="50"/>
      <c r="Q378" s="50"/>
      <c r="R378" s="50"/>
      <c r="S378" s="50"/>
      <c r="T378" s="50"/>
    </row>
    <row r="379" spans="1:20" ht="25.5" customHeight="1" x14ac:dyDescent="0.2">
      <c r="A379" s="50"/>
      <c r="B379" s="50"/>
      <c r="C379" s="50"/>
      <c r="D379" s="50"/>
      <c r="E379" s="51"/>
      <c r="F379" s="51"/>
      <c r="G379" s="50"/>
      <c r="H379" s="51"/>
      <c r="I379" s="51"/>
      <c r="J379" s="51"/>
      <c r="K379" s="51"/>
      <c r="L379" s="50"/>
      <c r="M379" s="50"/>
      <c r="N379" s="50"/>
      <c r="O379" s="51"/>
      <c r="P379" s="50"/>
      <c r="Q379" s="50"/>
      <c r="R379" s="50"/>
      <c r="S379" s="50"/>
      <c r="T379" s="50"/>
    </row>
    <row r="380" spans="1:20" ht="25.5" customHeight="1" x14ac:dyDescent="0.2">
      <c r="A380" s="50"/>
      <c r="B380" s="50"/>
      <c r="C380" s="50"/>
      <c r="D380" s="50"/>
      <c r="E380" s="51"/>
      <c r="F380" s="51"/>
      <c r="G380" s="50"/>
      <c r="H380" s="51"/>
      <c r="I380" s="51"/>
      <c r="J380" s="51"/>
      <c r="K380" s="51"/>
      <c r="L380" s="50"/>
      <c r="M380" s="50"/>
      <c r="N380" s="50"/>
      <c r="O380" s="51"/>
      <c r="P380" s="50"/>
      <c r="Q380" s="50"/>
      <c r="R380" s="50"/>
      <c r="S380" s="50"/>
      <c r="T380" s="50"/>
    </row>
    <row r="381" spans="1:20" ht="25.5" customHeight="1" x14ac:dyDescent="0.2">
      <c r="A381" s="50"/>
      <c r="B381" s="50"/>
      <c r="C381" s="50"/>
      <c r="D381" s="50"/>
      <c r="E381" s="51"/>
      <c r="F381" s="51"/>
      <c r="G381" s="50"/>
      <c r="H381" s="51"/>
      <c r="I381" s="51"/>
      <c r="J381" s="51"/>
      <c r="K381" s="51"/>
      <c r="L381" s="50"/>
      <c r="M381" s="50"/>
      <c r="N381" s="50"/>
      <c r="O381" s="51"/>
      <c r="P381" s="50"/>
      <c r="Q381" s="50"/>
      <c r="R381" s="50"/>
      <c r="S381" s="50"/>
      <c r="T381" s="50"/>
    </row>
    <row r="382" spans="1:20" ht="25.5" customHeight="1" x14ac:dyDescent="0.2">
      <c r="A382" s="50"/>
      <c r="B382" s="50"/>
      <c r="C382" s="50"/>
      <c r="D382" s="50"/>
      <c r="E382" s="51"/>
      <c r="F382" s="51"/>
      <c r="G382" s="50"/>
      <c r="H382" s="51"/>
      <c r="I382" s="51"/>
      <c r="J382" s="51"/>
      <c r="K382" s="51"/>
      <c r="L382" s="50"/>
      <c r="M382" s="50"/>
      <c r="N382" s="50"/>
      <c r="O382" s="51"/>
      <c r="P382" s="50"/>
      <c r="Q382" s="50"/>
      <c r="R382" s="50"/>
      <c r="S382" s="50"/>
      <c r="T382" s="50"/>
    </row>
    <row r="383" spans="1:20" ht="25.5" customHeight="1" x14ac:dyDescent="0.2">
      <c r="A383" s="50"/>
      <c r="B383" s="50"/>
      <c r="C383" s="50"/>
      <c r="D383" s="50"/>
      <c r="E383" s="51"/>
      <c r="F383" s="51"/>
      <c r="G383" s="50"/>
      <c r="H383" s="51"/>
      <c r="I383" s="51"/>
      <c r="J383" s="51"/>
      <c r="K383" s="51"/>
      <c r="L383" s="50"/>
      <c r="M383" s="50"/>
      <c r="N383" s="50"/>
      <c r="O383" s="51"/>
      <c r="P383" s="50"/>
      <c r="Q383" s="50"/>
      <c r="R383" s="50"/>
      <c r="S383" s="50"/>
      <c r="T383" s="50"/>
    </row>
    <row r="384" spans="1:20" ht="25.5" customHeight="1" x14ac:dyDescent="0.2">
      <c r="A384" s="50"/>
      <c r="B384" s="50"/>
      <c r="C384" s="50"/>
      <c r="D384" s="50"/>
      <c r="E384" s="51"/>
      <c r="F384" s="51"/>
      <c r="G384" s="50"/>
      <c r="H384" s="51"/>
      <c r="I384" s="51"/>
      <c r="J384" s="51"/>
      <c r="K384" s="51"/>
      <c r="L384" s="50"/>
      <c r="M384" s="50"/>
      <c r="N384" s="50"/>
      <c r="O384" s="51"/>
      <c r="P384" s="50"/>
      <c r="Q384" s="50"/>
      <c r="R384" s="50"/>
      <c r="S384" s="50"/>
      <c r="T384" s="50"/>
    </row>
    <row r="385" spans="1:20" ht="25.5" customHeight="1" x14ac:dyDescent="0.2">
      <c r="A385" s="50"/>
      <c r="B385" s="50"/>
      <c r="C385" s="50"/>
      <c r="D385" s="50"/>
      <c r="E385" s="51"/>
      <c r="F385" s="51"/>
      <c r="G385" s="50"/>
      <c r="H385" s="51"/>
      <c r="I385" s="51"/>
      <c r="J385" s="51"/>
      <c r="K385" s="51"/>
      <c r="L385" s="50"/>
      <c r="M385" s="50"/>
      <c r="N385" s="50"/>
      <c r="O385" s="51"/>
      <c r="P385" s="50"/>
      <c r="Q385" s="50"/>
      <c r="R385" s="50"/>
      <c r="S385" s="50"/>
      <c r="T385" s="50"/>
    </row>
    <row r="386" spans="1:20" ht="25.5" customHeight="1" x14ac:dyDescent="0.2">
      <c r="A386" s="50"/>
      <c r="B386" s="50"/>
      <c r="C386" s="50"/>
      <c r="D386" s="50"/>
      <c r="E386" s="51"/>
      <c r="F386" s="51"/>
      <c r="G386" s="50"/>
      <c r="H386" s="51"/>
      <c r="I386" s="51"/>
      <c r="J386" s="51"/>
      <c r="K386" s="51"/>
      <c r="L386" s="50"/>
      <c r="M386" s="50"/>
      <c r="N386" s="50"/>
      <c r="O386" s="51"/>
      <c r="P386" s="50"/>
      <c r="Q386" s="50"/>
      <c r="R386" s="50"/>
      <c r="S386" s="50"/>
      <c r="T386" s="50"/>
    </row>
    <row r="387" spans="1:20" ht="25.5" customHeight="1" x14ac:dyDescent="0.2">
      <c r="A387" s="50"/>
      <c r="B387" s="50"/>
      <c r="C387" s="50"/>
      <c r="D387" s="50"/>
      <c r="E387" s="51"/>
      <c r="F387" s="51"/>
      <c r="G387" s="50"/>
      <c r="H387" s="51"/>
      <c r="I387" s="51"/>
      <c r="J387" s="51"/>
      <c r="K387" s="51"/>
      <c r="L387" s="50"/>
      <c r="M387" s="50"/>
      <c r="N387" s="50"/>
      <c r="O387" s="51"/>
      <c r="P387" s="50"/>
      <c r="Q387" s="50"/>
      <c r="R387" s="50"/>
      <c r="S387" s="50"/>
      <c r="T387" s="50"/>
    </row>
    <row r="388" spans="1:20" ht="25.5" customHeight="1" x14ac:dyDescent="0.2">
      <c r="A388" s="50"/>
      <c r="B388" s="50"/>
      <c r="C388" s="50"/>
      <c r="D388" s="50"/>
      <c r="E388" s="51"/>
      <c r="F388" s="51"/>
      <c r="G388" s="50"/>
      <c r="H388" s="51"/>
      <c r="I388" s="51"/>
      <c r="J388" s="51"/>
      <c r="K388" s="51"/>
      <c r="L388" s="50"/>
      <c r="M388" s="50"/>
      <c r="N388" s="50"/>
      <c r="O388" s="51"/>
      <c r="P388" s="50"/>
      <c r="Q388" s="50"/>
      <c r="R388" s="50"/>
      <c r="S388" s="50"/>
      <c r="T388" s="50"/>
    </row>
    <row r="389" spans="1:20" ht="25.5" customHeight="1" x14ac:dyDescent="0.2">
      <c r="A389" s="50"/>
      <c r="B389" s="50"/>
      <c r="C389" s="50"/>
      <c r="D389" s="50"/>
      <c r="E389" s="51"/>
      <c r="F389" s="51"/>
      <c r="G389" s="50"/>
      <c r="H389" s="51"/>
      <c r="I389" s="51"/>
      <c r="J389" s="51"/>
      <c r="K389" s="51"/>
      <c r="L389" s="50"/>
      <c r="M389" s="50"/>
      <c r="N389" s="50"/>
      <c r="O389" s="51"/>
      <c r="P389" s="50"/>
      <c r="Q389" s="50"/>
      <c r="R389" s="50"/>
      <c r="S389" s="50"/>
      <c r="T389" s="50"/>
    </row>
    <row r="390" spans="1:20" ht="25.5" customHeight="1" x14ac:dyDescent="0.2">
      <c r="A390" s="50"/>
      <c r="B390" s="50"/>
      <c r="C390" s="50"/>
      <c r="D390" s="50"/>
      <c r="E390" s="51"/>
      <c r="F390" s="51"/>
      <c r="G390" s="50"/>
      <c r="H390" s="51"/>
      <c r="I390" s="51"/>
      <c r="J390" s="51"/>
      <c r="K390" s="51"/>
      <c r="L390" s="50"/>
      <c r="M390" s="50"/>
      <c r="N390" s="50"/>
      <c r="O390" s="51"/>
      <c r="P390" s="50"/>
      <c r="Q390" s="50"/>
      <c r="R390" s="50"/>
      <c r="S390" s="50"/>
      <c r="T390" s="50"/>
    </row>
    <row r="391" spans="1:20" ht="25.5" customHeight="1" x14ac:dyDescent="0.2">
      <c r="A391" s="50"/>
      <c r="B391" s="50"/>
      <c r="C391" s="50"/>
      <c r="D391" s="50"/>
      <c r="E391" s="51"/>
      <c r="F391" s="51"/>
      <c r="G391" s="50"/>
      <c r="H391" s="51"/>
      <c r="I391" s="51"/>
      <c r="J391" s="51"/>
      <c r="K391" s="51"/>
      <c r="L391" s="50"/>
      <c r="M391" s="50"/>
      <c r="N391" s="50"/>
      <c r="O391" s="51"/>
      <c r="P391" s="50"/>
      <c r="Q391" s="50"/>
      <c r="R391" s="50"/>
      <c r="S391" s="50"/>
      <c r="T391" s="50"/>
    </row>
    <row r="392" spans="1:20" ht="25.5" customHeight="1" x14ac:dyDescent="0.2">
      <c r="A392" s="50"/>
      <c r="B392" s="50"/>
      <c r="C392" s="50"/>
      <c r="D392" s="50"/>
      <c r="E392" s="51"/>
      <c r="F392" s="51"/>
      <c r="G392" s="50"/>
      <c r="H392" s="51"/>
      <c r="I392" s="51"/>
      <c r="J392" s="51"/>
      <c r="K392" s="51"/>
      <c r="L392" s="50"/>
      <c r="M392" s="50"/>
      <c r="N392" s="50"/>
      <c r="O392" s="51"/>
      <c r="P392" s="50"/>
      <c r="Q392" s="50"/>
      <c r="R392" s="50"/>
      <c r="S392" s="50"/>
      <c r="T392" s="50"/>
    </row>
    <row r="393" spans="1:20" ht="25.5" customHeight="1" x14ac:dyDescent="0.2">
      <c r="A393" s="50"/>
      <c r="B393" s="50"/>
      <c r="C393" s="50"/>
      <c r="D393" s="50"/>
      <c r="E393" s="51"/>
      <c r="F393" s="51"/>
      <c r="G393" s="50"/>
      <c r="H393" s="51"/>
      <c r="I393" s="51"/>
      <c r="J393" s="51"/>
      <c r="K393" s="51"/>
      <c r="L393" s="50"/>
      <c r="M393" s="50"/>
      <c r="N393" s="50"/>
      <c r="O393" s="51"/>
      <c r="P393" s="50"/>
      <c r="Q393" s="50"/>
      <c r="R393" s="50"/>
      <c r="S393" s="50"/>
      <c r="T393" s="50"/>
    </row>
    <row r="394" spans="1:20" ht="25.5" customHeight="1" x14ac:dyDescent="0.2">
      <c r="A394" s="50"/>
      <c r="B394" s="50"/>
      <c r="C394" s="50"/>
      <c r="D394" s="50"/>
      <c r="E394" s="51"/>
      <c r="F394" s="51"/>
      <c r="G394" s="50"/>
      <c r="H394" s="51"/>
      <c r="I394" s="51"/>
      <c r="J394" s="51"/>
      <c r="K394" s="51"/>
      <c r="L394" s="50"/>
      <c r="M394" s="50"/>
      <c r="N394" s="50"/>
      <c r="O394" s="51"/>
      <c r="P394" s="50"/>
      <c r="Q394" s="50"/>
      <c r="R394" s="50"/>
      <c r="S394" s="50"/>
      <c r="T394" s="50"/>
    </row>
    <row r="395" spans="1:20" ht="25.5" customHeight="1" x14ac:dyDescent="0.2">
      <c r="A395" s="50"/>
      <c r="B395" s="50"/>
      <c r="C395" s="50"/>
      <c r="D395" s="50"/>
      <c r="E395" s="51"/>
      <c r="F395" s="51"/>
      <c r="G395" s="50"/>
      <c r="H395" s="51"/>
      <c r="I395" s="51"/>
      <c r="J395" s="51"/>
      <c r="K395" s="51"/>
      <c r="L395" s="50"/>
      <c r="M395" s="50"/>
      <c r="N395" s="50"/>
      <c r="O395" s="51"/>
      <c r="P395" s="50"/>
      <c r="Q395" s="50"/>
      <c r="R395" s="50"/>
      <c r="S395" s="50"/>
      <c r="T395" s="50"/>
    </row>
    <row r="396" spans="1:20" ht="25.5" customHeight="1" x14ac:dyDescent="0.2">
      <c r="A396" s="50"/>
      <c r="B396" s="50"/>
      <c r="C396" s="50"/>
      <c r="D396" s="50"/>
      <c r="E396" s="51"/>
      <c r="F396" s="51"/>
      <c r="G396" s="50"/>
      <c r="H396" s="51"/>
      <c r="I396" s="51"/>
      <c r="J396" s="51"/>
      <c r="K396" s="51"/>
      <c r="L396" s="50"/>
      <c r="M396" s="50"/>
      <c r="N396" s="50"/>
      <c r="O396" s="51"/>
      <c r="P396" s="50"/>
      <c r="Q396" s="50"/>
      <c r="R396" s="50"/>
      <c r="S396" s="50"/>
      <c r="T396" s="50"/>
    </row>
    <row r="397" spans="1:20" ht="25.5" customHeight="1" x14ac:dyDescent="0.2">
      <c r="A397" s="50"/>
      <c r="B397" s="50"/>
      <c r="C397" s="50"/>
      <c r="D397" s="50"/>
      <c r="E397" s="51"/>
      <c r="F397" s="51"/>
      <c r="G397" s="50"/>
      <c r="H397" s="51"/>
      <c r="I397" s="51"/>
      <c r="J397" s="51"/>
      <c r="K397" s="51"/>
      <c r="L397" s="50"/>
      <c r="M397" s="50"/>
      <c r="N397" s="50"/>
      <c r="O397" s="51"/>
      <c r="P397" s="50"/>
      <c r="Q397" s="50"/>
      <c r="R397" s="50"/>
      <c r="S397" s="50"/>
      <c r="T397" s="50"/>
    </row>
    <row r="398" spans="1:20" ht="25.5" customHeight="1" x14ac:dyDescent="0.2">
      <c r="A398" s="50"/>
      <c r="B398" s="50"/>
      <c r="C398" s="50"/>
      <c r="D398" s="50"/>
      <c r="E398" s="51"/>
      <c r="F398" s="51"/>
      <c r="G398" s="50"/>
      <c r="H398" s="51"/>
      <c r="I398" s="51"/>
      <c r="J398" s="51"/>
      <c r="K398" s="51"/>
      <c r="L398" s="50"/>
      <c r="M398" s="50"/>
      <c r="N398" s="50"/>
      <c r="O398" s="51"/>
      <c r="P398" s="50"/>
      <c r="Q398" s="50"/>
      <c r="R398" s="50"/>
      <c r="S398" s="50"/>
      <c r="T398" s="50"/>
    </row>
    <row r="399" spans="1:20" ht="25.5" customHeight="1" x14ac:dyDescent="0.2">
      <c r="A399" s="50"/>
      <c r="B399" s="50"/>
      <c r="C399" s="50"/>
      <c r="D399" s="50"/>
      <c r="E399" s="51"/>
      <c r="F399" s="51"/>
      <c r="G399" s="50"/>
      <c r="H399" s="51"/>
      <c r="I399" s="51"/>
      <c r="J399" s="51"/>
      <c r="K399" s="51"/>
      <c r="L399" s="50"/>
      <c r="M399" s="50"/>
      <c r="N399" s="50"/>
      <c r="O399" s="51"/>
      <c r="P399" s="50"/>
      <c r="Q399" s="50"/>
      <c r="R399" s="50"/>
      <c r="S399" s="50"/>
      <c r="T399" s="50"/>
    </row>
    <row r="400" spans="1:20" ht="25.5" customHeight="1" x14ac:dyDescent="0.2">
      <c r="A400" s="50"/>
      <c r="B400" s="50"/>
      <c r="C400" s="50"/>
      <c r="D400" s="50"/>
      <c r="E400" s="51"/>
      <c r="F400" s="51"/>
      <c r="G400" s="50"/>
      <c r="H400" s="51"/>
      <c r="I400" s="51"/>
      <c r="J400" s="51"/>
      <c r="K400" s="51"/>
      <c r="L400" s="50"/>
      <c r="M400" s="50"/>
      <c r="N400" s="50"/>
      <c r="O400" s="51"/>
      <c r="P400" s="50"/>
      <c r="Q400" s="50"/>
      <c r="R400" s="50"/>
      <c r="S400" s="50"/>
      <c r="T400" s="50"/>
    </row>
    <row r="401" spans="1:20" ht="25.5" customHeight="1" x14ac:dyDescent="0.2">
      <c r="A401" s="50"/>
      <c r="B401" s="50"/>
      <c r="C401" s="50"/>
      <c r="D401" s="50"/>
      <c r="E401" s="51"/>
      <c r="F401" s="51"/>
      <c r="G401" s="50"/>
      <c r="H401" s="51"/>
      <c r="I401" s="51"/>
      <c r="J401" s="51"/>
      <c r="K401" s="51"/>
      <c r="L401" s="50"/>
      <c r="M401" s="50"/>
      <c r="N401" s="50"/>
      <c r="O401" s="51"/>
      <c r="P401" s="50"/>
      <c r="Q401" s="50"/>
      <c r="R401" s="50"/>
      <c r="S401" s="50"/>
      <c r="T401" s="50"/>
    </row>
    <row r="402" spans="1:20" ht="25.5" customHeight="1" x14ac:dyDescent="0.2">
      <c r="A402" s="50"/>
      <c r="B402" s="50"/>
      <c r="C402" s="50"/>
      <c r="D402" s="50"/>
      <c r="E402" s="51"/>
      <c r="F402" s="51"/>
      <c r="G402" s="50"/>
      <c r="H402" s="51"/>
      <c r="I402" s="51"/>
      <c r="J402" s="51"/>
      <c r="K402" s="51"/>
      <c r="L402" s="50"/>
      <c r="M402" s="50"/>
      <c r="N402" s="50"/>
      <c r="O402" s="51"/>
      <c r="P402" s="50"/>
      <c r="Q402" s="50"/>
      <c r="R402" s="50"/>
      <c r="S402" s="50"/>
      <c r="T402" s="50"/>
    </row>
    <row r="403" spans="1:20" ht="25.5" customHeight="1" x14ac:dyDescent="0.2">
      <c r="A403" s="50"/>
      <c r="B403" s="50"/>
      <c r="C403" s="50"/>
      <c r="D403" s="50"/>
      <c r="E403" s="51"/>
      <c r="F403" s="51"/>
      <c r="G403" s="50"/>
      <c r="H403" s="51"/>
      <c r="I403" s="51"/>
      <c r="J403" s="51"/>
      <c r="K403" s="51"/>
      <c r="L403" s="50"/>
      <c r="M403" s="50"/>
      <c r="N403" s="50"/>
      <c r="O403" s="51"/>
      <c r="P403" s="50"/>
      <c r="Q403" s="50"/>
      <c r="R403" s="50"/>
      <c r="S403" s="50"/>
      <c r="T403" s="50"/>
    </row>
    <row r="404" spans="1:20" ht="25.5" customHeight="1" x14ac:dyDescent="0.2">
      <c r="A404" s="50"/>
      <c r="B404" s="50"/>
      <c r="C404" s="50"/>
      <c r="D404" s="50"/>
      <c r="E404" s="51"/>
      <c r="F404" s="51"/>
      <c r="G404" s="50"/>
      <c r="H404" s="51"/>
      <c r="I404" s="51"/>
      <c r="J404" s="51"/>
      <c r="K404" s="51"/>
      <c r="L404" s="50"/>
      <c r="M404" s="50"/>
      <c r="N404" s="50"/>
      <c r="O404" s="51"/>
      <c r="P404" s="50"/>
      <c r="Q404" s="50"/>
      <c r="R404" s="50"/>
      <c r="S404" s="50"/>
      <c r="T404" s="50"/>
    </row>
    <row r="405" spans="1:20" ht="25.5" customHeight="1" x14ac:dyDescent="0.2">
      <c r="A405" s="50"/>
      <c r="B405" s="50"/>
      <c r="C405" s="50"/>
      <c r="D405" s="50"/>
      <c r="E405" s="51"/>
      <c r="F405" s="51"/>
      <c r="G405" s="50"/>
      <c r="H405" s="51"/>
      <c r="I405" s="51"/>
      <c r="J405" s="51"/>
      <c r="K405" s="51"/>
      <c r="L405" s="50"/>
      <c r="M405" s="50"/>
      <c r="N405" s="50"/>
      <c r="O405" s="51"/>
      <c r="P405" s="50"/>
      <c r="Q405" s="50"/>
      <c r="R405" s="50"/>
      <c r="S405" s="50"/>
      <c r="T405" s="50"/>
    </row>
    <row r="406" spans="1:20" ht="25.5" customHeight="1" x14ac:dyDescent="0.2">
      <c r="A406" s="50"/>
      <c r="B406" s="50"/>
      <c r="C406" s="50"/>
      <c r="D406" s="50"/>
      <c r="E406" s="51"/>
      <c r="F406" s="51"/>
      <c r="G406" s="50"/>
      <c r="H406" s="51"/>
      <c r="I406" s="51"/>
      <c r="J406" s="51"/>
      <c r="K406" s="51"/>
      <c r="L406" s="50"/>
      <c r="M406" s="50"/>
      <c r="N406" s="50"/>
      <c r="O406" s="51"/>
      <c r="P406" s="50"/>
      <c r="Q406" s="50"/>
      <c r="R406" s="50"/>
      <c r="S406" s="50"/>
      <c r="T406" s="50"/>
    </row>
    <row r="407" spans="1:20" ht="25.5" customHeight="1" x14ac:dyDescent="0.2">
      <c r="A407" s="50"/>
      <c r="B407" s="50"/>
      <c r="C407" s="50"/>
      <c r="D407" s="50"/>
      <c r="E407" s="51"/>
      <c r="F407" s="51"/>
      <c r="G407" s="50"/>
      <c r="H407" s="51"/>
      <c r="I407" s="51"/>
      <c r="J407" s="51"/>
      <c r="K407" s="51"/>
      <c r="L407" s="50"/>
      <c r="M407" s="50"/>
      <c r="N407" s="50"/>
      <c r="O407" s="51"/>
      <c r="P407" s="50"/>
      <c r="Q407" s="50"/>
      <c r="R407" s="50"/>
      <c r="S407" s="50"/>
      <c r="T407" s="50"/>
    </row>
    <row r="408" spans="1:20" ht="25.5" customHeight="1" x14ac:dyDescent="0.2">
      <c r="A408" s="50"/>
      <c r="B408" s="50"/>
      <c r="C408" s="50"/>
      <c r="D408" s="50"/>
      <c r="E408" s="51"/>
      <c r="F408" s="51"/>
      <c r="G408" s="50"/>
      <c r="H408" s="51"/>
      <c r="I408" s="51"/>
      <c r="J408" s="51"/>
      <c r="K408" s="51"/>
      <c r="L408" s="50"/>
      <c r="M408" s="50"/>
      <c r="N408" s="50"/>
      <c r="O408" s="51"/>
      <c r="P408" s="50"/>
      <c r="Q408" s="50"/>
      <c r="R408" s="50"/>
      <c r="S408" s="50"/>
      <c r="T408" s="50"/>
    </row>
    <row r="409" spans="1:20" ht="25.5" customHeight="1" x14ac:dyDescent="0.2">
      <c r="A409" s="50"/>
      <c r="B409" s="50"/>
      <c r="C409" s="50"/>
      <c r="D409" s="50"/>
      <c r="E409" s="51"/>
      <c r="F409" s="51"/>
      <c r="G409" s="50"/>
      <c r="H409" s="51"/>
      <c r="I409" s="51"/>
      <c r="J409" s="51"/>
      <c r="K409" s="51"/>
      <c r="L409" s="50"/>
      <c r="M409" s="50"/>
      <c r="N409" s="50"/>
      <c r="O409" s="51"/>
      <c r="P409" s="50"/>
      <c r="Q409" s="50"/>
      <c r="R409" s="50"/>
      <c r="S409" s="50"/>
      <c r="T409" s="50"/>
    </row>
    <row r="410" spans="1:20" ht="25.5" customHeight="1" x14ac:dyDescent="0.2">
      <c r="A410" s="50"/>
      <c r="B410" s="50"/>
      <c r="C410" s="50"/>
      <c r="D410" s="50"/>
      <c r="E410" s="51"/>
      <c r="F410" s="51"/>
      <c r="G410" s="50"/>
      <c r="H410" s="51"/>
      <c r="I410" s="51"/>
      <c r="J410" s="51"/>
      <c r="K410" s="51"/>
      <c r="L410" s="50"/>
      <c r="M410" s="50"/>
      <c r="N410" s="50"/>
      <c r="O410" s="51"/>
      <c r="P410" s="50"/>
      <c r="Q410" s="50"/>
      <c r="R410" s="50"/>
      <c r="S410" s="50"/>
      <c r="T410" s="50"/>
    </row>
    <row r="411" spans="1:20" ht="25.5" customHeight="1" x14ac:dyDescent="0.2">
      <c r="A411" s="50"/>
      <c r="B411" s="50"/>
      <c r="C411" s="50"/>
      <c r="D411" s="50"/>
      <c r="E411" s="51"/>
      <c r="F411" s="51"/>
      <c r="G411" s="50"/>
      <c r="H411" s="51"/>
      <c r="I411" s="51"/>
      <c r="J411" s="51"/>
      <c r="K411" s="51"/>
      <c r="L411" s="50"/>
      <c r="M411" s="50"/>
      <c r="N411" s="50"/>
      <c r="O411" s="51"/>
      <c r="P411" s="50"/>
      <c r="Q411" s="50"/>
      <c r="R411" s="50"/>
      <c r="S411" s="50"/>
      <c r="T411" s="50"/>
    </row>
    <row r="412" spans="1:20" ht="25.5" customHeight="1" x14ac:dyDescent="0.2">
      <c r="A412" s="50"/>
      <c r="B412" s="50"/>
      <c r="C412" s="50"/>
      <c r="D412" s="50"/>
      <c r="E412" s="51"/>
      <c r="F412" s="51"/>
      <c r="G412" s="50"/>
      <c r="H412" s="51"/>
      <c r="I412" s="51"/>
      <c r="J412" s="51"/>
      <c r="K412" s="51"/>
      <c r="L412" s="50"/>
      <c r="M412" s="50"/>
      <c r="N412" s="50"/>
      <c r="O412" s="51"/>
      <c r="P412" s="50"/>
      <c r="Q412" s="50"/>
      <c r="R412" s="50"/>
      <c r="S412" s="50"/>
      <c r="T412" s="50"/>
    </row>
    <row r="413" spans="1:20" ht="25.5" customHeight="1" x14ac:dyDescent="0.2">
      <c r="A413" s="50"/>
      <c r="B413" s="50"/>
      <c r="C413" s="50"/>
      <c r="D413" s="50"/>
      <c r="E413" s="51"/>
      <c r="F413" s="51"/>
      <c r="G413" s="50"/>
      <c r="H413" s="51"/>
      <c r="I413" s="51"/>
      <c r="J413" s="51"/>
      <c r="K413" s="51"/>
      <c r="L413" s="50"/>
      <c r="M413" s="50"/>
      <c r="N413" s="50"/>
      <c r="O413" s="51"/>
      <c r="P413" s="50"/>
      <c r="Q413" s="50"/>
      <c r="R413" s="50"/>
      <c r="S413" s="50"/>
      <c r="T413" s="50"/>
    </row>
    <row r="414" spans="1:20" ht="25.5" customHeight="1" x14ac:dyDescent="0.2">
      <c r="A414" s="50"/>
      <c r="B414" s="50"/>
      <c r="C414" s="50"/>
      <c r="D414" s="50"/>
      <c r="E414" s="51"/>
      <c r="F414" s="51"/>
      <c r="G414" s="50"/>
      <c r="H414" s="51"/>
      <c r="I414" s="51"/>
      <c r="J414" s="51"/>
      <c r="K414" s="51"/>
      <c r="L414" s="50"/>
      <c r="M414" s="50"/>
      <c r="N414" s="50"/>
      <c r="O414" s="51"/>
      <c r="P414" s="50"/>
      <c r="Q414" s="50"/>
      <c r="R414" s="50"/>
      <c r="S414" s="50"/>
      <c r="T414" s="50"/>
    </row>
    <row r="415" spans="1:20" ht="25.5" customHeight="1" x14ac:dyDescent="0.2">
      <c r="A415" s="50"/>
      <c r="B415" s="50"/>
      <c r="C415" s="50"/>
      <c r="D415" s="50"/>
      <c r="E415" s="51"/>
      <c r="F415" s="51"/>
      <c r="G415" s="50"/>
      <c r="H415" s="51"/>
      <c r="I415" s="51"/>
      <c r="J415" s="51"/>
      <c r="K415" s="51"/>
      <c r="L415" s="50"/>
      <c r="M415" s="50"/>
      <c r="N415" s="50"/>
      <c r="O415" s="51"/>
      <c r="P415" s="50"/>
      <c r="Q415" s="50"/>
      <c r="R415" s="50"/>
      <c r="S415" s="50"/>
      <c r="T415" s="50"/>
    </row>
    <row r="416" spans="1:20" ht="25.5" customHeight="1" x14ac:dyDescent="0.2">
      <c r="A416" s="50"/>
      <c r="B416" s="50"/>
      <c r="C416" s="50"/>
      <c r="D416" s="50"/>
      <c r="E416" s="51"/>
      <c r="F416" s="51"/>
      <c r="G416" s="50"/>
      <c r="H416" s="51"/>
      <c r="I416" s="51"/>
      <c r="J416" s="51"/>
      <c r="K416" s="51"/>
      <c r="L416" s="50"/>
      <c r="M416" s="50"/>
      <c r="N416" s="50"/>
      <c r="O416" s="51"/>
      <c r="P416" s="50"/>
      <c r="Q416" s="50"/>
      <c r="R416" s="50"/>
      <c r="S416" s="50"/>
      <c r="T416" s="50"/>
    </row>
    <row r="417" spans="1:20" ht="25.5" customHeight="1" x14ac:dyDescent="0.2">
      <c r="A417" s="50"/>
      <c r="B417" s="50"/>
      <c r="C417" s="50"/>
      <c r="D417" s="50"/>
      <c r="E417" s="51"/>
      <c r="F417" s="51"/>
      <c r="G417" s="50"/>
      <c r="H417" s="51"/>
      <c r="I417" s="51"/>
      <c r="J417" s="51"/>
      <c r="K417" s="51"/>
      <c r="L417" s="50"/>
      <c r="M417" s="50"/>
      <c r="N417" s="50"/>
      <c r="O417" s="51"/>
      <c r="P417" s="50"/>
      <c r="Q417" s="50"/>
      <c r="R417" s="50"/>
      <c r="S417" s="50"/>
      <c r="T417" s="50"/>
    </row>
    <row r="418" spans="1:20" ht="25.5" customHeight="1" x14ac:dyDescent="0.2">
      <c r="A418" s="50"/>
      <c r="B418" s="50"/>
      <c r="C418" s="50"/>
      <c r="D418" s="50"/>
      <c r="E418" s="51"/>
      <c r="F418" s="51"/>
      <c r="G418" s="50"/>
      <c r="H418" s="51"/>
      <c r="I418" s="51"/>
      <c r="J418" s="51"/>
      <c r="K418" s="51"/>
      <c r="L418" s="50"/>
      <c r="M418" s="50"/>
      <c r="N418" s="50"/>
      <c r="O418" s="51"/>
      <c r="P418" s="50"/>
      <c r="Q418" s="50"/>
      <c r="R418" s="50"/>
      <c r="S418" s="50"/>
      <c r="T418" s="50"/>
    </row>
    <row r="419" spans="1:20" ht="25.5" customHeight="1" x14ac:dyDescent="0.2">
      <c r="A419" s="50"/>
      <c r="B419" s="50"/>
      <c r="C419" s="50"/>
      <c r="D419" s="50"/>
      <c r="E419" s="51"/>
      <c r="F419" s="51"/>
      <c r="G419" s="50"/>
      <c r="H419" s="51"/>
      <c r="I419" s="51"/>
      <c r="J419" s="51"/>
      <c r="K419" s="51"/>
      <c r="L419" s="50"/>
      <c r="M419" s="50"/>
      <c r="N419" s="50"/>
      <c r="O419" s="51"/>
      <c r="P419" s="50"/>
      <c r="Q419" s="50"/>
      <c r="R419" s="50"/>
      <c r="S419" s="50"/>
      <c r="T419" s="50"/>
    </row>
    <row r="420" spans="1:20" ht="25.5" customHeight="1" x14ac:dyDescent="0.2">
      <c r="A420" s="50"/>
      <c r="B420" s="50"/>
      <c r="C420" s="50"/>
      <c r="D420" s="50"/>
      <c r="E420" s="51"/>
      <c r="F420" s="51"/>
      <c r="G420" s="50"/>
      <c r="H420" s="51"/>
      <c r="I420" s="51"/>
      <c r="J420" s="51"/>
      <c r="K420" s="51"/>
      <c r="L420" s="50"/>
      <c r="M420" s="50"/>
      <c r="N420" s="50"/>
      <c r="O420" s="51"/>
      <c r="P420" s="50"/>
      <c r="Q420" s="50"/>
      <c r="R420" s="50"/>
      <c r="S420" s="50"/>
      <c r="T420" s="50"/>
    </row>
    <row r="421" spans="1:20" ht="25.5" customHeight="1" x14ac:dyDescent="0.2">
      <c r="A421" s="50"/>
      <c r="B421" s="50"/>
      <c r="C421" s="50"/>
      <c r="D421" s="50"/>
      <c r="E421" s="51"/>
      <c r="F421" s="51"/>
      <c r="G421" s="50"/>
      <c r="H421" s="51"/>
      <c r="I421" s="51"/>
      <c r="J421" s="51"/>
      <c r="K421" s="51"/>
      <c r="L421" s="50"/>
      <c r="M421" s="50"/>
      <c r="N421" s="50"/>
      <c r="O421" s="51"/>
      <c r="P421" s="50"/>
      <c r="Q421" s="50"/>
      <c r="R421" s="50"/>
      <c r="S421" s="50"/>
      <c r="T421" s="50"/>
    </row>
    <row r="422" spans="1:20" ht="25.5" customHeight="1" x14ac:dyDescent="0.2">
      <c r="A422" s="50"/>
      <c r="B422" s="50"/>
      <c r="C422" s="50"/>
      <c r="D422" s="50"/>
      <c r="E422" s="51"/>
      <c r="F422" s="51"/>
      <c r="G422" s="50"/>
      <c r="H422" s="51"/>
      <c r="I422" s="51"/>
      <c r="J422" s="51"/>
      <c r="K422" s="51"/>
      <c r="L422" s="50"/>
      <c r="M422" s="50"/>
      <c r="N422" s="50"/>
      <c r="O422" s="51"/>
      <c r="P422" s="50"/>
      <c r="Q422" s="50"/>
      <c r="R422" s="50"/>
      <c r="S422" s="50"/>
      <c r="T422" s="50"/>
    </row>
    <row r="423" spans="1:20" ht="25.5" customHeight="1" x14ac:dyDescent="0.2">
      <c r="A423" s="50"/>
      <c r="B423" s="50"/>
      <c r="C423" s="50"/>
      <c r="D423" s="50"/>
      <c r="E423" s="51"/>
      <c r="F423" s="51"/>
      <c r="G423" s="50"/>
      <c r="H423" s="51"/>
      <c r="I423" s="51"/>
      <c r="J423" s="51"/>
      <c r="K423" s="51"/>
      <c r="L423" s="50"/>
      <c r="M423" s="50"/>
      <c r="N423" s="50"/>
      <c r="O423" s="51"/>
      <c r="P423" s="50"/>
      <c r="Q423" s="50"/>
      <c r="R423" s="50"/>
      <c r="S423" s="50"/>
      <c r="T423" s="50"/>
    </row>
    <row r="424" spans="1:20" ht="25.5" customHeight="1" x14ac:dyDescent="0.2">
      <c r="A424" s="50"/>
      <c r="B424" s="50"/>
      <c r="C424" s="50"/>
      <c r="D424" s="50"/>
      <c r="E424" s="51"/>
      <c r="F424" s="51"/>
      <c r="G424" s="50"/>
      <c r="H424" s="51"/>
      <c r="I424" s="51"/>
      <c r="J424" s="51"/>
      <c r="K424" s="51"/>
      <c r="L424" s="50"/>
      <c r="M424" s="50"/>
      <c r="N424" s="50"/>
      <c r="O424" s="51"/>
      <c r="P424" s="50"/>
      <c r="Q424" s="50"/>
      <c r="R424" s="50"/>
      <c r="S424" s="50"/>
      <c r="T424" s="50"/>
    </row>
    <row r="425" spans="1:20" ht="25.5" customHeight="1" x14ac:dyDescent="0.2">
      <c r="A425" s="50"/>
      <c r="B425" s="50"/>
      <c r="C425" s="50"/>
      <c r="D425" s="50"/>
      <c r="E425" s="51"/>
      <c r="F425" s="51"/>
      <c r="G425" s="50"/>
      <c r="H425" s="51"/>
      <c r="I425" s="51"/>
      <c r="J425" s="51"/>
      <c r="K425" s="51"/>
      <c r="L425" s="50"/>
      <c r="M425" s="50"/>
      <c r="N425" s="50"/>
      <c r="O425" s="51"/>
      <c r="P425" s="50"/>
      <c r="Q425" s="50"/>
      <c r="R425" s="50"/>
      <c r="S425" s="50"/>
      <c r="T425" s="50"/>
    </row>
    <row r="426" spans="1:20" ht="25.5" customHeight="1" x14ac:dyDescent="0.2">
      <c r="A426" s="50"/>
      <c r="B426" s="50"/>
      <c r="C426" s="50"/>
      <c r="D426" s="50"/>
      <c r="E426" s="51"/>
      <c r="F426" s="51"/>
      <c r="G426" s="50"/>
      <c r="H426" s="51"/>
      <c r="I426" s="51"/>
      <c r="J426" s="51"/>
      <c r="K426" s="51"/>
      <c r="L426" s="50"/>
      <c r="M426" s="50"/>
      <c r="N426" s="50"/>
      <c r="O426" s="51"/>
      <c r="P426" s="50"/>
      <c r="Q426" s="50"/>
      <c r="R426" s="50"/>
      <c r="S426" s="50"/>
      <c r="T426" s="50"/>
    </row>
    <row r="427" spans="1:20" ht="25.5" customHeight="1" x14ac:dyDescent="0.2">
      <c r="A427" s="50"/>
      <c r="B427" s="50"/>
      <c r="C427" s="50"/>
      <c r="D427" s="50"/>
      <c r="E427" s="51"/>
      <c r="F427" s="51"/>
      <c r="G427" s="50"/>
      <c r="H427" s="51"/>
      <c r="I427" s="51"/>
      <c r="J427" s="51"/>
      <c r="K427" s="51"/>
      <c r="L427" s="50"/>
      <c r="M427" s="50"/>
      <c r="N427" s="50"/>
      <c r="O427" s="51"/>
      <c r="P427" s="50"/>
      <c r="Q427" s="50"/>
      <c r="R427" s="50"/>
      <c r="S427" s="50"/>
      <c r="T427" s="50"/>
    </row>
    <row r="428" spans="1:20" ht="25.5" customHeight="1" x14ac:dyDescent="0.2">
      <c r="A428" s="50"/>
      <c r="B428" s="50"/>
      <c r="C428" s="50"/>
      <c r="D428" s="50"/>
      <c r="E428" s="51"/>
      <c r="F428" s="51"/>
      <c r="G428" s="50"/>
      <c r="H428" s="51"/>
      <c r="I428" s="51"/>
      <c r="J428" s="51"/>
      <c r="K428" s="51"/>
      <c r="L428" s="50"/>
      <c r="M428" s="50"/>
      <c r="N428" s="50"/>
      <c r="O428" s="51"/>
      <c r="P428" s="50"/>
      <c r="Q428" s="50"/>
      <c r="R428" s="50"/>
      <c r="S428" s="50"/>
      <c r="T428" s="50"/>
    </row>
    <row r="429" spans="1:20" ht="25.5" customHeight="1" x14ac:dyDescent="0.2">
      <c r="A429" s="50"/>
      <c r="B429" s="50"/>
      <c r="C429" s="50"/>
      <c r="D429" s="50"/>
      <c r="E429" s="51"/>
      <c r="F429" s="51"/>
      <c r="G429" s="50"/>
      <c r="H429" s="51"/>
      <c r="I429" s="51"/>
      <c r="J429" s="51"/>
      <c r="K429" s="51"/>
      <c r="L429" s="50"/>
      <c r="M429" s="50"/>
      <c r="N429" s="50"/>
      <c r="O429" s="51"/>
      <c r="P429" s="50"/>
      <c r="Q429" s="50"/>
      <c r="R429" s="50"/>
      <c r="S429" s="50"/>
      <c r="T429" s="50"/>
    </row>
    <row r="430" spans="1:20" ht="25.5" customHeight="1" x14ac:dyDescent="0.2">
      <c r="A430" s="50"/>
      <c r="B430" s="50"/>
      <c r="C430" s="50"/>
      <c r="D430" s="50"/>
      <c r="E430" s="51"/>
      <c r="F430" s="51"/>
      <c r="G430" s="50"/>
      <c r="H430" s="51"/>
      <c r="I430" s="51"/>
      <c r="J430" s="51"/>
      <c r="K430" s="51"/>
      <c r="L430" s="50"/>
      <c r="M430" s="50"/>
      <c r="N430" s="50"/>
      <c r="O430" s="51"/>
      <c r="P430" s="50"/>
      <c r="Q430" s="50"/>
      <c r="R430" s="50"/>
      <c r="S430" s="50"/>
      <c r="T430" s="50"/>
    </row>
    <row r="431" spans="1:20" ht="25.5" customHeight="1" x14ac:dyDescent="0.2">
      <c r="A431" s="50"/>
      <c r="B431" s="50"/>
      <c r="C431" s="50"/>
      <c r="D431" s="50"/>
      <c r="E431" s="51"/>
      <c r="F431" s="51"/>
      <c r="G431" s="50"/>
      <c r="H431" s="51"/>
      <c r="I431" s="51"/>
      <c r="J431" s="51"/>
      <c r="K431" s="51"/>
      <c r="L431" s="50"/>
      <c r="M431" s="50"/>
      <c r="N431" s="50"/>
      <c r="O431" s="51"/>
      <c r="P431" s="50"/>
      <c r="Q431" s="50"/>
      <c r="R431" s="50"/>
      <c r="S431" s="50"/>
      <c r="T431" s="50"/>
    </row>
    <row r="432" spans="1:20" ht="25.5" customHeight="1" x14ac:dyDescent="0.2">
      <c r="A432" s="50"/>
      <c r="B432" s="50"/>
      <c r="C432" s="50"/>
      <c r="D432" s="50"/>
      <c r="E432" s="51"/>
      <c r="F432" s="51"/>
      <c r="G432" s="50"/>
      <c r="H432" s="51"/>
      <c r="I432" s="51"/>
      <c r="J432" s="51"/>
      <c r="K432" s="51"/>
      <c r="L432" s="50"/>
      <c r="M432" s="50"/>
      <c r="N432" s="50"/>
      <c r="O432" s="51"/>
      <c r="P432" s="50"/>
      <c r="Q432" s="50"/>
      <c r="R432" s="50"/>
      <c r="S432" s="50"/>
      <c r="T432" s="50"/>
    </row>
    <row r="433" spans="1:20" ht="25.5" customHeight="1" x14ac:dyDescent="0.2">
      <c r="A433" s="50"/>
      <c r="B433" s="50"/>
      <c r="C433" s="50"/>
      <c r="D433" s="50"/>
      <c r="E433" s="51"/>
      <c r="F433" s="51"/>
      <c r="G433" s="50"/>
      <c r="H433" s="51"/>
      <c r="I433" s="51"/>
      <c r="J433" s="51"/>
      <c r="K433" s="51"/>
      <c r="L433" s="50"/>
      <c r="M433" s="50"/>
      <c r="N433" s="50"/>
      <c r="O433" s="51"/>
      <c r="P433" s="50"/>
      <c r="Q433" s="50"/>
      <c r="R433" s="50"/>
      <c r="S433" s="50"/>
      <c r="T433" s="50"/>
    </row>
    <row r="434" spans="1:20" ht="25.5" customHeight="1" x14ac:dyDescent="0.2">
      <c r="A434" s="50"/>
      <c r="B434" s="50"/>
      <c r="C434" s="50"/>
      <c r="D434" s="50"/>
      <c r="E434" s="51"/>
      <c r="F434" s="51"/>
      <c r="G434" s="50"/>
      <c r="H434" s="51"/>
      <c r="I434" s="51"/>
      <c r="J434" s="51"/>
      <c r="K434" s="51"/>
      <c r="L434" s="50"/>
      <c r="M434" s="50"/>
      <c r="N434" s="50"/>
      <c r="O434" s="51"/>
      <c r="P434" s="50"/>
      <c r="Q434" s="50"/>
      <c r="R434" s="50"/>
      <c r="S434" s="50"/>
      <c r="T434" s="50"/>
    </row>
    <row r="435" spans="1:20" ht="25.5" customHeight="1" x14ac:dyDescent="0.2">
      <c r="A435" s="50"/>
      <c r="B435" s="50"/>
      <c r="C435" s="50"/>
      <c r="D435" s="50"/>
      <c r="E435" s="51"/>
      <c r="F435" s="51"/>
      <c r="G435" s="50"/>
      <c r="H435" s="51"/>
      <c r="I435" s="51"/>
      <c r="J435" s="51"/>
      <c r="K435" s="51"/>
      <c r="L435" s="50"/>
      <c r="M435" s="50"/>
      <c r="N435" s="50"/>
      <c r="O435" s="51"/>
      <c r="P435" s="50"/>
      <c r="Q435" s="50"/>
      <c r="R435" s="50"/>
      <c r="S435" s="50"/>
      <c r="T435" s="50"/>
    </row>
    <row r="436" spans="1:20" ht="25.5" customHeight="1" x14ac:dyDescent="0.2">
      <c r="A436" s="50"/>
      <c r="B436" s="50"/>
      <c r="C436" s="50"/>
      <c r="D436" s="50"/>
      <c r="E436" s="51"/>
      <c r="F436" s="51"/>
      <c r="G436" s="50"/>
      <c r="H436" s="51"/>
      <c r="I436" s="51"/>
      <c r="J436" s="51"/>
      <c r="K436" s="51"/>
      <c r="L436" s="50"/>
      <c r="M436" s="50"/>
      <c r="N436" s="50"/>
      <c r="O436" s="51"/>
      <c r="P436" s="50"/>
      <c r="Q436" s="50"/>
      <c r="R436" s="50"/>
      <c r="S436" s="50"/>
      <c r="T436" s="50"/>
    </row>
    <row r="437" spans="1:20" ht="25.5" customHeight="1" x14ac:dyDescent="0.2">
      <c r="A437" s="50"/>
      <c r="B437" s="50"/>
      <c r="C437" s="50"/>
      <c r="D437" s="50"/>
      <c r="E437" s="51"/>
      <c r="F437" s="51"/>
      <c r="G437" s="50"/>
      <c r="H437" s="51"/>
      <c r="I437" s="51"/>
      <c r="J437" s="51"/>
      <c r="K437" s="51"/>
      <c r="L437" s="50"/>
      <c r="M437" s="50"/>
      <c r="N437" s="50"/>
      <c r="O437" s="51"/>
      <c r="P437" s="50"/>
      <c r="Q437" s="50"/>
      <c r="R437" s="50"/>
      <c r="S437" s="50"/>
      <c r="T437" s="50"/>
    </row>
    <row r="438" spans="1:20" ht="25.5" customHeight="1" x14ac:dyDescent="0.2">
      <c r="A438" s="50"/>
      <c r="B438" s="50"/>
      <c r="C438" s="50"/>
      <c r="D438" s="50"/>
      <c r="E438" s="51"/>
      <c r="F438" s="51"/>
      <c r="G438" s="50"/>
      <c r="H438" s="51"/>
      <c r="I438" s="51"/>
      <c r="J438" s="51"/>
      <c r="K438" s="51"/>
      <c r="L438" s="50"/>
      <c r="M438" s="50"/>
      <c r="N438" s="50"/>
      <c r="O438" s="51"/>
      <c r="P438" s="50"/>
      <c r="Q438" s="50"/>
      <c r="R438" s="50"/>
      <c r="S438" s="50"/>
      <c r="T438" s="50"/>
    </row>
    <row r="439" spans="1:20" ht="25.5" customHeight="1" x14ac:dyDescent="0.2">
      <c r="A439" s="50"/>
      <c r="B439" s="50"/>
      <c r="C439" s="50"/>
      <c r="D439" s="50"/>
      <c r="E439" s="51"/>
      <c r="F439" s="51"/>
      <c r="G439" s="50"/>
      <c r="H439" s="51"/>
      <c r="I439" s="51"/>
      <c r="J439" s="51"/>
      <c r="K439" s="51"/>
      <c r="L439" s="50"/>
      <c r="M439" s="50"/>
      <c r="N439" s="50"/>
      <c r="O439" s="51"/>
      <c r="P439" s="50"/>
      <c r="Q439" s="50"/>
      <c r="R439" s="50"/>
      <c r="S439" s="50"/>
      <c r="T439" s="50"/>
    </row>
    <row r="440" spans="1:20" ht="25.5" customHeight="1" x14ac:dyDescent="0.2">
      <c r="A440" s="50"/>
      <c r="B440" s="50"/>
      <c r="C440" s="50"/>
      <c r="D440" s="50"/>
      <c r="E440" s="51"/>
      <c r="F440" s="51"/>
      <c r="G440" s="50"/>
      <c r="H440" s="51"/>
      <c r="I440" s="51"/>
      <c r="J440" s="51"/>
      <c r="K440" s="51"/>
      <c r="L440" s="50"/>
      <c r="M440" s="50"/>
      <c r="N440" s="50"/>
      <c r="O440" s="51"/>
      <c r="P440" s="50"/>
      <c r="Q440" s="50"/>
      <c r="R440" s="50"/>
      <c r="S440" s="50"/>
      <c r="T440" s="50"/>
    </row>
    <row r="441" spans="1:20" ht="25.5" customHeight="1" x14ac:dyDescent="0.2">
      <c r="A441" s="50"/>
      <c r="B441" s="50"/>
      <c r="C441" s="50"/>
      <c r="D441" s="50"/>
      <c r="E441" s="51"/>
      <c r="F441" s="51"/>
      <c r="G441" s="50"/>
      <c r="H441" s="51"/>
      <c r="I441" s="51"/>
      <c r="J441" s="51"/>
      <c r="K441" s="51"/>
      <c r="L441" s="50"/>
      <c r="M441" s="50"/>
      <c r="N441" s="50"/>
      <c r="O441" s="51"/>
      <c r="P441" s="50"/>
      <c r="Q441" s="50"/>
      <c r="R441" s="50"/>
      <c r="S441" s="50"/>
      <c r="T441" s="50"/>
    </row>
    <row r="442" spans="1:20" ht="25.5" customHeight="1" x14ac:dyDescent="0.2">
      <c r="A442" s="50"/>
      <c r="B442" s="50"/>
      <c r="C442" s="50"/>
      <c r="D442" s="50"/>
      <c r="E442" s="51"/>
      <c r="F442" s="51"/>
      <c r="G442" s="50"/>
      <c r="H442" s="51"/>
      <c r="I442" s="51"/>
      <c r="J442" s="51"/>
      <c r="K442" s="51"/>
      <c r="L442" s="50"/>
      <c r="M442" s="50"/>
      <c r="N442" s="50"/>
      <c r="O442" s="51"/>
      <c r="P442" s="50"/>
      <c r="Q442" s="50"/>
      <c r="R442" s="50"/>
      <c r="S442" s="50"/>
      <c r="T442" s="50"/>
    </row>
    <row r="443" spans="1:20" ht="25.5" customHeight="1" x14ac:dyDescent="0.2">
      <c r="A443" s="50"/>
      <c r="B443" s="50"/>
      <c r="C443" s="50"/>
      <c r="D443" s="50"/>
      <c r="E443" s="51"/>
      <c r="F443" s="51"/>
      <c r="G443" s="50"/>
      <c r="H443" s="51"/>
      <c r="I443" s="51"/>
      <c r="J443" s="51"/>
      <c r="K443" s="51"/>
      <c r="L443" s="50"/>
      <c r="M443" s="50"/>
      <c r="N443" s="50"/>
      <c r="O443" s="51"/>
      <c r="P443" s="50"/>
      <c r="Q443" s="50"/>
      <c r="R443" s="50"/>
      <c r="S443" s="50"/>
      <c r="T443" s="50"/>
    </row>
    <row r="444" spans="1:20" ht="25.5" customHeight="1" x14ac:dyDescent="0.2">
      <c r="A444" s="50"/>
      <c r="B444" s="50"/>
      <c r="C444" s="50"/>
      <c r="D444" s="50"/>
      <c r="E444" s="51"/>
      <c r="F444" s="51"/>
      <c r="G444" s="50"/>
      <c r="H444" s="51"/>
      <c r="I444" s="51"/>
      <c r="J444" s="51"/>
      <c r="K444" s="51"/>
      <c r="L444" s="50"/>
      <c r="M444" s="50"/>
      <c r="N444" s="50"/>
      <c r="O444" s="51"/>
      <c r="P444" s="50"/>
      <c r="Q444" s="50"/>
      <c r="R444" s="50"/>
      <c r="S444" s="50"/>
      <c r="T444" s="50"/>
    </row>
    <row r="445" spans="1:20" ht="25.5" customHeight="1" x14ac:dyDescent="0.2">
      <c r="A445" s="50"/>
      <c r="B445" s="50"/>
      <c r="C445" s="50"/>
      <c r="D445" s="50"/>
      <c r="E445" s="51"/>
      <c r="F445" s="51"/>
      <c r="G445" s="50"/>
      <c r="H445" s="51"/>
      <c r="I445" s="51"/>
      <c r="J445" s="51"/>
      <c r="K445" s="51"/>
      <c r="L445" s="50"/>
      <c r="M445" s="50"/>
      <c r="N445" s="50"/>
      <c r="O445" s="51"/>
      <c r="P445" s="50"/>
      <c r="Q445" s="50"/>
      <c r="R445" s="50"/>
      <c r="S445" s="50"/>
      <c r="T445" s="50"/>
    </row>
    <row r="446" spans="1:20" ht="25.5" customHeight="1" x14ac:dyDescent="0.2">
      <c r="A446" s="50"/>
      <c r="B446" s="50"/>
      <c r="C446" s="50"/>
      <c r="D446" s="50"/>
      <c r="E446" s="51"/>
      <c r="F446" s="51"/>
      <c r="G446" s="50"/>
      <c r="H446" s="51"/>
      <c r="I446" s="51"/>
      <c r="J446" s="51"/>
      <c r="K446" s="51"/>
      <c r="L446" s="50"/>
      <c r="M446" s="50"/>
      <c r="N446" s="50"/>
      <c r="O446" s="51"/>
      <c r="P446" s="50"/>
      <c r="Q446" s="50"/>
      <c r="R446" s="50"/>
      <c r="S446" s="50"/>
      <c r="T446" s="50"/>
    </row>
    <row r="447" spans="1:20" ht="25.5" customHeight="1" x14ac:dyDescent="0.2">
      <c r="A447" s="50"/>
      <c r="B447" s="50"/>
      <c r="C447" s="50"/>
      <c r="D447" s="50"/>
      <c r="E447" s="51"/>
      <c r="F447" s="51"/>
      <c r="G447" s="50"/>
      <c r="H447" s="51"/>
      <c r="I447" s="51"/>
      <c r="J447" s="51"/>
      <c r="K447" s="51"/>
      <c r="L447" s="50"/>
      <c r="M447" s="50"/>
      <c r="N447" s="50"/>
      <c r="O447" s="51"/>
      <c r="P447" s="50"/>
      <c r="Q447" s="50"/>
      <c r="R447" s="50"/>
      <c r="S447" s="50"/>
      <c r="T447" s="50"/>
    </row>
    <row r="448" spans="1:20" ht="25.5" customHeight="1" x14ac:dyDescent="0.2">
      <c r="A448" s="50"/>
      <c r="B448" s="50"/>
      <c r="C448" s="50"/>
      <c r="D448" s="50"/>
      <c r="E448" s="51"/>
      <c r="F448" s="51"/>
      <c r="G448" s="50"/>
      <c r="H448" s="51"/>
      <c r="I448" s="51"/>
      <c r="J448" s="51"/>
      <c r="K448" s="51"/>
      <c r="L448" s="50"/>
      <c r="M448" s="50"/>
      <c r="N448" s="50"/>
      <c r="O448" s="51"/>
      <c r="P448" s="50"/>
      <c r="Q448" s="50"/>
      <c r="R448" s="50"/>
      <c r="S448" s="50"/>
      <c r="T448" s="50"/>
    </row>
    <row r="449" spans="1:20" ht="25.5" customHeight="1" x14ac:dyDescent="0.2">
      <c r="A449" s="50"/>
      <c r="B449" s="50"/>
      <c r="C449" s="50"/>
      <c r="D449" s="50"/>
      <c r="E449" s="51"/>
      <c r="F449" s="51"/>
      <c r="G449" s="50"/>
      <c r="H449" s="51"/>
      <c r="I449" s="51"/>
      <c r="J449" s="51"/>
      <c r="K449" s="51"/>
      <c r="L449" s="50"/>
      <c r="M449" s="50"/>
      <c r="N449" s="50"/>
      <c r="O449" s="51"/>
      <c r="P449" s="50"/>
      <c r="Q449" s="50"/>
      <c r="R449" s="50"/>
      <c r="S449" s="50"/>
      <c r="T449" s="50"/>
    </row>
    <row r="450" spans="1:20" ht="25.5" customHeight="1" x14ac:dyDescent="0.2">
      <c r="A450" s="50"/>
      <c r="B450" s="50"/>
      <c r="C450" s="50"/>
      <c r="D450" s="50"/>
      <c r="E450" s="51"/>
      <c r="F450" s="51"/>
      <c r="G450" s="50"/>
      <c r="H450" s="51"/>
      <c r="I450" s="51"/>
      <c r="J450" s="51"/>
      <c r="K450" s="51"/>
      <c r="L450" s="50"/>
      <c r="M450" s="50"/>
      <c r="N450" s="50"/>
      <c r="O450" s="51"/>
      <c r="P450" s="50"/>
      <c r="Q450" s="50"/>
      <c r="R450" s="50"/>
      <c r="S450" s="50"/>
      <c r="T450" s="50"/>
    </row>
    <row r="451" spans="1:20" ht="25.5" customHeight="1" x14ac:dyDescent="0.2">
      <c r="A451" s="50"/>
      <c r="B451" s="50"/>
      <c r="C451" s="50"/>
      <c r="D451" s="50"/>
      <c r="E451" s="51"/>
      <c r="F451" s="51"/>
      <c r="G451" s="50"/>
      <c r="H451" s="51"/>
      <c r="I451" s="51"/>
      <c r="J451" s="51"/>
      <c r="K451" s="51"/>
      <c r="L451" s="50"/>
      <c r="M451" s="50"/>
      <c r="N451" s="50"/>
      <c r="O451" s="51"/>
      <c r="P451" s="50"/>
      <c r="Q451" s="50"/>
      <c r="R451" s="50"/>
      <c r="S451" s="50"/>
      <c r="T451" s="50"/>
    </row>
    <row r="452" spans="1:20" ht="25.5" customHeight="1" x14ac:dyDescent="0.2">
      <c r="A452" s="50"/>
      <c r="B452" s="50"/>
      <c r="C452" s="50"/>
      <c r="D452" s="50"/>
      <c r="E452" s="51"/>
      <c r="F452" s="51"/>
      <c r="G452" s="50"/>
      <c r="H452" s="51"/>
      <c r="I452" s="51"/>
      <c r="J452" s="51"/>
      <c r="K452" s="51"/>
      <c r="L452" s="50"/>
      <c r="M452" s="50"/>
      <c r="N452" s="50"/>
      <c r="O452" s="51"/>
      <c r="P452" s="50"/>
      <c r="Q452" s="50"/>
      <c r="R452" s="50"/>
      <c r="S452" s="50"/>
      <c r="T452" s="50"/>
    </row>
    <row r="453" spans="1:20" ht="25.5" customHeight="1" x14ac:dyDescent="0.2">
      <c r="A453" s="50"/>
      <c r="B453" s="50"/>
      <c r="C453" s="50"/>
      <c r="D453" s="50"/>
      <c r="E453" s="51"/>
      <c r="F453" s="51"/>
      <c r="G453" s="50"/>
      <c r="H453" s="51"/>
      <c r="I453" s="51"/>
      <c r="J453" s="51"/>
      <c r="K453" s="51"/>
      <c r="L453" s="50"/>
      <c r="M453" s="50"/>
      <c r="N453" s="50"/>
      <c r="O453" s="51"/>
      <c r="P453" s="50"/>
      <c r="Q453" s="50"/>
      <c r="R453" s="50"/>
      <c r="S453" s="50"/>
      <c r="T453" s="50"/>
    </row>
    <row r="454" spans="1:20" ht="25.5" customHeight="1" x14ac:dyDescent="0.2">
      <c r="A454" s="50"/>
      <c r="B454" s="50"/>
      <c r="C454" s="50"/>
      <c r="D454" s="50"/>
      <c r="E454" s="51"/>
      <c r="F454" s="51"/>
      <c r="G454" s="50"/>
      <c r="H454" s="51"/>
      <c r="I454" s="51"/>
      <c r="J454" s="51"/>
      <c r="K454" s="51"/>
      <c r="L454" s="50"/>
      <c r="M454" s="50"/>
      <c r="N454" s="50"/>
      <c r="O454" s="51"/>
      <c r="P454" s="50"/>
      <c r="Q454" s="50"/>
      <c r="R454" s="50"/>
      <c r="S454" s="50"/>
      <c r="T454" s="50"/>
    </row>
    <row r="455" spans="1:20" ht="25.5" customHeight="1" x14ac:dyDescent="0.2">
      <c r="A455" s="50"/>
      <c r="B455" s="50"/>
      <c r="C455" s="50"/>
      <c r="D455" s="50"/>
      <c r="E455" s="51"/>
      <c r="F455" s="51"/>
      <c r="G455" s="50"/>
      <c r="H455" s="51"/>
      <c r="I455" s="51"/>
      <c r="J455" s="51"/>
      <c r="K455" s="51"/>
      <c r="L455" s="50"/>
      <c r="M455" s="50"/>
      <c r="N455" s="50"/>
      <c r="O455" s="51"/>
      <c r="P455" s="50"/>
      <c r="Q455" s="50"/>
      <c r="R455" s="50"/>
      <c r="S455" s="50"/>
      <c r="T455" s="50"/>
    </row>
    <row r="456" spans="1:20" ht="25.5" customHeight="1" x14ac:dyDescent="0.2">
      <c r="A456" s="50"/>
      <c r="B456" s="50"/>
      <c r="C456" s="50"/>
      <c r="D456" s="50"/>
      <c r="E456" s="51"/>
      <c r="F456" s="51"/>
      <c r="G456" s="50"/>
      <c r="H456" s="51"/>
      <c r="I456" s="51"/>
      <c r="J456" s="51"/>
      <c r="K456" s="51"/>
      <c r="L456" s="50"/>
      <c r="M456" s="50"/>
      <c r="N456" s="50"/>
      <c r="O456" s="51"/>
      <c r="P456" s="50"/>
      <c r="Q456" s="50"/>
      <c r="R456" s="50"/>
      <c r="S456" s="50"/>
      <c r="T456" s="50"/>
    </row>
    <row r="457" spans="1:20" ht="25.5" customHeight="1" x14ac:dyDescent="0.2">
      <c r="A457" s="50"/>
      <c r="B457" s="50"/>
      <c r="C457" s="50"/>
      <c r="D457" s="50"/>
      <c r="E457" s="51"/>
      <c r="F457" s="51"/>
      <c r="G457" s="50"/>
      <c r="H457" s="51"/>
      <c r="I457" s="51"/>
      <c r="J457" s="51"/>
      <c r="K457" s="51"/>
      <c r="L457" s="50"/>
      <c r="M457" s="50"/>
      <c r="N457" s="50"/>
      <c r="O457" s="51"/>
      <c r="P457" s="50"/>
      <c r="Q457" s="50"/>
      <c r="R457" s="50"/>
      <c r="S457" s="50"/>
      <c r="T457" s="50"/>
    </row>
    <row r="458" spans="1:20" ht="25.5" customHeight="1" x14ac:dyDescent="0.2">
      <c r="A458" s="50"/>
      <c r="B458" s="50"/>
      <c r="C458" s="50"/>
      <c r="D458" s="50"/>
      <c r="E458" s="51"/>
      <c r="F458" s="51"/>
      <c r="G458" s="50"/>
      <c r="H458" s="51"/>
      <c r="I458" s="51"/>
      <c r="J458" s="51"/>
      <c r="K458" s="51"/>
      <c r="L458" s="50"/>
      <c r="M458" s="50"/>
      <c r="N458" s="50"/>
      <c r="O458" s="51"/>
      <c r="P458" s="50"/>
      <c r="Q458" s="50"/>
      <c r="R458" s="50"/>
      <c r="S458" s="50"/>
      <c r="T458" s="50"/>
    </row>
    <row r="459" spans="1:20" ht="25.5" customHeight="1" x14ac:dyDescent="0.2">
      <c r="A459" s="50"/>
      <c r="B459" s="50"/>
      <c r="C459" s="50"/>
      <c r="D459" s="50"/>
      <c r="E459" s="51"/>
      <c r="F459" s="51"/>
      <c r="G459" s="50"/>
      <c r="H459" s="51"/>
      <c r="I459" s="51"/>
      <c r="J459" s="51"/>
      <c r="K459" s="51"/>
      <c r="L459" s="50"/>
      <c r="M459" s="50"/>
      <c r="N459" s="50"/>
      <c r="O459" s="51"/>
      <c r="P459" s="50"/>
      <c r="Q459" s="50"/>
      <c r="R459" s="50"/>
      <c r="S459" s="50"/>
      <c r="T459" s="50"/>
    </row>
    <row r="460" spans="1:20" ht="25.5" customHeight="1" x14ac:dyDescent="0.2">
      <c r="A460" s="50"/>
      <c r="B460" s="50"/>
      <c r="C460" s="50"/>
      <c r="D460" s="50"/>
      <c r="E460" s="51"/>
      <c r="F460" s="51"/>
      <c r="G460" s="50"/>
      <c r="H460" s="51"/>
      <c r="I460" s="51"/>
      <c r="J460" s="51"/>
      <c r="K460" s="51"/>
      <c r="L460" s="50"/>
      <c r="M460" s="50"/>
      <c r="N460" s="50"/>
      <c r="O460" s="51"/>
      <c r="P460" s="50"/>
      <c r="Q460" s="50"/>
      <c r="R460" s="50"/>
      <c r="S460" s="50"/>
      <c r="T460" s="50"/>
    </row>
    <row r="461" spans="1:20" ht="25.5" customHeight="1" x14ac:dyDescent="0.2">
      <c r="A461" s="50"/>
      <c r="B461" s="50"/>
      <c r="C461" s="50"/>
      <c r="D461" s="50"/>
      <c r="E461" s="51"/>
      <c r="F461" s="51"/>
      <c r="G461" s="50"/>
      <c r="H461" s="51"/>
      <c r="I461" s="51"/>
      <c r="J461" s="51"/>
      <c r="K461" s="51"/>
      <c r="L461" s="50"/>
      <c r="M461" s="50"/>
      <c r="N461" s="50"/>
      <c r="O461" s="51"/>
      <c r="P461" s="50"/>
      <c r="Q461" s="50"/>
      <c r="R461" s="50"/>
      <c r="S461" s="50"/>
      <c r="T461" s="50"/>
    </row>
    <row r="462" spans="1:20" ht="25.5" customHeight="1" x14ac:dyDescent="0.2">
      <c r="A462" s="50"/>
      <c r="B462" s="50"/>
      <c r="C462" s="50"/>
      <c r="D462" s="50"/>
      <c r="E462" s="51"/>
      <c r="F462" s="51"/>
      <c r="G462" s="50"/>
      <c r="H462" s="51"/>
      <c r="I462" s="51"/>
      <c r="J462" s="51"/>
      <c r="K462" s="51"/>
      <c r="L462" s="50"/>
      <c r="M462" s="50"/>
      <c r="N462" s="50"/>
      <c r="O462" s="51"/>
      <c r="P462" s="50"/>
      <c r="Q462" s="50"/>
      <c r="R462" s="50"/>
      <c r="S462" s="50"/>
      <c r="T462" s="50"/>
    </row>
    <row r="463" spans="1:20" ht="25.5" customHeight="1" x14ac:dyDescent="0.2">
      <c r="A463" s="50"/>
      <c r="B463" s="50"/>
      <c r="C463" s="50"/>
      <c r="D463" s="50"/>
      <c r="E463" s="51"/>
      <c r="F463" s="51"/>
      <c r="G463" s="50"/>
      <c r="H463" s="51"/>
      <c r="I463" s="51"/>
      <c r="J463" s="51"/>
      <c r="K463" s="51"/>
      <c r="L463" s="50"/>
      <c r="M463" s="50"/>
      <c r="N463" s="50"/>
      <c r="O463" s="51"/>
      <c r="P463" s="50"/>
      <c r="Q463" s="50"/>
      <c r="R463" s="50"/>
      <c r="S463" s="50"/>
      <c r="T463" s="50"/>
    </row>
    <row r="464" spans="1:20" ht="25.5" customHeight="1" x14ac:dyDescent="0.2">
      <c r="A464" s="50"/>
      <c r="B464" s="50"/>
      <c r="C464" s="50"/>
      <c r="D464" s="50"/>
      <c r="E464" s="51"/>
      <c r="F464" s="51"/>
      <c r="G464" s="50"/>
      <c r="H464" s="51"/>
      <c r="I464" s="51"/>
      <c r="J464" s="51"/>
      <c r="K464" s="51"/>
      <c r="L464" s="50"/>
      <c r="M464" s="50"/>
      <c r="N464" s="50"/>
      <c r="O464" s="51"/>
      <c r="P464" s="50"/>
      <c r="Q464" s="50"/>
      <c r="R464" s="50"/>
      <c r="S464" s="50"/>
      <c r="T464" s="50"/>
    </row>
    <row r="465" spans="1:20" ht="25.5" customHeight="1" x14ac:dyDescent="0.2">
      <c r="A465" s="50"/>
      <c r="B465" s="50"/>
      <c r="C465" s="50"/>
      <c r="D465" s="50"/>
      <c r="E465" s="51"/>
      <c r="F465" s="51"/>
      <c r="G465" s="50"/>
      <c r="H465" s="51"/>
      <c r="I465" s="51"/>
      <c r="J465" s="51"/>
      <c r="K465" s="51"/>
      <c r="L465" s="50"/>
      <c r="M465" s="50"/>
      <c r="N465" s="50"/>
      <c r="O465" s="51"/>
      <c r="P465" s="50"/>
      <c r="Q465" s="50"/>
      <c r="R465" s="50"/>
      <c r="S465" s="50"/>
      <c r="T465" s="50"/>
    </row>
    <row r="466" spans="1:20" ht="25.5" customHeight="1" x14ac:dyDescent="0.2">
      <c r="A466" s="50"/>
      <c r="B466" s="50"/>
      <c r="C466" s="50"/>
      <c r="D466" s="50"/>
      <c r="E466" s="51"/>
      <c r="F466" s="51"/>
      <c r="G466" s="50"/>
      <c r="H466" s="51"/>
      <c r="I466" s="51"/>
      <c r="J466" s="51"/>
      <c r="K466" s="51"/>
      <c r="L466" s="50"/>
      <c r="M466" s="50"/>
      <c r="N466" s="50"/>
      <c r="O466" s="51"/>
      <c r="P466" s="50"/>
      <c r="Q466" s="50"/>
      <c r="R466" s="50"/>
      <c r="S466" s="50"/>
      <c r="T466" s="50"/>
    </row>
    <row r="467" spans="1:20" ht="25.5" customHeight="1" x14ac:dyDescent="0.2">
      <c r="A467" s="50"/>
      <c r="B467" s="50"/>
      <c r="C467" s="50"/>
      <c r="D467" s="50"/>
      <c r="E467" s="51"/>
      <c r="F467" s="51"/>
      <c r="G467" s="50"/>
      <c r="H467" s="51"/>
      <c r="I467" s="51"/>
      <c r="J467" s="51"/>
      <c r="K467" s="51"/>
      <c r="L467" s="50"/>
      <c r="M467" s="50"/>
      <c r="N467" s="50"/>
      <c r="O467" s="51"/>
      <c r="P467" s="50"/>
      <c r="Q467" s="50"/>
      <c r="R467" s="50"/>
      <c r="S467" s="50"/>
      <c r="T467" s="50"/>
    </row>
    <row r="468" spans="1:20" ht="25.5" customHeight="1" x14ac:dyDescent="0.2">
      <c r="A468" s="50"/>
      <c r="B468" s="50"/>
      <c r="C468" s="50"/>
      <c r="D468" s="50"/>
      <c r="E468" s="51"/>
      <c r="F468" s="51"/>
      <c r="G468" s="50"/>
      <c r="H468" s="51"/>
      <c r="I468" s="51"/>
      <c r="J468" s="51"/>
      <c r="K468" s="51"/>
      <c r="L468" s="50"/>
      <c r="M468" s="50"/>
      <c r="N468" s="50"/>
      <c r="O468" s="51"/>
      <c r="P468" s="50"/>
      <c r="Q468" s="50"/>
      <c r="R468" s="50"/>
      <c r="S468" s="50"/>
      <c r="T468" s="50"/>
    </row>
    <row r="469" spans="1:20" ht="25.5" customHeight="1" x14ac:dyDescent="0.2">
      <c r="A469" s="50"/>
      <c r="B469" s="50"/>
      <c r="C469" s="50"/>
      <c r="D469" s="50"/>
      <c r="E469" s="51"/>
      <c r="F469" s="51"/>
      <c r="G469" s="50"/>
      <c r="H469" s="51"/>
      <c r="I469" s="51"/>
      <c r="J469" s="51"/>
      <c r="K469" s="51"/>
      <c r="L469" s="50"/>
      <c r="M469" s="50"/>
      <c r="N469" s="50"/>
      <c r="O469" s="51"/>
      <c r="P469" s="50"/>
      <c r="Q469" s="50"/>
      <c r="R469" s="50"/>
      <c r="S469" s="50"/>
      <c r="T469" s="50"/>
    </row>
    <row r="470" spans="1:20" ht="25.5" customHeight="1" x14ac:dyDescent="0.2">
      <c r="A470" s="50"/>
      <c r="B470" s="50"/>
      <c r="C470" s="50"/>
      <c r="D470" s="50"/>
      <c r="E470" s="51"/>
      <c r="F470" s="51"/>
      <c r="G470" s="50"/>
      <c r="H470" s="51"/>
      <c r="I470" s="51"/>
      <c r="J470" s="51"/>
      <c r="K470" s="51"/>
      <c r="L470" s="50"/>
      <c r="M470" s="50"/>
      <c r="N470" s="50"/>
      <c r="O470" s="51"/>
      <c r="P470" s="50"/>
      <c r="Q470" s="50"/>
      <c r="R470" s="50"/>
      <c r="S470" s="50"/>
      <c r="T470" s="50"/>
    </row>
    <row r="471" spans="1:20" ht="25.5" customHeight="1" x14ac:dyDescent="0.2">
      <c r="A471" s="50"/>
      <c r="B471" s="50"/>
      <c r="C471" s="50"/>
      <c r="D471" s="50"/>
      <c r="E471" s="51"/>
      <c r="F471" s="51"/>
      <c r="G471" s="50"/>
      <c r="H471" s="51"/>
      <c r="I471" s="51"/>
      <c r="J471" s="51"/>
      <c r="K471" s="51"/>
      <c r="L471" s="50"/>
      <c r="M471" s="50"/>
      <c r="N471" s="50"/>
      <c r="O471" s="51"/>
      <c r="P471" s="50"/>
      <c r="Q471" s="50"/>
      <c r="R471" s="50"/>
      <c r="S471" s="50"/>
      <c r="T471" s="50"/>
    </row>
    <row r="472" spans="1:20" ht="25.5" customHeight="1" x14ac:dyDescent="0.2">
      <c r="A472" s="50"/>
      <c r="B472" s="50"/>
      <c r="C472" s="50"/>
      <c r="D472" s="50"/>
      <c r="E472" s="51"/>
      <c r="F472" s="51"/>
      <c r="G472" s="50"/>
      <c r="H472" s="51"/>
      <c r="I472" s="51"/>
      <c r="J472" s="51"/>
      <c r="K472" s="51"/>
      <c r="L472" s="50"/>
      <c r="M472" s="50"/>
      <c r="N472" s="50"/>
      <c r="O472" s="51"/>
      <c r="P472" s="50"/>
      <c r="Q472" s="50"/>
      <c r="R472" s="50"/>
      <c r="S472" s="50"/>
      <c r="T472" s="50"/>
    </row>
    <row r="473" spans="1:20" ht="25.5" customHeight="1" x14ac:dyDescent="0.2">
      <c r="A473" s="50"/>
      <c r="B473" s="50"/>
      <c r="C473" s="50"/>
      <c r="D473" s="50"/>
      <c r="E473" s="51"/>
      <c r="F473" s="51"/>
      <c r="G473" s="50"/>
      <c r="H473" s="51"/>
      <c r="I473" s="51"/>
      <c r="J473" s="51"/>
      <c r="K473" s="51"/>
      <c r="L473" s="50"/>
      <c r="M473" s="50"/>
      <c r="N473" s="50"/>
      <c r="O473" s="51"/>
      <c r="P473" s="50"/>
      <c r="Q473" s="50"/>
      <c r="R473" s="50"/>
      <c r="S473" s="50"/>
      <c r="T473" s="50"/>
    </row>
    <row r="474" spans="1:20" ht="25.5" customHeight="1" x14ac:dyDescent="0.2">
      <c r="A474" s="50"/>
      <c r="B474" s="50"/>
      <c r="C474" s="50"/>
      <c r="D474" s="50"/>
      <c r="E474" s="51"/>
      <c r="F474" s="51"/>
      <c r="G474" s="50"/>
      <c r="H474" s="51"/>
      <c r="I474" s="51"/>
      <c r="J474" s="51"/>
      <c r="K474" s="51"/>
      <c r="L474" s="50"/>
      <c r="M474" s="50"/>
      <c r="N474" s="50"/>
      <c r="O474" s="51"/>
      <c r="P474" s="50"/>
      <c r="Q474" s="50"/>
      <c r="R474" s="50"/>
      <c r="S474" s="50"/>
      <c r="T474" s="50"/>
    </row>
    <row r="475" spans="1:20" ht="25.5" customHeight="1" x14ac:dyDescent="0.2">
      <c r="A475" s="50"/>
      <c r="B475" s="50"/>
      <c r="C475" s="50"/>
      <c r="D475" s="50"/>
      <c r="E475" s="51"/>
      <c r="F475" s="51"/>
      <c r="G475" s="50"/>
      <c r="H475" s="51"/>
      <c r="I475" s="51"/>
      <c r="J475" s="51"/>
      <c r="K475" s="51"/>
      <c r="L475" s="50"/>
      <c r="M475" s="50"/>
      <c r="N475" s="50"/>
      <c r="O475" s="51"/>
      <c r="P475" s="50"/>
      <c r="Q475" s="50"/>
      <c r="R475" s="50"/>
      <c r="S475" s="50"/>
      <c r="T475" s="50"/>
    </row>
    <row r="476" spans="1:20" ht="25.5" customHeight="1" x14ac:dyDescent="0.2">
      <c r="A476" s="50"/>
      <c r="B476" s="50"/>
      <c r="C476" s="50"/>
      <c r="D476" s="50"/>
      <c r="E476" s="51"/>
      <c r="F476" s="51"/>
      <c r="G476" s="50"/>
      <c r="H476" s="51"/>
      <c r="I476" s="51"/>
      <c r="J476" s="51"/>
      <c r="K476" s="51"/>
      <c r="L476" s="50"/>
      <c r="M476" s="50"/>
      <c r="N476" s="50"/>
      <c r="O476" s="51"/>
      <c r="P476" s="50"/>
      <c r="Q476" s="50"/>
      <c r="R476" s="50"/>
      <c r="S476" s="50"/>
      <c r="T476" s="50"/>
    </row>
    <row r="477" spans="1:20" ht="25.5" customHeight="1" x14ac:dyDescent="0.2">
      <c r="A477" s="50"/>
      <c r="B477" s="50"/>
      <c r="C477" s="50"/>
      <c r="D477" s="50"/>
      <c r="E477" s="51"/>
      <c r="F477" s="51"/>
      <c r="G477" s="50"/>
      <c r="H477" s="51"/>
      <c r="I477" s="51"/>
      <c r="J477" s="51"/>
      <c r="K477" s="51"/>
      <c r="L477" s="50"/>
      <c r="M477" s="50"/>
      <c r="N477" s="50"/>
      <c r="O477" s="51"/>
      <c r="P477" s="50"/>
      <c r="Q477" s="50"/>
      <c r="R477" s="50"/>
      <c r="S477" s="50"/>
      <c r="T477" s="50"/>
    </row>
    <row r="478" spans="1:20" ht="25.5" customHeight="1" x14ac:dyDescent="0.2">
      <c r="A478" s="50"/>
      <c r="B478" s="50"/>
      <c r="C478" s="50"/>
      <c r="D478" s="50"/>
      <c r="E478" s="51"/>
      <c r="F478" s="51"/>
      <c r="G478" s="50"/>
      <c r="H478" s="51"/>
      <c r="I478" s="51"/>
      <c r="J478" s="51"/>
      <c r="K478" s="51"/>
      <c r="L478" s="50"/>
      <c r="M478" s="50"/>
      <c r="N478" s="50"/>
      <c r="O478" s="51"/>
      <c r="P478" s="50"/>
      <c r="Q478" s="50"/>
      <c r="R478" s="50"/>
      <c r="S478" s="50"/>
      <c r="T478" s="50"/>
    </row>
    <row r="479" spans="1:20" ht="25.5" customHeight="1" x14ac:dyDescent="0.2">
      <c r="A479" s="50"/>
      <c r="B479" s="50"/>
      <c r="C479" s="50"/>
      <c r="D479" s="50"/>
      <c r="E479" s="51"/>
      <c r="F479" s="51"/>
      <c r="G479" s="50"/>
      <c r="H479" s="51"/>
      <c r="I479" s="51"/>
      <c r="J479" s="51"/>
      <c r="K479" s="51"/>
      <c r="L479" s="50"/>
      <c r="M479" s="50"/>
      <c r="N479" s="50"/>
      <c r="O479" s="51"/>
      <c r="P479" s="50"/>
      <c r="Q479" s="50"/>
      <c r="R479" s="50"/>
      <c r="S479" s="50"/>
      <c r="T479" s="50"/>
    </row>
    <row r="480" spans="1:20" ht="25.5" customHeight="1" x14ac:dyDescent="0.2">
      <c r="A480" s="50"/>
      <c r="B480" s="50"/>
      <c r="C480" s="50"/>
      <c r="D480" s="50"/>
      <c r="E480" s="51"/>
      <c r="F480" s="51"/>
      <c r="G480" s="50"/>
      <c r="H480" s="51"/>
      <c r="I480" s="51"/>
      <c r="J480" s="51"/>
      <c r="K480" s="51"/>
      <c r="L480" s="50"/>
      <c r="M480" s="50"/>
      <c r="N480" s="50"/>
      <c r="O480" s="51"/>
      <c r="P480" s="50"/>
      <c r="Q480" s="50"/>
      <c r="R480" s="50"/>
      <c r="S480" s="50"/>
      <c r="T480" s="50"/>
    </row>
    <row r="481" spans="1:20" ht="25.5" customHeight="1" x14ac:dyDescent="0.2">
      <c r="A481" s="50"/>
      <c r="B481" s="50"/>
      <c r="C481" s="50"/>
      <c r="D481" s="50"/>
      <c r="E481" s="51"/>
      <c r="F481" s="51"/>
      <c r="G481" s="50"/>
      <c r="H481" s="51"/>
      <c r="I481" s="51"/>
      <c r="J481" s="51"/>
      <c r="K481" s="51"/>
      <c r="L481" s="50"/>
      <c r="M481" s="50"/>
      <c r="N481" s="50"/>
      <c r="O481" s="51"/>
      <c r="P481" s="50"/>
      <c r="Q481" s="50"/>
      <c r="R481" s="50"/>
      <c r="S481" s="50"/>
      <c r="T481" s="50"/>
    </row>
    <row r="482" spans="1:20" ht="25.5" customHeight="1" x14ac:dyDescent="0.2">
      <c r="A482" s="50"/>
      <c r="B482" s="50"/>
      <c r="C482" s="50"/>
      <c r="D482" s="50"/>
      <c r="E482" s="51"/>
      <c r="F482" s="51"/>
      <c r="G482" s="50"/>
      <c r="H482" s="51"/>
      <c r="I482" s="51"/>
      <c r="J482" s="51"/>
      <c r="K482" s="51"/>
      <c r="L482" s="50"/>
      <c r="M482" s="50"/>
      <c r="N482" s="50"/>
      <c r="O482" s="51"/>
      <c r="P482" s="50"/>
      <c r="Q482" s="50"/>
      <c r="R482" s="50"/>
      <c r="S482" s="50"/>
      <c r="T482" s="50"/>
    </row>
    <row r="483" spans="1:20" ht="25.5" customHeight="1" x14ac:dyDescent="0.2">
      <c r="A483" s="50"/>
      <c r="B483" s="50"/>
      <c r="C483" s="50"/>
      <c r="D483" s="50"/>
      <c r="E483" s="51"/>
      <c r="F483" s="51"/>
      <c r="G483" s="50"/>
      <c r="H483" s="51"/>
      <c r="I483" s="51"/>
      <c r="J483" s="51"/>
      <c r="K483" s="51"/>
      <c r="L483" s="50"/>
      <c r="M483" s="50"/>
      <c r="N483" s="50"/>
      <c r="O483" s="51"/>
      <c r="P483" s="50"/>
      <c r="Q483" s="50"/>
      <c r="R483" s="50"/>
      <c r="S483" s="50"/>
      <c r="T483" s="50"/>
    </row>
    <row r="484" spans="1:20" ht="25.5" customHeight="1" x14ac:dyDescent="0.2">
      <c r="A484" s="50"/>
      <c r="B484" s="50"/>
      <c r="C484" s="50"/>
      <c r="D484" s="50"/>
      <c r="E484" s="51"/>
      <c r="F484" s="51"/>
      <c r="G484" s="50"/>
      <c r="H484" s="51"/>
      <c r="I484" s="51"/>
      <c r="J484" s="51"/>
      <c r="K484" s="51"/>
      <c r="L484" s="50"/>
      <c r="M484" s="50"/>
      <c r="N484" s="50"/>
      <c r="O484" s="51"/>
      <c r="P484" s="50"/>
      <c r="Q484" s="50"/>
      <c r="R484" s="50"/>
      <c r="S484" s="50"/>
      <c r="T484" s="50"/>
    </row>
    <row r="485" spans="1:20" ht="25.5" customHeight="1" x14ac:dyDescent="0.2">
      <c r="A485" s="50"/>
      <c r="B485" s="50"/>
      <c r="C485" s="50"/>
      <c r="D485" s="50"/>
      <c r="E485" s="51"/>
      <c r="F485" s="51"/>
      <c r="G485" s="50"/>
      <c r="H485" s="51"/>
      <c r="I485" s="51"/>
      <c r="J485" s="51"/>
      <c r="K485" s="51"/>
      <c r="L485" s="50"/>
      <c r="M485" s="50"/>
      <c r="N485" s="50"/>
      <c r="O485" s="51"/>
      <c r="P485" s="50"/>
      <c r="Q485" s="50"/>
      <c r="R485" s="50"/>
      <c r="S485" s="50"/>
      <c r="T485" s="50"/>
    </row>
    <row r="486" spans="1:20" ht="25.5" customHeight="1" x14ac:dyDescent="0.2">
      <c r="A486" s="50"/>
      <c r="B486" s="50"/>
      <c r="C486" s="50"/>
      <c r="D486" s="50"/>
      <c r="E486" s="51"/>
      <c r="F486" s="51"/>
      <c r="G486" s="50"/>
      <c r="H486" s="51"/>
      <c r="I486" s="51"/>
      <c r="J486" s="51"/>
      <c r="K486" s="51"/>
      <c r="L486" s="50"/>
      <c r="M486" s="50"/>
      <c r="N486" s="50"/>
      <c r="O486" s="51"/>
      <c r="P486" s="50"/>
      <c r="Q486" s="50"/>
      <c r="R486" s="50"/>
      <c r="S486" s="50"/>
      <c r="T486" s="50"/>
    </row>
    <row r="487" spans="1:20" ht="25.5" customHeight="1" x14ac:dyDescent="0.2">
      <c r="A487" s="50"/>
      <c r="B487" s="50"/>
      <c r="C487" s="50"/>
      <c r="D487" s="50"/>
      <c r="E487" s="51"/>
      <c r="F487" s="51"/>
      <c r="G487" s="50"/>
      <c r="H487" s="51"/>
      <c r="I487" s="51"/>
      <c r="J487" s="51"/>
      <c r="K487" s="51"/>
      <c r="L487" s="50"/>
      <c r="M487" s="50"/>
      <c r="N487" s="50"/>
      <c r="O487" s="51"/>
      <c r="P487" s="50"/>
      <c r="Q487" s="50"/>
      <c r="R487" s="50"/>
      <c r="S487" s="50"/>
      <c r="T487" s="50"/>
    </row>
    <row r="488" spans="1:20" ht="25.5" customHeight="1" x14ac:dyDescent="0.2">
      <c r="A488" s="50"/>
      <c r="B488" s="50"/>
      <c r="C488" s="50"/>
      <c r="D488" s="50"/>
      <c r="E488" s="51"/>
      <c r="F488" s="51"/>
      <c r="G488" s="50"/>
      <c r="H488" s="51"/>
      <c r="I488" s="51"/>
      <c r="J488" s="51"/>
      <c r="K488" s="51"/>
      <c r="L488" s="50"/>
      <c r="M488" s="50"/>
      <c r="N488" s="50"/>
      <c r="O488" s="51"/>
      <c r="P488" s="50"/>
      <c r="Q488" s="50"/>
      <c r="R488" s="50"/>
      <c r="S488" s="50"/>
      <c r="T488" s="50"/>
    </row>
    <row r="489" spans="1:20" ht="25.5" customHeight="1" x14ac:dyDescent="0.2">
      <c r="A489" s="50"/>
      <c r="B489" s="50"/>
      <c r="C489" s="50"/>
      <c r="D489" s="50"/>
      <c r="E489" s="51"/>
      <c r="F489" s="51"/>
      <c r="G489" s="50"/>
      <c r="H489" s="51"/>
      <c r="I489" s="51"/>
      <c r="J489" s="51"/>
      <c r="K489" s="51"/>
      <c r="L489" s="50"/>
      <c r="M489" s="50"/>
      <c r="N489" s="50"/>
      <c r="O489" s="51"/>
      <c r="P489" s="50"/>
      <c r="Q489" s="50"/>
      <c r="R489" s="50"/>
      <c r="S489" s="50"/>
      <c r="T489" s="50"/>
    </row>
    <row r="490" spans="1:20" ht="25.5" customHeight="1" x14ac:dyDescent="0.2">
      <c r="A490" s="50"/>
      <c r="B490" s="50"/>
      <c r="C490" s="50"/>
      <c r="D490" s="50"/>
      <c r="E490" s="51"/>
      <c r="F490" s="51"/>
      <c r="G490" s="50"/>
      <c r="H490" s="51"/>
      <c r="I490" s="51"/>
      <c r="J490" s="51"/>
      <c r="K490" s="51"/>
      <c r="L490" s="50"/>
      <c r="M490" s="50"/>
      <c r="N490" s="50"/>
      <c r="O490" s="51"/>
      <c r="P490" s="50"/>
      <c r="Q490" s="50"/>
      <c r="R490" s="50"/>
      <c r="S490" s="50"/>
      <c r="T490" s="50"/>
    </row>
    <row r="491" spans="1:20" ht="25.5" customHeight="1" x14ac:dyDescent="0.2">
      <c r="A491" s="50"/>
      <c r="B491" s="50"/>
      <c r="C491" s="50"/>
      <c r="D491" s="50"/>
      <c r="E491" s="51"/>
      <c r="F491" s="51"/>
      <c r="G491" s="50"/>
      <c r="H491" s="51"/>
      <c r="I491" s="51"/>
      <c r="J491" s="51"/>
      <c r="K491" s="51"/>
      <c r="L491" s="50"/>
      <c r="M491" s="50"/>
      <c r="N491" s="50"/>
      <c r="O491" s="51"/>
      <c r="P491" s="50"/>
      <c r="Q491" s="50"/>
      <c r="R491" s="50"/>
      <c r="S491" s="50"/>
      <c r="T491" s="50"/>
    </row>
    <row r="492" spans="1:20" ht="25.5" customHeight="1" x14ac:dyDescent="0.2">
      <c r="A492" s="50"/>
      <c r="B492" s="50"/>
      <c r="C492" s="50"/>
      <c r="D492" s="50"/>
      <c r="E492" s="51"/>
      <c r="F492" s="51"/>
      <c r="G492" s="50"/>
      <c r="H492" s="51"/>
      <c r="I492" s="51"/>
      <c r="J492" s="51"/>
      <c r="K492" s="51"/>
      <c r="L492" s="50"/>
      <c r="M492" s="50"/>
      <c r="N492" s="50"/>
      <c r="O492" s="51"/>
      <c r="P492" s="50"/>
      <c r="Q492" s="50"/>
      <c r="R492" s="50"/>
      <c r="S492" s="50"/>
      <c r="T492" s="50"/>
    </row>
    <row r="493" spans="1:20" ht="25.5" customHeight="1" x14ac:dyDescent="0.2">
      <c r="A493" s="50"/>
      <c r="B493" s="50"/>
      <c r="C493" s="50"/>
      <c r="D493" s="50"/>
      <c r="E493" s="51"/>
      <c r="F493" s="51"/>
      <c r="G493" s="50"/>
      <c r="H493" s="51"/>
      <c r="I493" s="51"/>
      <c r="J493" s="51"/>
      <c r="K493" s="51"/>
      <c r="L493" s="50"/>
      <c r="M493" s="50"/>
      <c r="N493" s="50"/>
      <c r="O493" s="51"/>
      <c r="P493" s="50"/>
      <c r="Q493" s="50"/>
      <c r="R493" s="50"/>
      <c r="S493" s="50"/>
      <c r="T493" s="50"/>
    </row>
    <row r="494" spans="1:20" ht="25.5" customHeight="1" x14ac:dyDescent="0.2">
      <c r="A494" s="50"/>
      <c r="B494" s="50"/>
      <c r="C494" s="50"/>
      <c r="D494" s="50"/>
      <c r="E494" s="51"/>
      <c r="F494" s="51"/>
      <c r="G494" s="50"/>
      <c r="H494" s="51"/>
      <c r="I494" s="51"/>
      <c r="J494" s="51"/>
      <c r="K494" s="51"/>
      <c r="L494" s="50"/>
      <c r="M494" s="50"/>
      <c r="N494" s="50"/>
      <c r="O494" s="51"/>
      <c r="P494" s="50"/>
      <c r="Q494" s="50"/>
      <c r="R494" s="50"/>
      <c r="S494" s="50"/>
      <c r="T494" s="50"/>
    </row>
    <row r="495" spans="1:20" ht="25.5" customHeight="1" x14ac:dyDescent="0.2">
      <c r="A495" s="50"/>
      <c r="B495" s="50"/>
      <c r="C495" s="50"/>
      <c r="D495" s="50"/>
      <c r="E495" s="51"/>
      <c r="F495" s="51"/>
      <c r="G495" s="50"/>
      <c r="H495" s="51"/>
      <c r="I495" s="51"/>
      <c r="J495" s="51"/>
      <c r="K495" s="51"/>
      <c r="L495" s="50"/>
      <c r="M495" s="50"/>
      <c r="N495" s="50"/>
      <c r="O495" s="51"/>
      <c r="P495" s="50"/>
      <c r="Q495" s="50"/>
      <c r="R495" s="50"/>
      <c r="S495" s="50"/>
      <c r="T495" s="50"/>
    </row>
    <row r="496" spans="1:20" ht="25.5" customHeight="1" x14ac:dyDescent="0.2">
      <c r="A496" s="50"/>
      <c r="B496" s="50"/>
      <c r="C496" s="50"/>
      <c r="D496" s="50"/>
      <c r="E496" s="51"/>
      <c r="F496" s="51"/>
      <c r="G496" s="50"/>
      <c r="H496" s="51"/>
      <c r="I496" s="51"/>
      <c r="J496" s="51"/>
      <c r="K496" s="51"/>
      <c r="L496" s="50"/>
      <c r="M496" s="50"/>
      <c r="N496" s="50"/>
      <c r="O496" s="51"/>
      <c r="P496" s="50"/>
      <c r="Q496" s="50"/>
      <c r="R496" s="50"/>
      <c r="S496" s="50"/>
      <c r="T496" s="50"/>
    </row>
    <row r="497" spans="1:20" ht="25.5" customHeight="1" x14ac:dyDescent="0.2">
      <c r="A497" s="50"/>
      <c r="B497" s="50"/>
      <c r="C497" s="50"/>
      <c r="D497" s="50"/>
      <c r="E497" s="51"/>
      <c r="F497" s="51"/>
      <c r="G497" s="50"/>
      <c r="H497" s="51"/>
      <c r="I497" s="51"/>
      <c r="J497" s="51"/>
      <c r="K497" s="51"/>
      <c r="L497" s="50"/>
      <c r="M497" s="50"/>
      <c r="N497" s="50"/>
      <c r="O497" s="51"/>
      <c r="P497" s="50"/>
      <c r="Q497" s="50"/>
      <c r="R497" s="50"/>
      <c r="S497" s="50"/>
      <c r="T497" s="50"/>
    </row>
    <row r="498" spans="1:20" ht="25.5" customHeight="1" x14ac:dyDescent="0.2">
      <c r="A498" s="50"/>
      <c r="B498" s="50"/>
      <c r="C498" s="50"/>
      <c r="D498" s="50"/>
      <c r="E498" s="51"/>
      <c r="F498" s="51"/>
      <c r="G498" s="50"/>
      <c r="H498" s="51"/>
      <c r="I498" s="51"/>
      <c r="J498" s="51"/>
      <c r="K498" s="51"/>
      <c r="L498" s="50"/>
      <c r="M498" s="50"/>
      <c r="N498" s="50"/>
      <c r="O498" s="51"/>
      <c r="P498" s="50"/>
      <c r="Q498" s="50"/>
      <c r="R498" s="50"/>
      <c r="S498" s="50"/>
      <c r="T498" s="50"/>
    </row>
    <row r="499" spans="1:20" ht="25.5" customHeight="1" x14ac:dyDescent="0.2">
      <c r="A499" s="50"/>
      <c r="B499" s="50"/>
      <c r="C499" s="50"/>
      <c r="D499" s="50"/>
      <c r="E499" s="51"/>
      <c r="F499" s="51"/>
      <c r="G499" s="50"/>
      <c r="H499" s="51"/>
      <c r="I499" s="51"/>
      <c r="J499" s="51"/>
      <c r="K499" s="51"/>
      <c r="L499" s="50"/>
      <c r="M499" s="50"/>
      <c r="N499" s="50"/>
      <c r="O499" s="51"/>
      <c r="P499" s="50"/>
      <c r="Q499" s="50"/>
      <c r="R499" s="50"/>
      <c r="S499" s="50"/>
      <c r="T499" s="50"/>
    </row>
    <row r="500" spans="1:20" ht="25.5" customHeight="1" x14ac:dyDescent="0.2">
      <c r="A500" s="50"/>
      <c r="B500" s="50"/>
      <c r="C500" s="50"/>
      <c r="D500" s="50"/>
      <c r="E500" s="51"/>
      <c r="F500" s="51"/>
      <c r="G500" s="50"/>
      <c r="H500" s="51"/>
      <c r="I500" s="51"/>
      <c r="J500" s="51"/>
      <c r="K500" s="51"/>
      <c r="L500" s="50"/>
      <c r="M500" s="50"/>
      <c r="N500" s="50"/>
      <c r="O500" s="51"/>
      <c r="P500" s="50"/>
      <c r="Q500" s="50"/>
      <c r="R500" s="50"/>
      <c r="S500" s="50"/>
      <c r="T500" s="50"/>
    </row>
    <row r="501" spans="1:20" ht="25.5" customHeight="1" x14ac:dyDescent="0.2">
      <c r="A501" s="50"/>
      <c r="B501" s="50"/>
      <c r="C501" s="50"/>
      <c r="D501" s="50"/>
      <c r="E501" s="51"/>
      <c r="F501" s="51"/>
      <c r="G501" s="50"/>
      <c r="H501" s="51"/>
      <c r="I501" s="51"/>
      <c r="J501" s="51"/>
      <c r="K501" s="51"/>
      <c r="L501" s="50"/>
      <c r="M501" s="50"/>
      <c r="N501" s="50"/>
      <c r="O501" s="51"/>
      <c r="P501" s="50"/>
      <c r="Q501" s="50"/>
      <c r="R501" s="50"/>
      <c r="S501" s="50"/>
      <c r="T501" s="50"/>
    </row>
    <row r="502" spans="1:20" ht="25.5" customHeight="1" x14ac:dyDescent="0.2">
      <c r="A502" s="50"/>
      <c r="B502" s="50"/>
      <c r="C502" s="50"/>
      <c r="D502" s="50"/>
      <c r="E502" s="51"/>
      <c r="F502" s="51"/>
      <c r="G502" s="50"/>
      <c r="H502" s="51"/>
      <c r="I502" s="51"/>
      <c r="J502" s="51"/>
      <c r="K502" s="51"/>
      <c r="L502" s="50"/>
      <c r="M502" s="50"/>
      <c r="N502" s="50"/>
      <c r="O502" s="51"/>
      <c r="P502" s="50"/>
      <c r="Q502" s="50"/>
      <c r="R502" s="50"/>
      <c r="S502" s="50"/>
      <c r="T502" s="50"/>
    </row>
    <row r="503" spans="1:20" ht="25.5" customHeight="1" x14ac:dyDescent="0.2">
      <c r="A503" s="50"/>
      <c r="B503" s="50"/>
      <c r="C503" s="50"/>
      <c r="D503" s="50"/>
      <c r="E503" s="51"/>
      <c r="F503" s="51"/>
      <c r="G503" s="50"/>
      <c r="H503" s="51"/>
      <c r="I503" s="51"/>
      <c r="J503" s="51"/>
      <c r="K503" s="51"/>
      <c r="L503" s="50"/>
      <c r="M503" s="50"/>
      <c r="N503" s="50"/>
      <c r="O503" s="51"/>
      <c r="P503" s="50"/>
      <c r="Q503" s="50"/>
      <c r="R503" s="50"/>
      <c r="S503" s="50"/>
      <c r="T503" s="50"/>
    </row>
    <row r="504" spans="1:20" ht="25.5" customHeight="1" x14ac:dyDescent="0.2">
      <c r="A504" s="50"/>
      <c r="B504" s="50"/>
      <c r="C504" s="50"/>
      <c r="D504" s="50"/>
      <c r="E504" s="51"/>
      <c r="F504" s="51"/>
      <c r="G504" s="50"/>
      <c r="H504" s="51"/>
      <c r="I504" s="51"/>
      <c r="J504" s="51"/>
      <c r="K504" s="51"/>
      <c r="L504" s="50"/>
      <c r="M504" s="50"/>
      <c r="N504" s="50"/>
      <c r="O504" s="51"/>
      <c r="P504" s="50"/>
      <c r="Q504" s="50"/>
      <c r="R504" s="50"/>
      <c r="S504" s="50"/>
      <c r="T504" s="50"/>
    </row>
  </sheetData>
  <mergeCells count="2">
    <mergeCell ref="A1:T1"/>
    <mergeCell ref="A2:T2"/>
  </mergeCells>
  <dataValidations count="3">
    <dataValidation type="list" allowBlank="1" showInputMessage="1" showErrorMessage="1" errorTitle="Invalid entry" error="Select a value from the approved list." promptTitle="Controlled input" prompt="Select from the drop-down list." sqref="B5:B504" xr:uid="{00000000-0002-0000-0200-000000000000}">
      <formula1>Scenario</formula1>
    </dataValidation>
    <dataValidation type="list" allowBlank="1" showInputMessage="1" showErrorMessage="1" errorTitle="Invalid entry" error="Select a value from the approved list." promptTitle="Controlled input" prompt="Select from the drop-down list." sqref="R5:R504" xr:uid="{00000000-0002-0000-0200-000001000000}">
      <formula1>InputSource</formula1>
    </dataValidation>
    <dataValidation type="decimal" operator="greaterThanOrEqual" allowBlank="1" sqref="P5:P504 G5:G504 L5:N504 D5:D504" xr:uid="{00000000-0002-0000-0200-000002000000}">
      <formula1>0</formula1>
    </dataValidation>
  </dataValidations>
  <pageMargins left="0.75" right="0.75" top="1" bottom="1" header="0.5" footer="0.5"/>
  <pageSetup fitToHeight="0" orientation="portrait"/>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C504"/>
  <sheetViews>
    <sheetView showGridLines="0" workbookViewId="0">
      <pane ySplit="4" topLeftCell="A30" activePane="bottomLeft" state="frozen"/>
      <selection activeCell="L1" sqref="L1"/>
      <selection pane="bottomLeft" activeCell="D508" sqref="D508"/>
    </sheetView>
  </sheetViews>
  <sheetFormatPr baseColWidth="10" defaultColWidth="8.83203125" defaultRowHeight="22" customHeight="1" x14ac:dyDescent="0.2"/>
  <cols>
    <col min="1" max="2" width="19.1640625" customWidth="1"/>
    <col min="3" max="8" width="22.6640625" customWidth="1"/>
    <col min="9" max="20" width="16.6640625" customWidth="1"/>
    <col min="21" max="26" width="18.1640625" customWidth="1"/>
    <col min="27" max="27" width="41.83203125" customWidth="1"/>
    <col min="28" max="28" width="20.83203125" customWidth="1"/>
    <col min="29" max="29" width="45.5" customWidth="1"/>
  </cols>
  <sheetData>
    <row r="1" spans="1:29" ht="22" customHeight="1" x14ac:dyDescent="0.2">
      <c r="A1" s="180" t="s">
        <v>181</v>
      </c>
      <c r="B1" s="181"/>
      <c r="C1" s="181"/>
      <c r="D1" s="181"/>
      <c r="E1" s="181"/>
      <c r="F1" s="181"/>
      <c r="G1" s="181"/>
      <c r="H1" s="181"/>
      <c r="I1" s="181"/>
      <c r="J1" s="181"/>
      <c r="K1" s="181"/>
      <c r="L1" s="181"/>
      <c r="M1" s="181"/>
      <c r="N1" s="181"/>
      <c r="O1" s="181"/>
      <c r="P1" s="181"/>
      <c r="Q1" s="181"/>
      <c r="R1" s="181"/>
      <c r="S1" s="181"/>
      <c r="T1" s="181"/>
      <c r="U1" s="181"/>
      <c r="V1" s="181"/>
      <c r="W1" s="181"/>
      <c r="X1" s="181"/>
      <c r="Y1" s="181"/>
      <c r="Z1" s="181"/>
      <c r="AA1" s="181"/>
      <c r="AB1" s="181"/>
      <c r="AC1" s="181"/>
    </row>
    <row r="2" spans="1:29" ht="22" customHeight="1" x14ac:dyDescent="0.2">
      <c r="A2" s="187" t="s">
        <v>182</v>
      </c>
      <c r="B2" s="181"/>
      <c r="C2" s="181"/>
      <c r="D2" s="181"/>
      <c r="E2" s="181"/>
      <c r="F2" s="181"/>
      <c r="G2" s="181"/>
      <c r="H2" s="181"/>
      <c r="I2" s="181"/>
      <c r="J2" s="181"/>
      <c r="K2" s="181"/>
      <c r="L2" s="181"/>
      <c r="M2" s="181"/>
      <c r="N2" s="181"/>
      <c r="O2" s="181"/>
      <c r="P2" s="181"/>
      <c r="Q2" s="181"/>
      <c r="R2" s="181"/>
      <c r="S2" s="181"/>
      <c r="T2" s="181"/>
      <c r="U2" s="181"/>
      <c r="V2" s="181"/>
      <c r="W2" s="181"/>
      <c r="X2" s="181"/>
      <c r="Y2" s="181"/>
      <c r="Z2" s="181"/>
      <c r="AA2" s="181"/>
      <c r="AB2" s="181"/>
      <c r="AC2" s="181"/>
    </row>
    <row r="4" spans="1:29" ht="22" customHeight="1" x14ac:dyDescent="0.2">
      <c r="A4" s="62" t="s">
        <v>137</v>
      </c>
      <c r="B4" s="62" t="s">
        <v>168</v>
      </c>
      <c r="C4" s="62" t="s">
        <v>183</v>
      </c>
      <c r="D4" s="62" t="s">
        <v>184</v>
      </c>
      <c r="E4" s="62" t="s">
        <v>185</v>
      </c>
      <c r="F4" s="62" t="s">
        <v>186</v>
      </c>
      <c r="G4" s="62" t="s">
        <v>187</v>
      </c>
      <c r="H4" s="62" t="s">
        <v>188</v>
      </c>
      <c r="I4" s="62" t="s">
        <v>189</v>
      </c>
      <c r="J4" s="62" t="s">
        <v>190</v>
      </c>
      <c r="K4" s="62" t="s">
        <v>191</v>
      </c>
      <c r="L4" s="156" t="s">
        <v>192</v>
      </c>
      <c r="M4" s="156" t="s">
        <v>193</v>
      </c>
      <c r="N4" s="62" t="s">
        <v>194</v>
      </c>
      <c r="O4" s="62" t="s">
        <v>195</v>
      </c>
      <c r="P4" s="62" t="s">
        <v>174</v>
      </c>
      <c r="Q4" s="62" t="s">
        <v>196</v>
      </c>
      <c r="R4" s="62" t="s">
        <v>197</v>
      </c>
      <c r="S4" s="62" t="s">
        <v>198</v>
      </c>
      <c r="T4" s="110" t="s">
        <v>199</v>
      </c>
      <c r="U4" s="62" t="s">
        <v>200</v>
      </c>
      <c r="V4" s="62" t="s">
        <v>201</v>
      </c>
      <c r="W4" s="62" t="s">
        <v>202</v>
      </c>
      <c r="X4" s="62" t="s">
        <v>203</v>
      </c>
      <c r="Y4" s="62" t="s">
        <v>204</v>
      </c>
      <c r="Z4" s="62" t="s">
        <v>205</v>
      </c>
      <c r="AA4" s="62" t="s">
        <v>206</v>
      </c>
      <c r="AB4" s="62" t="s">
        <v>180</v>
      </c>
      <c r="AC4" s="62" t="s">
        <v>165</v>
      </c>
    </row>
    <row r="5" spans="1:29" ht="22" hidden="1" customHeight="1" x14ac:dyDescent="0.2">
      <c r="A5" s="50" t="s">
        <v>679</v>
      </c>
      <c r="B5" s="50" t="s">
        <v>545</v>
      </c>
      <c r="C5" s="50" t="s">
        <v>796</v>
      </c>
      <c r="D5" s="50" t="s">
        <v>797</v>
      </c>
      <c r="E5" s="123" t="s">
        <v>940</v>
      </c>
      <c r="F5" s="50" t="s">
        <v>593</v>
      </c>
      <c r="G5" s="50" t="s">
        <v>798</v>
      </c>
      <c r="H5" s="50" t="s">
        <v>799</v>
      </c>
      <c r="I5" s="50">
        <v>2</v>
      </c>
      <c r="J5" s="50">
        <v>1800</v>
      </c>
      <c r="K5" s="50">
        <v>350</v>
      </c>
      <c r="L5" s="50">
        <v>500</v>
      </c>
      <c r="M5" s="50">
        <v>700</v>
      </c>
      <c r="N5" s="50">
        <v>0</v>
      </c>
      <c r="O5" s="114">
        <v>0.25</v>
      </c>
      <c r="P5" s="114">
        <v>0.04</v>
      </c>
      <c r="Q5" s="50">
        <v>0.4</v>
      </c>
      <c r="R5" s="50">
        <v>1.6</v>
      </c>
      <c r="S5" s="50">
        <v>0</v>
      </c>
      <c r="T5" s="50" t="s">
        <v>620</v>
      </c>
      <c r="U5" s="50" t="s">
        <v>590</v>
      </c>
      <c r="V5" s="50" t="s">
        <v>800</v>
      </c>
      <c r="W5" s="124">
        <v>46298</v>
      </c>
      <c r="X5" s="114">
        <v>0</v>
      </c>
      <c r="Y5" s="114">
        <v>0</v>
      </c>
      <c r="Z5" s="50">
        <v>0</v>
      </c>
      <c r="AA5" s="50" t="s">
        <v>801</v>
      </c>
      <c r="AB5" s="50" t="s">
        <v>650</v>
      </c>
      <c r="AC5" s="50" t="s">
        <v>1085</v>
      </c>
    </row>
    <row r="6" spans="1:29" ht="22" hidden="1" customHeight="1" x14ac:dyDescent="0.2">
      <c r="A6" s="50" t="s">
        <v>679</v>
      </c>
      <c r="B6" s="50" t="s">
        <v>555</v>
      </c>
      <c r="C6" s="50" t="s">
        <v>796</v>
      </c>
      <c r="D6" s="50" t="s">
        <v>797</v>
      </c>
      <c r="E6" s="123" t="s">
        <v>940</v>
      </c>
      <c r="F6" s="50" t="s">
        <v>593</v>
      </c>
      <c r="G6" s="50" t="s">
        <v>798</v>
      </c>
      <c r="H6" s="50" t="s">
        <v>799</v>
      </c>
      <c r="I6" s="50">
        <v>2</v>
      </c>
      <c r="J6" s="50">
        <v>1800</v>
      </c>
      <c r="K6" s="50">
        <v>350</v>
      </c>
      <c r="L6" s="50">
        <v>500</v>
      </c>
      <c r="M6" s="50">
        <v>700</v>
      </c>
      <c r="N6" s="50">
        <v>0</v>
      </c>
      <c r="O6" s="114">
        <v>0.25</v>
      </c>
      <c r="P6" s="114">
        <v>0.06</v>
      </c>
      <c r="Q6" s="50">
        <v>0.4</v>
      </c>
      <c r="R6" s="50">
        <v>1.6</v>
      </c>
      <c r="S6" s="50">
        <v>0</v>
      </c>
      <c r="T6" s="50" t="s">
        <v>620</v>
      </c>
      <c r="U6" s="50" t="s">
        <v>590</v>
      </c>
      <c r="V6" s="50" t="s">
        <v>800</v>
      </c>
      <c r="W6" s="124">
        <v>46298</v>
      </c>
      <c r="X6" s="114">
        <v>0</v>
      </c>
      <c r="Y6" s="114">
        <v>0</v>
      </c>
      <c r="Z6" s="50">
        <v>0</v>
      </c>
      <c r="AA6" s="50" t="s">
        <v>801</v>
      </c>
      <c r="AB6" s="50" t="s">
        <v>650</v>
      </c>
      <c r="AC6" s="50" t="s">
        <v>1085</v>
      </c>
    </row>
    <row r="7" spans="1:29" ht="22" hidden="1" customHeight="1" x14ac:dyDescent="0.2">
      <c r="A7" s="50" t="s">
        <v>679</v>
      </c>
      <c r="B7" s="50" t="s">
        <v>556</v>
      </c>
      <c r="C7" s="50" t="s">
        <v>796</v>
      </c>
      <c r="D7" s="50" t="s">
        <v>797</v>
      </c>
      <c r="E7" s="123" t="s">
        <v>940</v>
      </c>
      <c r="F7" s="50" t="s">
        <v>593</v>
      </c>
      <c r="G7" s="50" t="s">
        <v>798</v>
      </c>
      <c r="H7" s="50" t="s">
        <v>799</v>
      </c>
      <c r="I7" s="50">
        <v>2</v>
      </c>
      <c r="J7" s="50">
        <v>1800</v>
      </c>
      <c r="K7" s="50">
        <v>350</v>
      </c>
      <c r="L7" s="50">
        <v>500</v>
      </c>
      <c r="M7" s="50">
        <v>700</v>
      </c>
      <c r="N7" s="50">
        <v>0</v>
      </c>
      <c r="O7" s="114">
        <v>0.25</v>
      </c>
      <c r="P7" s="114">
        <v>0.08</v>
      </c>
      <c r="Q7" s="50">
        <v>0.4</v>
      </c>
      <c r="R7" s="50">
        <v>1.6</v>
      </c>
      <c r="S7" s="50">
        <v>0</v>
      </c>
      <c r="T7" s="50" t="s">
        <v>620</v>
      </c>
      <c r="U7" s="50" t="s">
        <v>590</v>
      </c>
      <c r="V7" s="50" t="s">
        <v>800</v>
      </c>
      <c r="W7" s="124">
        <v>46298</v>
      </c>
      <c r="X7" s="114">
        <v>0</v>
      </c>
      <c r="Y7" s="114">
        <v>0</v>
      </c>
      <c r="Z7" s="50">
        <v>0</v>
      </c>
      <c r="AA7" s="50" t="s">
        <v>801</v>
      </c>
      <c r="AB7" s="50" t="s">
        <v>650</v>
      </c>
      <c r="AC7" s="50" t="s">
        <v>1085</v>
      </c>
    </row>
    <row r="8" spans="1:29" ht="22" hidden="1" customHeight="1" x14ac:dyDescent="0.2">
      <c r="A8" s="50" t="s">
        <v>679</v>
      </c>
      <c r="B8" s="50" t="s">
        <v>557</v>
      </c>
      <c r="C8" s="50" t="s">
        <v>796</v>
      </c>
      <c r="D8" s="50" t="s">
        <v>797</v>
      </c>
      <c r="E8" s="123" t="s">
        <v>940</v>
      </c>
      <c r="F8" s="50" t="s">
        <v>593</v>
      </c>
      <c r="G8" s="50" t="s">
        <v>798</v>
      </c>
      <c r="H8" s="50" t="s">
        <v>799</v>
      </c>
      <c r="I8" s="50">
        <v>2</v>
      </c>
      <c r="J8" s="50">
        <v>1800</v>
      </c>
      <c r="K8" s="50">
        <v>350</v>
      </c>
      <c r="L8" s="50">
        <v>500</v>
      </c>
      <c r="M8" s="50">
        <v>700</v>
      </c>
      <c r="N8" s="50">
        <v>0</v>
      </c>
      <c r="O8" s="114">
        <v>0.25</v>
      </c>
      <c r="P8" s="114">
        <v>0.12</v>
      </c>
      <c r="Q8" s="50">
        <v>0.4</v>
      </c>
      <c r="R8" s="50">
        <v>1.6</v>
      </c>
      <c r="S8" s="50">
        <v>0</v>
      </c>
      <c r="T8" s="50" t="s">
        <v>620</v>
      </c>
      <c r="U8" s="50" t="s">
        <v>590</v>
      </c>
      <c r="V8" s="50" t="s">
        <v>800</v>
      </c>
      <c r="W8" s="124">
        <v>46298</v>
      </c>
      <c r="X8" s="114">
        <v>0</v>
      </c>
      <c r="Y8" s="114">
        <v>0</v>
      </c>
      <c r="Z8" s="50">
        <v>0</v>
      </c>
      <c r="AA8" s="50" t="s">
        <v>801</v>
      </c>
      <c r="AB8" s="50" t="s">
        <v>650</v>
      </c>
      <c r="AC8" s="50" t="s">
        <v>1085</v>
      </c>
    </row>
    <row r="9" spans="1:29" ht="22" hidden="1" customHeight="1" x14ac:dyDescent="0.2">
      <c r="A9" s="50" t="s">
        <v>679</v>
      </c>
      <c r="B9" s="50" t="s">
        <v>558</v>
      </c>
      <c r="C9" s="50" t="s">
        <v>796</v>
      </c>
      <c r="D9" s="50" t="s">
        <v>797</v>
      </c>
      <c r="E9" s="123" t="s">
        <v>940</v>
      </c>
      <c r="F9" s="50" t="s">
        <v>593</v>
      </c>
      <c r="G9" s="50" t="s">
        <v>798</v>
      </c>
      <c r="H9" s="50" t="s">
        <v>799</v>
      </c>
      <c r="I9" s="50">
        <v>2</v>
      </c>
      <c r="J9" s="50">
        <v>1800</v>
      </c>
      <c r="K9" s="50">
        <v>350</v>
      </c>
      <c r="L9" s="50">
        <v>500</v>
      </c>
      <c r="M9" s="50">
        <v>700</v>
      </c>
      <c r="N9" s="50">
        <v>0</v>
      </c>
      <c r="O9" s="114">
        <v>0.25</v>
      </c>
      <c r="P9" s="114">
        <v>7.0000000000000007E-2</v>
      </c>
      <c r="Q9" s="50">
        <v>0.4</v>
      </c>
      <c r="R9" s="50">
        <v>1.6</v>
      </c>
      <c r="S9" s="50">
        <v>0</v>
      </c>
      <c r="T9" s="50" t="s">
        <v>620</v>
      </c>
      <c r="U9" s="50" t="s">
        <v>590</v>
      </c>
      <c r="V9" s="50" t="s">
        <v>800</v>
      </c>
      <c r="W9" s="124">
        <v>46298</v>
      </c>
      <c r="X9" s="114">
        <v>0</v>
      </c>
      <c r="Y9" s="114">
        <v>0</v>
      </c>
      <c r="Z9" s="50">
        <v>0</v>
      </c>
      <c r="AA9" s="50" t="s">
        <v>801</v>
      </c>
      <c r="AB9" s="50" t="s">
        <v>650</v>
      </c>
      <c r="AC9" s="50" t="s">
        <v>1085</v>
      </c>
    </row>
    <row r="10" spans="1:29" ht="22" hidden="1" customHeight="1" x14ac:dyDescent="0.2">
      <c r="A10" s="50" t="s">
        <v>692</v>
      </c>
      <c r="B10" s="50" t="s">
        <v>545</v>
      </c>
      <c r="C10" s="50" t="s">
        <v>796</v>
      </c>
      <c r="D10" s="50" t="s">
        <v>802</v>
      </c>
      <c r="E10" s="123" t="s">
        <v>941</v>
      </c>
      <c r="F10" s="50" t="s">
        <v>612</v>
      </c>
      <c r="G10" s="50" t="s">
        <v>798</v>
      </c>
      <c r="H10" s="50" t="s">
        <v>799</v>
      </c>
      <c r="I10" s="50">
        <v>1.2</v>
      </c>
      <c r="J10" s="50">
        <v>5000</v>
      </c>
      <c r="K10" s="50">
        <v>900</v>
      </c>
      <c r="L10" s="50">
        <v>500</v>
      </c>
      <c r="M10" s="50">
        <v>700</v>
      </c>
      <c r="N10" s="50">
        <v>1</v>
      </c>
      <c r="O10" s="114">
        <v>0.25</v>
      </c>
      <c r="P10" s="114">
        <v>0.04</v>
      </c>
      <c r="Q10" s="50">
        <v>2</v>
      </c>
      <c r="R10" s="50">
        <v>8</v>
      </c>
      <c r="S10" s="50">
        <v>0</v>
      </c>
      <c r="T10" s="50" t="s">
        <v>620</v>
      </c>
      <c r="U10" s="50" t="s">
        <v>590</v>
      </c>
      <c r="V10" s="50" t="s">
        <v>800</v>
      </c>
      <c r="W10" s="124">
        <v>46298</v>
      </c>
      <c r="X10" s="114">
        <v>0</v>
      </c>
      <c r="Y10" s="114">
        <v>0</v>
      </c>
      <c r="Z10" s="50">
        <v>0</v>
      </c>
      <c r="AA10" s="50" t="s">
        <v>801</v>
      </c>
      <c r="AB10" s="50" t="s">
        <v>650</v>
      </c>
      <c r="AC10" s="50" t="s">
        <v>1085</v>
      </c>
    </row>
    <row r="11" spans="1:29" ht="22" hidden="1" customHeight="1" x14ac:dyDescent="0.2">
      <c r="A11" s="50" t="s">
        <v>692</v>
      </c>
      <c r="B11" s="50" t="s">
        <v>555</v>
      </c>
      <c r="C11" s="50" t="s">
        <v>796</v>
      </c>
      <c r="D11" s="50" t="s">
        <v>802</v>
      </c>
      <c r="E11" s="123" t="s">
        <v>941</v>
      </c>
      <c r="F11" s="50" t="s">
        <v>612</v>
      </c>
      <c r="G11" s="50" t="s">
        <v>798</v>
      </c>
      <c r="H11" s="50" t="s">
        <v>799</v>
      </c>
      <c r="I11" s="50">
        <v>1.2</v>
      </c>
      <c r="J11" s="50">
        <v>5000</v>
      </c>
      <c r="K11" s="50">
        <v>900</v>
      </c>
      <c r="L11" s="50">
        <v>500</v>
      </c>
      <c r="M11" s="50">
        <v>700</v>
      </c>
      <c r="N11" s="50">
        <v>1</v>
      </c>
      <c r="O11" s="114">
        <v>0.25</v>
      </c>
      <c r="P11" s="114">
        <v>0.06</v>
      </c>
      <c r="Q11" s="50">
        <v>2</v>
      </c>
      <c r="R11" s="50">
        <v>8</v>
      </c>
      <c r="S11" s="50">
        <v>0</v>
      </c>
      <c r="T11" s="50" t="s">
        <v>620</v>
      </c>
      <c r="U11" s="50" t="s">
        <v>590</v>
      </c>
      <c r="V11" s="50" t="s">
        <v>800</v>
      </c>
      <c r="W11" s="124">
        <v>46298</v>
      </c>
      <c r="X11" s="114">
        <v>0</v>
      </c>
      <c r="Y11" s="114">
        <v>0</v>
      </c>
      <c r="Z11" s="50">
        <v>0</v>
      </c>
      <c r="AA11" s="50" t="s">
        <v>801</v>
      </c>
      <c r="AB11" s="50" t="s">
        <v>650</v>
      </c>
      <c r="AC11" s="50" t="s">
        <v>1085</v>
      </c>
    </row>
    <row r="12" spans="1:29" ht="22" hidden="1" customHeight="1" x14ac:dyDescent="0.2">
      <c r="A12" s="50" t="s">
        <v>692</v>
      </c>
      <c r="B12" s="50" t="s">
        <v>556</v>
      </c>
      <c r="C12" s="50" t="s">
        <v>796</v>
      </c>
      <c r="D12" s="50" t="s">
        <v>802</v>
      </c>
      <c r="E12" s="123" t="s">
        <v>941</v>
      </c>
      <c r="F12" s="50" t="s">
        <v>612</v>
      </c>
      <c r="G12" s="50" t="s">
        <v>798</v>
      </c>
      <c r="H12" s="50" t="s">
        <v>799</v>
      </c>
      <c r="I12" s="50">
        <v>1.2</v>
      </c>
      <c r="J12" s="50">
        <v>5000</v>
      </c>
      <c r="K12" s="50">
        <v>900</v>
      </c>
      <c r="L12" s="50">
        <v>500</v>
      </c>
      <c r="M12" s="50">
        <v>700</v>
      </c>
      <c r="N12" s="50">
        <v>1</v>
      </c>
      <c r="O12" s="114">
        <v>0.25</v>
      </c>
      <c r="P12" s="114">
        <v>0.08</v>
      </c>
      <c r="Q12" s="50">
        <v>2</v>
      </c>
      <c r="R12" s="50">
        <v>8</v>
      </c>
      <c r="S12" s="50">
        <v>0</v>
      </c>
      <c r="T12" s="50" t="s">
        <v>620</v>
      </c>
      <c r="U12" s="50" t="s">
        <v>590</v>
      </c>
      <c r="V12" s="50" t="s">
        <v>800</v>
      </c>
      <c r="W12" s="124">
        <v>46298</v>
      </c>
      <c r="X12" s="114">
        <v>0</v>
      </c>
      <c r="Y12" s="114">
        <v>0</v>
      </c>
      <c r="Z12" s="50">
        <v>0</v>
      </c>
      <c r="AA12" s="50" t="s">
        <v>801</v>
      </c>
      <c r="AB12" s="50" t="s">
        <v>650</v>
      </c>
      <c r="AC12" s="50" t="s">
        <v>1085</v>
      </c>
    </row>
    <row r="13" spans="1:29" ht="22" hidden="1" customHeight="1" x14ac:dyDescent="0.2">
      <c r="A13" s="50" t="s">
        <v>692</v>
      </c>
      <c r="B13" s="50" t="s">
        <v>557</v>
      </c>
      <c r="C13" s="50" t="s">
        <v>796</v>
      </c>
      <c r="D13" s="50" t="s">
        <v>802</v>
      </c>
      <c r="E13" s="123" t="s">
        <v>941</v>
      </c>
      <c r="F13" s="50" t="s">
        <v>612</v>
      </c>
      <c r="G13" s="50" t="s">
        <v>798</v>
      </c>
      <c r="H13" s="50" t="s">
        <v>799</v>
      </c>
      <c r="I13" s="50">
        <v>1.2</v>
      </c>
      <c r="J13" s="50">
        <v>5000</v>
      </c>
      <c r="K13" s="50">
        <v>900</v>
      </c>
      <c r="L13" s="50">
        <v>500</v>
      </c>
      <c r="M13" s="50">
        <v>700</v>
      </c>
      <c r="N13" s="50">
        <v>1</v>
      </c>
      <c r="O13" s="114">
        <v>0.25</v>
      </c>
      <c r="P13" s="114">
        <v>0.12</v>
      </c>
      <c r="Q13" s="50">
        <v>2</v>
      </c>
      <c r="R13" s="50">
        <v>8</v>
      </c>
      <c r="S13" s="50">
        <v>0</v>
      </c>
      <c r="T13" s="50" t="s">
        <v>620</v>
      </c>
      <c r="U13" s="50" t="s">
        <v>590</v>
      </c>
      <c r="V13" s="50" t="s">
        <v>800</v>
      </c>
      <c r="W13" s="124">
        <v>46298</v>
      </c>
      <c r="X13" s="114">
        <v>0</v>
      </c>
      <c r="Y13" s="114">
        <v>0</v>
      </c>
      <c r="Z13" s="50">
        <v>0</v>
      </c>
      <c r="AA13" s="50" t="s">
        <v>801</v>
      </c>
      <c r="AB13" s="50" t="s">
        <v>650</v>
      </c>
      <c r="AC13" s="50" t="s">
        <v>1085</v>
      </c>
    </row>
    <row r="14" spans="1:29" ht="22" hidden="1" customHeight="1" x14ac:dyDescent="0.2">
      <c r="A14" s="50" t="s">
        <v>692</v>
      </c>
      <c r="B14" s="50" t="s">
        <v>558</v>
      </c>
      <c r="C14" s="50" t="s">
        <v>796</v>
      </c>
      <c r="D14" s="50" t="s">
        <v>802</v>
      </c>
      <c r="E14" s="123" t="s">
        <v>941</v>
      </c>
      <c r="F14" s="50" t="s">
        <v>612</v>
      </c>
      <c r="G14" s="50" t="s">
        <v>798</v>
      </c>
      <c r="H14" s="50" t="s">
        <v>799</v>
      </c>
      <c r="I14" s="50">
        <v>1.2</v>
      </c>
      <c r="J14" s="50">
        <v>5000</v>
      </c>
      <c r="K14" s="50">
        <v>900</v>
      </c>
      <c r="L14" s="50">
        <v>500</v>
      </c>
      <c r="M14" s="50">
        <v>700</v>
      </c>
      <c r="N14" s="50">
        <v>1</v>
      </c>
      <c r="O14" s="114">
        <v>0.25</v>
      </c>
      <c r="P14" s="114">
        <v>7.0000000000000007E-2</v>
      </c>
      <c r="Q14" s="50">
        <v>2</v>
      </c>
      <c r="R14" s="50">
        <v>8</v>
      </c>
      <c r="S14" s="50">
        <v>0</v>
      </c>
      <c r="T14" s="50" t="s">
        <v>620</v>
      </c>
      <c r="U14" s="50" t="s">
        <v>590</v>
      </c>
      <c r="V14" s="50" t="s">
        <v>800</v>
      </c>
      <c r="W14" s="124">
        <v>46298</v>
      </c>
      <c r="X14" s="114">
        <v>0</v>
      </c>
      <c r="Y14" s="114">
        <v>0</v>
      </c>
      <c r="Z14" s="50">
        <v>0</v>
      </c>
      <c r="AA14" s="50" t="s">
        <v>801</v>
      </c>
      <c r="AB14" s="50" t="s">
        <v>650</v>
      </c>
      <c r="AC14" s="50" t="s">
        <v>1085</v>
      </c>
    </row>
    <row r="15" spans="1:29" ht="22" hidden="1" customHeight="1" x14ac:dyDescent="0.2">
      <c r="A15" s="50" t="s">
        <v>705</v>
      </c>
      <c r="B15" s="50" t="s">
        <v>545</v>
      </c>
      <c r="C15" s="50" t="s">
        <v>796</v>
      </c>
      <c r="D15" s="50" t="s">
        <v>797</v>
      </c>
      <c r="E15" s="123" t="s">
        <v>940</v>
      </c>
      <c r="F15" s="50" t="s">
        <v>593</v>
      </c>
      <c r="G15" s="50" t="s">
        <v>798</v>
      </c>
      <c r="H15" s="50" t="s">
        <v>799</v>
      </c>
      <c r="I15" s="50">
        <v>2</v>
      </c>
      <c r="J15" s="50">
        <v>1800</v>
      </c>
      <c r="K15" s="50">
        <v>350</v>
      </c>
      <c r="L15" s="50">
        <v>500</v>
      </c>
      <c r="M15" s="50">
        <v>700</v>
      </c>
      <c r="N15" s="50">
        <v>0</v>
      </c>
      <c r="O15" s="114">
        <v>0.25</v>
      </c>
      <c r="P15" s="114">
        <v>0.04</v>
      </c>
      <c r="Q15" s="50">
        <v>0.4</v>
      </c>
      <c r="R15" s="50">
        <v>1.6</v>
      </c>
      <c r="S15" s="50">
        <v>0</v>
      </c>
      <c r="T15" s="50" t="s">
        <v>620</v>
      </c>
      <c r="U15" s="50" t="s">
        <v>590</v>
      </c>
      <c r="V15" s="50" t="s">
        <v>800</v>
      </c>
      <c r="W15" s="124">
        <v>46298</v>
      </c>
      <c r="X15" s="114">
        <v>0</v>
      </c>
      <c r="Y15" s="114">
        <v>0</v>
      </c>
      <c r="Z15" s="50">
        <v>0</v>
      </c>
      <c r="AA15" s="50" t="s">
        <v>801</v>
      </c>
      <c r="AB15" s="50" t="s">
        <v>650</v>
      </c>
      <c r="AC15" s="50" t="s">
        <v>1085</v>
      </c>
    </row>
    <row r="16" spans="1:29" ht="22" hidden="1" customHeight="1" x14ac:dyDescent="0.2">
      <c r="A16" s="50" t="s">
        <v>705</v>
      </c>
      <c r="B16" s="50" t="s">
        <v>555</v>
      </c>
      <c r="C16" s="50" t="s">
        <v>796</v>
      </c>
      <c r="D16" s="50" t="s">
        <v>797</v>
      </c>
      <c r="E16" s="123" t="s">
        <v>940</v>
      </c>
      <c r="F16" s="50" t="s">
        <v>593</v>
      </c>
      <c r="G16" s="50" t="s">
        <v>798</v>
      </c>
      <c r="H16" s="50" t="s">
        <v>799</v>
      </c>
      <c r="I16" s="50">
        <v>2</v>
      </c>
      <c r="J16" s="50">
        <v>1800</v>
      </c>
      <c r="K16" s="50">
        <v>350</v>
      </c>
      <c r="L16" s="50">
        <v>500</v>
      </c>
      <c r="M16" s="50">
        <v>700</v>
      </c>
      <c r="N16" s="50">
        <v>0</v>
      </c>
      <c r="O16" s="114">
        <v>0.25</v>
      </c>
      <c r="P16" s="114">
        <v>0.06</v>
      </c>
      <c r="Q16" s="50">
        <v>0.4</v>
      </c>
      <c r="R16" s="50">
        <v>1.6</v>
      </c>
      <c r="S16" s="50">
        <v>0</v>
      </c>
      <c r="T16" s="50" t="s">
        <v>620</v>
      </c>
      <c r="U16" s="50" t="s">
        <v>590</v>
      </c>
      <c r="V16" s="50" t="s">
        <v>800</v>
      </c>
      <c r="W16" s="124">
        <v>46298</v>
      </c>
      <c r="X16" s="114">
        <v>0</v>
      </c>
      <c r="Y16" s="114">
        <v>0</v>
      </c>
      <c r="Z16" s="50">
        <v>0</v>
      </c>
      <c r="AA16" s="50" t="s">
        <v>801</v>
      </c>
      <c r="AB16" s="50" t="s">
        <v>650</v>
      </c>
      <c r="AC16" s="50" t="s">
        <v>1085</v>
      </c>
    </row>
    <row r="17" spans="1:29" ht="22" hidden="1" customHeight="1" x14ac:dyDescent="0.2">
      <c r="A17" s="50" t="s">
        <v>705</v>
      </c>
      <c r="B17" s="50" t="s">
        <v>556</v>
      </c>
      <c r="C17" s="50" t="s">
        <v>796</v>
      </c>
      <c r="D17" s="50" t="s">
        <v>797</v>
      </c>
      <c r="E17" s="123" t="s">
        <v>940</v>
      </c>
      <c r="F17" s="50" t="s">
        <v>593</v>
      </c>
      <c r="G17" s="50" t="s">
        <v>798</v>
      </c>
      <c r="H17" s="50" t="s">
        <v>799</v>
      </c>
      <c r="I17" s="50">
        <v>2</v>
      </c>
      <c r="J17" s="50">
        <v>1800</v>
      </c>
      <c r="K17" s="50">
        <v>350</v>
      </c>
      <c r="L17" s="50">
        <v>500</v>
      </c>
      <c r="M17" s="50">
        <v>700</v>
      </c>
      <c r="N17" s="50">
        <v>0</v>
      </c>
      <c r="O17" s="114">
        <v>0.25</v>
      </c>
      <c r="P17" s="114">
        <v>0.08</v>
      </c>
      <c r="Q17" s="50">
        <v>0.4</v>
      </c>
      <c r="R17" s="50">
        <v>1.6</v>
      </c>
      <c r="S17" s="50">
        <v>0</v>
      </c>
      <c r="T17" s="50" t="s">
        <v>620</v>
      </c>
      <c r="U17" s="50" t="s">
        <v>590</v>
      </c>
      <c r="V17" s="50" t="s">
        <v>800</v>
      </c>
      <c r="W17" s="124">
        <v>46298</v>
      </c>
      <c r="X17" s="114">
        <v>0</v>
      </c>
      <c r="Y17" s="114">
        <v>0</v>
      </c>
      <c r="Z17" s="50">
        <v>0</v>
      </c>
      <c r="AA17" s="50" t="s">
        <v>801</v>
      </c>
      <c r="AB17" s="50" t="s">
        <v>650</v>
      </c>
      <c r="AC17" s="50" t="s">
        <v>1085</v>
      </c>
    </row>
    <row r="18" spans="1:29" ht="22" hidden="1" customHeight="1" x14ac:dyDescent="0.2">
      <c r="A18" s="50" t="s">
        <v>705</v>
      </c>
      <c r="B18" s="50" t="s">
        <v>557</v>
      </c>
      <c r="C18" s="50" t="s">
        <v>796</v>
      </c>
      <c r="D18" s="50" t="s">
        <v>797</v>
      </c>
      <c r="E18" s="123" t="s">
        <v>940</v>
      </c>
      <c r="F18" s="50" t="s">
        <v>593</v>
      </c>
      <c r="G18" s="50" t="s">
        <v>798</v>
      </c>
      <c r="H18" s="50" t="s">
        <v>799</v>
      </c>
      <c r="I18" s="50">
        <v>2</v>
      </c>
      <c r="J18" s="50">
        <v>1800</v>
      </c>
      <c r="K18" s="50">
        <v>350</v>
      </c>
      <c r="L18" s="50">
        <v>500</v>
      </c>
      <c r="M18" s="50">
        <v>700</v>
      </c>
      <c r="N18" s="50">
        <v>0</v>
      </c>
      <c r="O18" s="114">
        <v>0.25</v>
      </c>
      <c r="P18" s="114">
        <v>0.12</v>
      </c>
      <c r="Q18" s="50">
        <v>0.4</v>
      </c>
      <c r="R18" s="50">
        <v>1.6</v>
      </c>
      <c r="S18" s="50">
        <v>0</v>
      </c>
      <c r="T18" s="50" t="s">
        <v>620</v>
      </c>
      <c r="U18" s="50" t="s">
        <v>590</v>
      </c>
      <c r="V18" s="50" t="s">
        <v>800</v>
      </c>
      <c r="W18" s="124">
        <v>46298</v>
      </c>
      <c r="X18" s="114">
        <v>0</v>
      </c>
      <c r="Y18" s="114">
        <v>0</v>
      </c>
      <c r="Z18" s="50">
        <v>0</v>
      </c>
      <c r="AA18" s="50" t="s">
        <v>801</v>
      </c>
      <c r="AB18" s="50" t="s">
        <v>650</v>
      </c>
      <c r="AC18" s="50" t="s">
        <v>1085</v>
      </c>
    </row>
    <row r="19" spans="1:29" ht="22" hidden="1" customHeight="1" x14ac:dyDescent="0.2">
      <c r="A19" s="50" t="s">
        <v>705</v>
      </c>
      <c r="B19" s="50" t="s">
        <v>558</v>
      </c>
      <c r="C19" s="50" t="s">
        <v>796</v>
      </c>
      <c r="D19" s="50" t="s">
        <v>797</v>
      </c>
      <c r="E19" s="123" t="s">
        <v>940</v>
      </c>
      <c r="F19" s="50" t="s">
        <v>593</v>
      </c>
      <c r="G19" s="50" t="s">
        <v>798</v>
      </c>
      <c r="H19" s="50" t="s">
        <v>799</v>
      </c>
      <c r="I19" s="50">
        <v>2</v>
      </c>
      <c r="J19" s="50">
        <v>1800</v>
      </c>
      <c r="K19" s="50">
        <v>350</v>
      </c>
      <c r="L19" s="50">
        <v>500</v>
      </c>
      <c r="M19" s="50">
        <v>700</v>
      </c>
      <c r="N19" s="50">
        <v>0</v>
      </c>
      <c r="O19" s="114">
        <v>0.25</v>
      </c>
      <c r="P19" s="114">
        <v>7.0000000000000007E-2</v>
      </c>
      <c r="Q19" s="50">
        <v>0.4</v>
      </c>
      <c r="R19" s="50">
        <v>1.6</v>
      </c>
      <c r="S19" s="50">
        <v>0</v>
      </c>
      <c r="T19" s="50" t="s">
        <v>620</v>
      </c>
      <c r="U19" s="50" t="s">
        <v>590</v>
      </c>
      <c r="V19" s="50" t="s">
        <v>800</v>
      </c>
      <c r="W19" s="124">
        <v>46298</v>
      </c>
      <c r="X19" s="114">
        <v>0</v>
      </c>
      <c r="Y19" s="114">
        <v>0</v>
      </c>
      <c r="Z19" s="50">
        <v>0</v>
      </c>
      <c r="AA19" s="50" t="s">
        <v>801</v>
      </c>
      <c r="AB19" s="50" t="s">
        <v>650</v>
      </c>
      <c r="AC19" s="50" t="s">
        <v>1085</v>
      </c>
    </row>
    <row r="20" spans="1:29" ht="22" hidden="1" customHeight="1" x14ac:dyDescent="0.2">
      <c r="A20" s="50" t="s">
        <v>714</v>
      </c>
      <c r="B20" s="50" t="s">
        <v>545</v>
      </c>
      <c r="C20" s="50" t="s">
        <v>796</v>
      </c>
      <c r="D20" s="50" t="s">
        <v>797</v>
      </c>
      <c r="E20" s="123" t="s">
        <v>940</v>
      </c>
      <c r="F20" s="50" t="s">
        <v>593</v>
      </c>
      <c r="G20" s="50" t="s">
        <v>798</v>
      </c>
      <c r="H20" s="50" t="s">
        <v>799</v>
      </c>
      <c r="I20" s="50">
        <v>2</v>
      </c>
      <c r="J20" s="50">
        <v>1800</v>
      </c>
      <c r="K20" s="50">
        <v>350</v>
      </c>
      <c r="L20" s="50">
        <v>500</v>
      </c>
      <c r="M20" s="50">
        <v>700</v>
      </c>
      <c r="N20" s="50">
        <v>0</v>
      </c>
      <c r="O20" s="114">
        <v>0.25</v>
      </c>
      <c r="P20" s="114">
        <v>0.04</v>
      </c>
      <c r="Q20" s="50">
        <v>0.4</v>
      </c>
      <c r="R20" s="50">
        <v>1.6</v>
      </c>
      <c r="S20" s="50">
        <v>0</v>
      </c>
      <c r="T20" s="50" t="s">
        <v>620</v>
      </c>
      <c r="U20" s="50" t="s">
        <v>590</v>
      </c>
      <c r="V20" s="50" t="s">
        <v>800</v>
      </c>
      <c r="W20" s="124">
        <v>46298</v>
      </c>
      <c r="X20" s="114">
        <v>0</v>
      </c>
      <c r="Y20" s="114">
        <v>0</v>
      </c>
      <c r="Z20" s="50">
        <v>0</v>
      </c>
      <c r="AA20" s="50" t="s">
        <v>801</v>
      </c>
      <c r="AB20" s="50" t="s">
        <v>650</v>
      </c>
      <c r="AC20" s="50" t="s">
        <v>1085</v>
      </c>
    </row>
    <row r="21" spans="1:29" ht="22" hidden="1" customHeight="1" x14ac:dyDescent="0.2">
      <c r="A21" s="50" t="s">
        <v>714</v>
      </c>
      <c r="B21" s="50" t="s">
        <v>555</v>
      </c>
      <c r="C21" s="50" t="s">
        <v>796</v>
      </c>
      <c r="D21" s="50" t="s">
        <v>797</v>
      </c>
      <c r="E21" s="123" t="s">
        <v>940</v>
      </c>
      <c r="F21" s="50" t="s">
        <v>593</v>
      </c>
      <c r="G21" s="50" t="s">
        <v>798</v>
      </c>
      <c r="H21" s="50" t="s">
        <v>799</v>
      </c>
      <c r="I21" s="50">
        <v>2</v>
      </c>
      <c r="J21" s="50">
        <v>1800</v>
      </c>
      <c r="K21" s="50">
        <v>350</v>
      </c>
      <c r="L21" s="50">
        <v>500</v>
      </c>
      <c r="M21" s="50">
        <v>700</v>
      </c>
      <c r="N21" s="50">
        <v>0</v>
      </c>
      <c r="O21" s="114">
        <v>0.25</v>
      </c>
      <c r="P21" s="114">
        <v>0.06</v>
      </c>
      <c r="Q21" s="50">
        <v>0.4</v>
      </c>
      <c r="R21" s="50">
        <v>1.6</v>
      </c>
      <c r="S21" s="50">
        <v>0</v>
      </c>
      <c r="T21" s="50" t="s">
        <v>620</v>
      </c>
      <c r="U21" s="50" t="s">
        <v>590</v>
      </c>
      <c r="V21" s="50" t="s">
        <v>800</v>
      </c>
      <c r="W21" s="124">
        <v>46298</v>
      </c>
      <c r="X21" s="114">
        <v>0</v>
      </c>
      <c r="Y21" s="114">
        <v>0</v>
      </c>
      <c r="Z21" s="50">
        <v>0</v>
      </c>
      <c r="AA21" s="50" t="s">
        <v>801</v>
      </c>
      <c r="AB21" s="50" t="s">
        <v>650</v>
      </c>
      <c r="AC21" s="50" t="s">
        <v>1085</v>
      </c>
    </row>
    <row r="22" spans="1:29" ht="22" hidden="1" customHeight="1" x14ac:dyDescent="0.2">
      <c r="A22" s="50" t="s">
        <v>714</v>
      </c>
      <c r="B22" s="50" t="s">
        <v>556</v>
      </c>
      <c r="C22" s="50" t="s">
        <v>796</v>
      </c>
      <c r="D22" s="50" t="s">
        <v>797</v>
      </c>
      <c r="E22" s="123" t="s">
        <v>940</v>
      </c>
      <c r="F22" s="50" t="s">
        <v>593</v>
      </c>
      <c r="G22" s="50" t="s">
        <v>798</v>
      </c>
      <c r="H22" s="50" t="s">
        <v>799</v>
      </c>
      <c r="I22" s="50">
        <v>2</v>
      </c>
      <c r="J22" s="50">
        <v>1800</v>
      </c>
      <c r="K22" s="50">
        <v>350</v>
      </c>
      <c r="L22" s="50">
        <v>500</v>
      </c>
      <c r="M22" s="50">
        <v>700</v>
      </c>
      <c r="N22" s="50">
        <v>0</v>
      </c>
      <c r="O22" s="114">
        <v>0.25</v>
      </c>
      <c r="P22" s="114">
        <v>0.08</v>
      </c>
      <c r="Q22" s="50">
        <v>0.4</v>
      </c>
      <c r="R22" s="50">
        <v>1.6</v>
      </c>
      <c r="S22" s="50">
        <v>0</v>
      </c>
      <c r="T22" s="50" t="s">
        <v>620</v>
      </c>
      <c r="U22" s="50" t="s">
        <v>590</v>
      </c>
      <c r="V22" s="50" t="s">
        <v>800</v>
      </c>
      <c r="W22" s="124">
        <v>46298</v>
      </c>
      <c r="X22" s="114">
        <v>0</v>
      </c>
      <c r="Y22" s="114">
        <v>0</v>
      </c>
      <c r="Z22" s="50">
        <v>0</v>
      </c>
      <c r="AA22" s="50" t="s">
        <v>801</v>
      </c>
      <c r="AB22" s="50" t="s">
        <v>650</v>
      </c>
      <c r="AC22" s="50" t="s">
        <v>1085</v>
      </c>
    </row>
    <row r="23" spans="1:29" ht="22" hidden="1" customHeight="1" x14ac:dyDescent="0.2">
      <c r="A23" s="50" t="s">
        <v>714</v>
      </c>
      <c r="B23" s="50" t="s">
        <v>557</v>
      </c>
      <c r="C23" s="50" t="s">
        <v>796</v>
      </c>
      <c r="D23" s="50" t="s">
        <v>797</v>
      </c>
      <c r="E23" s="123" t="s">
        <v>940</v>
      </c>
      <c r="F23" s="50" t="s">
        <v>593</v>
      </c>
      <c r="G23" s="50" t="s">
        <v>798</v>
      </c>
      <c r="H23" s="50" t="s">
        <v>799</v>
      </c>
      <c r="I23" s="50">
        <v>2</v>
      </c>
      <c r="J23" s="50">
        <v>1800</v>
      </c>
      <c r="K23" s="50">
        <v>350</v>
      </c>
      <c r="L23" s="50">
        <v>500</v>
      </c>
      <c r="M23" s="50">
        <v>700</v>
      </c>
      <c r="N23" s="50">
        <v>0</v>
      </c>
      <c r="O23" s="114">
        <v>0.25</v>
      </c>
      <c r="P23" s="114">
        <v>0.12</v>
      </c>
      <c r="Q23" s="50">
        <v>0.4</v>
      </c>
      <c r="R23" s="50">
        <v>1.6</v>
      </c>
      <c r="S23" s="50">
        <v>0</v>
      </c>
      <c r="T23" s="50" t="s">
        <v>620</v>
      </c>
      <c r="U23" s="50" t="s">
        <v>590</v>
      </c>
      <c r="V23" s="50" t="s">
        <v>800</v>
      </c>
      <c r="W23" s="124">
        <v>46298</v>
      </c>
      <c r="X23" s="114">
        <v>0</v>
      </c>
      <c r="Y23" s="114">
        <v>0</v>
      </c>
      <c r="Z23" s="50">
        <v>0</v>
      </c>
      <c r="AA23" s="50" t="s">
        <v>801</v>
      </c>
      <c r="AB23" s="50" t="s">
        <v>650</v>
      </c>
      <c r="AC23" s="50" t="s">
        <v>1085</v>
      </c>
    </row>
    <row r="24" spans="1:29" ht="22" hidden="1" customHeight="1" x14ac:dyDescent="0.2">
      <c r="A24" s="50" t="s">
        <v>714</v>
      </c>
      <c r="B24" s="50" t="s">
        <v>558</v>
      </c>
      <c r="C24" s="50" t="s">
        <v>796</v>
      </c>
      <c r="D24" s="50" t="s">
        <v>797</v>
      </c>
      <c r="E24" s="123" t="s">
        <v>940</v>
      </c>
      <c r="F24" s="50" t="s">
        <v>593</v>
      </c>
      <c r="G24" s="50" t="s">
        <v>798</v>
      </c>
      <c r="H24" s="50" t="s">
        <v>799</v>
      </c>
      <c r="I24" s="50">
        <v>2</v>
      </c>
      <c r="J24" s="50">
        <v>1800</v>
      </c>
      <c r="K24" s="50">
        <v>350</v>
      </c>
      <c r="L24" s="50">
        <v>500</v>
      </c>
      <c r="M24" s="50">
        <v>700</v>
      </c>
      <c r="N24" s="50">
        <v>0</v>
      </c>
      <c r="O24" s="114">
        <v>0.25</v>
      </c>
      <c r="P24" s="114">
        <v>7.0000000000000007E-2</v>
      </c>
      <c r="Q24" s="50">
        <v>0.4</v>
      </c>
      <c r="R24" s="50">
        <v>1.6</v>
      </c>
      <c r="S24" s="50">
        <v>0</v>
      </c>
      <c r="T24" s="50" t="s">
        <v>620</v>
      </c>
      <c r="U24" s="50" t="s">
        <v>590</v>
      </c>
      <c r="V24" s="50" t="s">
        <v>800</v>
      </c>
      <c r="W24" s="124">
        <v>46298</v>
      </c>
      <c r="X24" s="114">
        <v>0</v>
      </c>
      <c r="Y24" s="114">
        <v>0</v>
      </c>
      <c r="Z24" s="50">
        <v>0</v>
      </c>
      <c r="AA24" s="50" t="s">
        <v>801</v>
      </c>
      <c r="AB24" s="50" t="s">
        <v>650</v>
      </c>
      <c r="AC24" s="50" t="s">
        <v>1085</v>
      </c>
    </row>
    <row r="25" spans="1:29" ht="22" hidden="1" customHeight="1" x14ac:dyDescent="0.2">
      <c r="A25" s="50" t="s">
        <v>725</v>
      </c>
      <c r="B25" s="50" t="s">
        <v>545</v>
      </c>
      <c r="C25" s="50" t="s">
        <v>796</v>
      </c>
      <c r="D25" s="50" t="s">
        <v>802</v>
      </c>
      <c r="E25" s="123" t="s">
        <v>941</v>
      </c>
      <c r="F25" s="50" t="s">
        <v>612</v>
      </c>
      <c r="G25" s="50" t="s">
        <v>798</v>
      </c>
      <c r="H25" s="50" t="s">
        <v>799</v>
      </c>
      <c r="I25" s="50">
        <v>1.2</v>
      </c>
      <c r="J25" s="50">
        <v>5000</v>
      </c>
      <c r="K25" s="50">
        <v>900</v>
      </c>
      <c r="L25" s="50">
        <v>500</v>
      </c>
      <c r="M25" s="50">
        <v>700</v>
      </c>
      <c r="N25" s="50">
        <v>1</v>
      </c>
      <c r="O25" s="114">
        <v>0.25</v>
      </c>
      <c r="P25" s="114">
        <v>0.04</v>
      </c>
      <c r="Q25" s="50">
        <v>2</v>
      </c>
      <c r="R25" s="50">
        <v>8</v>
      </c>
      <c r="S25" s="50">
        <v>0</v>
      </c>
      <c r="T25" s="50" t="s">
        <v>620</v>
      </c>
      <c r="U25" s="50" t="s">
        <v>590</v>
      </c>
      <c r="V25" s="50" t="s">
        <v>800</v>
      </c>
      <c r="W25" s="124">
        <v>46298</v>
      </c>
      <c r="X25" s="114">
        <v>0</v>
      </c>
      <c r="Y25" s="114">
        <v>0</v>
      </c>
      <c r="Z25" s="50">
        <v>0</v>
      </c>
      <c r="AA25" s="50" t="s">
        <v>801</v>
      </c>
      <c r="AB25" s="50" t="s">
        <v>650</v>
      </c>
      <c r="AC25" s="50" t="s">
        <v>1085</v>
      </c>
    </row>
    <row r="26" spans="1:29" ht="22" hidden="1" customHeight="1" x14ac:dyDescent="0.2">
      <c r="A26" s="50" t="s">
        <v>725</v>
      </c>
      <c r="B26" s="50" t="s">
        <v>555</v>
      </c>
      <c r="C26" s="50" t="s">
        <v>796</v>
      </c>
      <c r="D26" s="50" t="s">
        <v>802</v>
      </c>
      <c r="E26" s="123" t="s">
        <v>941</v>
      </c>
      <c r="F26" s="50" t="s">
        <v>612</v>
      </c>
      <c r="G26" s="50" t="s">
        <v>798</v>
      </c>
      <c r="H26" s="50" t="s">
        <v>799</v>
      </c>
      <c r="I26" s="50">
        <v>1.2</v>
      </c>
      <c r="J26" s="50">
        <v>5000</v>
      </c>
      <c r="K26" s="50">
        <v>900</v>
      </c>
      <c r="L26" s="50">
        <v>500</v>
      </c>
      <c r="M26" s="50">
        <v>700</v>
      </c>
      <c r="N26" s="50">
        <v>1</v>
      </c>
      <c r="O26" s="114">
        <v>0.25</v>
      </c>
      <c r="P26" s="114">
        <v>0.06</v>
      </c>
      <c r="Q26" s="50">
        <v>2</v>
      </c>
      <c r="R26" s="50">
        <v>8</v>
      </c>
      <c r="S26" s="50">
        <v>0</v>
      </c>
      <c r="T26" s="50" t="s">
        <v>620</v>
      </c>
      <c r="U26" s="50" t="s">
        <v>590</v>
      </c>
      <c r="V26" s="50" t="s">
        <v>800</v>
      </c>
      <c r="W26" s="124">
        <v>46298</v>
      </c>
      <c r="X26" s="114">
        <v>0</v>
      </c>
      <c r="Y26" s="114">
        <v>0</v>
      </c>
      <c r="Z26" s="50">
        <v>0</v>
      </c>
      <c r="AA26" s="50" t="s">
        <v>801</v>
      </c>
      <c r="AB26" s="50" t="s">
        <v>650</v>
      </c>
      <c r="AC26" s="50" t="s">
        <v>1085</v>
      </c>
    </row>
    <row r="27" spans="1:29" ht="22" hidden="1" customHeight="1" x14ac:dyDescent="0.2">
      <c r="A27" s="50" t="s">
        <v>725</v>
      </c>
      <c r="B27" s="50" t="s">
        <v>556</v>
      </c>
      <c r="C27" s="50" t="s">
        <v>796</v>
      </c>
      <c r="D27" s="50" t="s">
        <v>802</v>
      </c>
      <c r="E27" s="123" t="s">
        <v>941</v>
      </c>
      <c r="F27" s="50" t="s">
        <v>612</v>
      </c>
      <c r="G27" s="50" t="s">
        <v>798</v>
      </c>
      <c r="H27" s="50" t="s">
        <v>799</v>
      </c>
      <c r="I27" s="50">
        <v>1.2</v>
      </c>
      <c r="J27" s="50">
        <v>5000</v>
      </c>
      <c r="K27" s="50">
        <v>900</v>
      </c>
      <c r="L27" s="50">
        <v>500</v>
      </c>
      <c r="M27" s="50">
        <v>700</v>
      </c>
      <c r="N27" s="50">
        <v>1</v>
      </c>
      <c r="O27" s="114">
        <v>0.25</v>
      </c>
      <c r="P27" s="114">
        <v>0.08</v>
      </c>
      <c r="Q27" s="50">
        <v>2</v>
      </c>
      <c r="R27" s="50">
        <v>8</v>
      </c>
      <c r="S27" s="50">
        <v>0</v>
      </c>
      <c r="T27" s="50" t="s">
        <v>620</v>
      </c>
      <c r="U27" s="50" t="s">
        <v>590</v>
      </c>
      <c r="V27" s="50" t="s">
        <v>800</v>
      </c>
      <c r="W27" s="124">
        <v>46298</v>
      </c>
      <c r="X27" s="114">
        <v>0</v>
      </c>
      <c r="Y27" s="114">
        <v>0</v>
      </c>
      <c r="Z27" s="50">
        <v>0</v>
      </c>
      <c r="AA27" s="50" t="s">
        <v>801</v>
      </c>
      <c r="AB27" s="50" t="s">
        <v>650</v>
      </c>
      <c r="AC27" s="50" t="s">
        <v>1085</v>
      </c>
    </row>
    <row r="28" spans="1:29" ht="22" hidden="1" customHeight="1" x14ac:dyDescent="0.2">
      <c r="A28" s="50" t="s">
        <v>725</v>
      </c>
      <c r="B28" s="50" t="s">
        <v>557</v>
      </c>
      <c r="C28" s="50" t="s">
        <v>796</v>
      </c>
      <c r="D28" s="50" t="s">
        <v>802</v>
      </c>
      <c r="E28" s="123" t="s">
        <v>941</v>
      </c>
      <c r="F28" s="50" t="s">
        <v>612</v>
      </c>
      <c r="G28" s="50" t="s">
        <v>798</v>
      </c>
      <c r="H28" s="50" t="s">
        <v>799</v>
      </c>
      <c r="I28" s="50">
        <v>1.2</v>
      </c>
      <c r="J28" s="50">
        <v>5000</v>
      </c>
      <c r="K28" s="50">
        <v>900</v>
      </c>
      <c r="L28" s="50">
        <v>500</v>
      </c>
      <c r="M28" s="50">
        <v>700</v>
      </c>
      <c r="N28" s="50">
        <v>1</v>
      </c>
      <c r="O28" s="114">
        <v>0.25</v>
      </c>
      <c r="P28" s="114">
        <v>0.12</v>
      </c>
      <c r="Q28" s="50">
        <v>2</v>
      </c>
      <c r="R28" s="50">
        <v>8</v>
      </c>
      <c r="S28" s="50">
        <v>0</v>
      </c>
      <c r="T28" s="50" t="s">
        <v>620</v>
      </c>
      <c r="U28" s="50" t="s">
        <v>590</v>
      </c>
      <c r="V28" s="50" t="s">
        <v>800</v>
      </c>
      <c r="W28" s="124">
        <v>46298</v>
      </c>
      <c r="X28" s="114">
        <v>0</v>
      </c>
      <c r="Y28" s="114">
        <v>0</v>
      </c>
      <c r="Z28" s="50">
        <v>0</v>
      </c>
      <c r="AA28" s="50" t="s">
        <v>801</v>
      </c>
      <c r="AB28" s="50" t="s">
        <v>650</v>
      </c>
      <c r="AC28" s="50" t="s">
        <v>1085</v>
      </c>
    </row>
    <row r="29" spans="1:29" ht="22" hidden="1" customHeight="1" x14ac:dyDescent="0.2">
      <c r="A29" s="50" t="s">
        <v>725</v>
      </c>
      <c r="B29" s="50" t="s">
        <v>558</v>
      </c>
      <c r="C29" s="50" t="s">
        <v>796</v>
      </c>
      <c r="D29" s="50" t="s">
        <v>802</v>
      </c>
      <c r="E29" s="123" t="s">
        <v>941</v>
      </c>
      <c r="F29" s="50" t="s">
        <v>612</v>
      </c>
      <c r="G29" s="50" t="s">
        <v>798</v>
      </c>
      <c r="H29" s="50" t="s">
        <v>799</v>
      </c>
      <c r="I29" s="50">
        <v>1.2</v>
      </c>
      <c r="J29" s="50">
        <v>5000</v>
      </c>
      <c r="K29" s="50">
        <v>900</v>
      </c>
      <c r="L29" s="50">
        <v>500</v>
      </c>
      <c r="M29" s="50">
        <v>700</v>
      </c>
      <c r="N29" s="50">
        <v>1</v>
      </c>
      <c r="O29" s="114">
        <v>0.25</v>
      </c>
      <c r="P29" s="114">
        <v>7.0000000000000007E-2</v>
      </c>
      <c r="Q29" s="50">
        <v>2</v>
      </c>
      <c r="R29" s="50">
        <v>8</v>
      </c>
      <c r="S29" s="50">
        <v>0</v>
      </c>
      <c r="T29" s="50" t="s">
        <v>620</v>
      </c>
      <c r="U29" s="50" t="s">
        <v>590</v>
      </c>
      <c r="V29" s="50" t="s">
        <v>800</v>
      </c>
      <c r="W29" s="124">
        <v>46298</v>
      </c>
      <c r="X29" s="114">
        <v>0</v>
      </c>
      <c r="Y29" s="114">
        <v>0</v>
      </c>
      <c r="Z29" s="50">
        <v>0</v>
      </c>
      <c r="AA29" s="50" t="s">
        <v>801</v>
      </c>
      <c r="AB29" s="50" t="s">
        <v>650</v>
      </c>
      <c r="AC29" s="50" t="s">
        <v>1085</v>
      </c>
    </row>
    <row r="30" spans="1:29" ht="22" customHeight="1" x14ac:dyDescent="0.2">
      <c r="A30" s="50" t="s">
        <v>735</v>
      </c>
      <c r="B30" s="50" t="s">
        <v>545</v>
      </c>
      <c r="C30" s="50" t="s">
        <v>796</v>
      </c>
      <c r="D30" s="50" t="s">
        <v>802</v>
      </c>
      <c r="E30" s="123" t="s">
        <v>941</v>
      </c>
      <c r="F30" s="50" t="s">
        <v>612</v>
      </c>
      <c r="G30" s="50" t="s">
        <v>798</v>
      </c>
      <c r="H30" s="50" t="s">
        <v>799</v>
      </c>
      <c r="I30" s="50">
        <v>1.2</v>
      </c>
      <c r="J30" s="50">
        <v>5000</v>
      </c>
      <c r="K30" s="50">
        <v>900</v>
      </c>
      <c r="L30" s="50">
        <v>500</v>
      </c>
      <c r="M30" s="50">
        <v>700</v>
      </c>
      <c r="N30" s="50">
        <v>1</v>
      </c>
      <c r="O30" s="114">
        <v>0.25</v>
      </c>
      <c r="P30" s="114">
        <v>0.04</v>
      </c>
      <c r="Q30" s="50">
        <v>2</v>
      </c>
      <c r="R30" s="50">
        <v>8</v>
      </c>
      <c r="S30" s="50">
        <v>0</v>
      </c>
      <c r="T30" s="50" t="s">
        <v>620</v>
      </c>
      <c r="U30" s="50" t="s">
        <v>590</v>
      </c>
      <c r="V30" s="50" t="s">
        <v>800</v>
      </c>
      <c r="W30" s="124">
        <v>46298</v>
      </c>
      <c r="X30" s="114">
        <v>0</v>
      </c>
      <c r="Y30" s="114">
        <v>0</v>
      </c>
      <c r="Z30" s="50">
        <v>0</v>
      </c>
      <c r="AA30" s="50" t="s">
        <v>801</v>
      </c>
      <c r="AB30" s="50" t="s">
        <v>650</v>
      </c>
      <c r="AC30" s="50" t="s">
        <v>1085</v>
      </c>
    </row>
    <row r="31" spans="1:29" ht="22" customHeight="1" x14ac:dyDescent="0.2">
      <c r="A31" s="50" t="s">
        <v>735</v>
      </c>
      <c r="B31" s="50" t="s">
        <v>555</v>
      </c>
      <c r="C31" s="50" t="s">
        <v>796</v>
      </c>
      <c r="D31" s="50" t="s">
        <v>802</v>
      </c>
      <c r="E31" s="123" t="s">
        <v>941</v>
      </c>
      <c r="F31" s="50" t="s">
        <v>612</v>
      </c>
      <c r="G31" s="50" t="s">
        <v>798</v>
      </c>
      <c r="H31" s="50" t="s">
        <v>799</v>
      </c>
      <c r="I31" s="50">
        <v>1.2</v>
      </c>
      <c r="J31" s="50">
        <v>5000</v>
      </c>
      <c r="K31" s="50">
        <v>900</v>
      </c>
      <c r="L31" s="50">
        <v>500</v>
      </c>
      <c r="M31" s="50">
        <v>700</v>
      </c>
      <c r="N31" s="50">
        <v>1</v>
      </c>
      <c r="O31" s="114">
        <v>0.25</v>
      </c>
      <c r="P31" s="114">
        <v>0.06</v>
      </c>
      <c r="Q31" s="50">
        <v>2</v>
      </c>
      <c r="R31" s="50">
        <v>8</v>
      </c>
      <c r="S31" s="50">
        <v>0</v>
      </c>
      <c r="T31" s="50" t="s">
        <v>620</v>
      </c>
      <c r="U31" s="50" t="s">
        <v>590</v>
      </c>
      <c r="V31" s="50" t="s">
        <v>800</v>
      </c>
      <c r="W31" s="124">
        <v>46298</v>
      </c>
      <c r="X31" s="114">
        <v>0</v>
      </c>
      <c r="Y31" s="114">
        <v>0</v>
      </c>
      <c r="Z31" s="50">
        <v>0</v>
      </c>
      <c r="AA31" s="50" t="s">
        <v>801</v>
      </c>
      <c r="AB31" s="50" t="s">
        <v>650</v>
      </c>
      <c r="AC31" s="50" t="s">
        <v>1085</v>
      </c>
    </row>
    <row r="32" spans="1:29" ht="22" customHeight="1" x14ac:dyDescent="0.2">
      <c r="A32" s="50" t="s">
        <v>735</v>
      </c>
      <c r="B32" s="50" t="s">
        <v>556</v>
      </c>
      <c r="C32" s="50" t="s">
        <v>796</v>
      </c>
      <c r="D32" s="50" t="s">
        <v>802</v>
      </c>
      <c r="E32" s="123" t="s">
        <v>941</v>
      </c>
      <c r="F32" s="50" t="s">
        <v>612</v>
      </c>
      <c r="G32" s="50" t="s">
        <v>798</v>
      </c>
      <c r="H32" s="50" t="s">
        <v>799</v>
      </c>
      <c r="I32" s="50">
        <v>1.2</v>
      </c>
      <c r="J32" s="50">
        <v>5000</v>
      </c>
      <c r="K32" s="50">
        <v>900</v>
      </c>
      <c r="L32" s="50">
        <v>500</v>
      </c>
      <c r="M32" s="50">
        <v>700</v>
      </c>
      <c r="N32" s="50">
        <v>1</v>
      </c>
      <c r="O32" s="114">
        <v>0.25</v>
      </c>
      <c r="P32" s="114">
        <v>0.08</v>
      </c>
      <c r="Q32" s="50">
        <v>2</v>
      </c>
      <c r="R32" s="50">
        <v>8</v>
      </c>
      <c r="S32" s="50">
        <v>0</v>
      </c>
      <c r="T32" s="50" t="s">
        <v>620</v>
      </c>
      <c r="U32" s="50" t="s">
        <v>590</v>
      </c>
      <c r="V32" s="50" t="s">
        <v>800</v>
      </c>
      <c r="W32" s="124">
        <v>46298</v>
      </c>
      <c r="X32" s="114">
        <v>0</v>
      </c>
      <c r="Y32" s="114">
        <v>0</v>
      </c>
      <c r="Z32" s="50">
        <v>0</v>
      </c>
      <c r="AA32" s="50" t="s">
        <v>801</v>
      </c>
      <c r="AB32" s="50" t="s">
        <v>650</v>
      </c>
      <c r="AC32" s="50" t="s">
        <v>1085</v>
      </c>
    </row>
    <row r="33" spans="1:29" ht="22" customHeight="1" x14ac:dyDescent="0.2">
      <c r="A33" s="50" t="s">
        <v>735</v>
      </c>
      <c r="B33" s="50" t="s">
        <v>557</v>
      </c>
      <c r="C33" s="50" t="s">
        <v>796</v>
      </c>
      <c r="D33" s="50" t="s">
        <v>802</v>
      </c>
      <c r="E33" s="123" t="s">
        <v>941</v>
      </c>
      <c r="F33" s="50" t="s">
        <v>612</v>
      </c>
      <c r="G33" s="50" t="s">
        <v>798</v>
      </c>
      <c r="H33" s="50" t="s">
        <v>799</v>
      </c>
      <c r="I33" s="50">
        <v>1.2</v>
      </c>
      <c r="J33" s="50">
        <v>5000</v>
      </c>
      <c r="K33" s="50">
        <v>900</v>
      </c>
      <c r="L33" s="50">
        <v>500</v>
      </c>
      <c r="M33" s="50">
        <v>700</v>
      </c>
      <c r="N33" s="50">
        <v>1</v>
      </c>
      <c r="O33" s="114">
        <v>0.25</v>
      </c>
      <c r="P33" s="114">
        <v>0.12</v>
      </c>
      <c r="Q33" s="50">
        <v>2</v>
      </c>
      <c r="R33" s="50">
        <v>8</v>
      </c>
      <c r="S33" s="50">
        <v>0</v>
      </c>
      <c r="T33" s="50" t="s">
        <v>620</v>
      </c>
      <c r="U33" s="50" t="s">
        <v>590</v>
      </c>
      <c r="V33" s="50" t="s">
        <v>800</v>
      </c>
      <c r="W33" s="124">
        <v>46298</v>
      </c>
      <c r="X33" s="114">
        <v>0</v>
      </c>
      <c r="Y33" s="114">
        <v>0</v>
      </c>
      <c r="Z33" s="50">
        <v>0</v>
      </c>
      <c r="AA33" s="50" t="s">
        <v>801</v>
      </c>
      <c r="AB33" s="50" t="s">
        <v>650</v>
      </c>
      <c r="AC33" s="50" t="s">
        <v>1085</v>
      </c>
    </row>
    <row r="34" spans="1:29" ht="22" customHeight="1" x14ac:dyDescent="0.2">
      <c r="A34" s="50" t="s">
        <v>735</v>
      </c>
      <c r="B34" s="50" t="s">
        <v>558</v>
      </c>
      <c r="C34" s="50" t="s">
        <v>796</v>
      </c>
      <c r="D34" s="50" t="s">
        <v>802</v>
      </c>
      <c r="E34" s="123" t="s">
        <v>941</v>
      </c>
      <c r="F34" s="50" t="s">
        <v>612</v>
      </c>
      <c r="G34" s="50" t="s">
        <v>798</v>
      </c>
      <c r="H34" s="50" t="s">
        <v>799</v>
      </c>
      <c r="I34" s="50">
        <v>1.2</v>
      </c>
      <c r="J34" s="50">
        <v>5000</v>
      </c>
      <c r="K34" s="50">
        <v>900</v>
      </c>
      <c r="L34" s="50">
        <v>500</v>
      </c>
      <c r="M34" s="50">
        <v>700</v>
      </c>
      <c r="N34" s="50">
        <v>1</v>
      </c>
      <c r="O34" s="114">
        <v>0.25</v>
      </c>
      <c r="P34" s="114">
        <v>7.0000000000000007E-2</v>
      </c>
      <c r="Q34" s="50">
        <v>2</v>
      </c>
      <c r="R34" s="50">
        <v>8</v>
      </c>
      <c r="S34" s="50">
        <v>0</v>
      </c>
      <c r="T34" s="50" t="s">
        <v>620</v>
      </c>
      <c r="U34" s="50" t="s">
        <v>590</v>
      </c>
      <c r="V34" s="50" t="s">
        <v>800</v>
      </c>
      <c r="W34" s="124">
        <v>46298</v>
      </c>
      <c r="X34" s="114">
        <v>0</v>
      </c>
      <c r="Y34" s="114">
        <v>0</v>
      </c>
      <c r="Z34" s="50">
        <v>0</v>
      </c>
      <c r="AA34" s="50" t="s">
        <v>801</v>
      </c>
      <c r="AB34" s="50" t="s">
        <v>650</v>
      </c>
      <c r="AC34" s="50" t="s">
        <v>1085</v>
      </c>
    </row>
    <row r="35" spans="1:29" ht="22" hidden="1" customHeight="1" x14ac:dyDescent="0.2">
      <c r="A35" s="50" t="s">
        <v>745</v>
      </c>
      <c r="B35" s="50" t="s">
        <v>545</v>
      </c>
      <c r="C35" s="50" t="s">
        <v>796</v>
      </c>
      <c r="D35" s="50" t="s">
        <v>797</v>
      </c>
      <c r="E35" s="123" t="s">
        <v>940</v>
      </c>
      <c r="F35" s="50" t="s">
        <v>593</v>
      </c>
      <c r="G35" s="50" t="s">
        <v>798</v>
      </c>
      <c r="H35" s="50" t="s">
        <v>799</v>
      </c>
      <c r="I35" s="50">
        <v>2</v>
      </c>
      <c r="J35" s="50">
        <v>1800</v>
      </c>
      <c r="K35" s="50">
        <v>350</v>
      </c>
      <c r="L35" s="50">
        <v>500</v>
      </c>
      <c r="M35" s="50">
        <v>700</v>
      </c>
      <c r="N35" s="50">
        <v>0</v>
      </c>
      <c r="O35" s="114">
        <v>0.25</v>
      </c>
      <c r="P35" s="114">
        <v>0.04</v>
      </c>
      <c r="Q35" s="50">
        <v>0.4</v>
      </c>
      <c r="R35" s="50">
        <v>1.6</v>
      </c>
      <c r="S35" s="50">
        <v>0</v>
      </c>
      <c r="T35" s="50" t="s">
        <v>620</v>
      </c>
      <c r="U35" s="50" t="s">
        <v>590</v>
      </c>
      <c r="V35" s="50" t="s">
        <v>800</v>
      </c>
      <c r="W35" s="124">
        <v>46298</v>
      </c>
      <c r="X35" s="114">
        <v>0</v>
      </c>
      <c r="Y35" s="114">
        <v>0</v>
      </c>
      <c r="Z35" s="50">
        <v>0</v>
      </c>
      <c r="AA35" s="50" t="s">
        <v>801</v>
      </c>
      <c r="AB35" s="50" t="s">
        <v>650</v>
      </c>
      <c r="AC35" s="50" t="s">
        <v>1085</v>
      </c>
    </row>
    <row r="36" spans="1:29" ht="22" hidden="1" customHeight="1" x14ac:dyDescent="0.2">
      <c r="A36" s="50" t="s">
        <v>745</v>
      </c>
      <c r="B36" s="50" t="s">
        <v>555</v>
      </c>
      <c r="C36" s="50" t="s">
        <v>796</v>
      </c>
      <c r="D36" s="50" t="s">
        <v>797</v>
      </c>
      <c r="E36" s="123" t="s">
        <v>940</v>
      </c>
      <c r="F36" s="50" t="s">
        <v>593</v>
      </c>
      <c r="G36" s="50" t="s">
        <v>798</v>
      </c>
      <c r="H36" s="50" t="s">
        <v>799</v>
      </c>
      <c r="I36" s="50">
        <v>2</v>
      </c>
      <c r="J36" s="50">
        <v>1800</v>
      </c>
      <c r="K36" s="50">
        <v>350</v>
      </c>
      <c r="L36" s="50">
        <v>500</v>
      </c>
      <c r="M36" s="50">
        <v>700</v>
      </c>
      <c r="N36" s="50">
        <v>0</v>
      </c>
      <c r="O36" s="114">
        <v>0.25</v>
      </c>
      <c r="P36" s="114">
        <v>0.06</v>
      </c>
      <c r="Q36" s="50">
        <v>0.4</v>
      </c>
      <c r="R36" s="50">
        <v>1.6</v>
      </c>
      <c r="S36" s="50">
        <v>0</v>
      </c>
      <c r="T36" s="50" t="s">
        <v>620</v>
      </c>
      <c r="U36" s="50" t="s">
        <v>590</v>
      </c>
      <c r="V36" s="50" t="s">
        <v>800</v>
      </c>
      <c r="W36" s="124">
        <v>46298</v>
      </c>
      <c r="X36" s="114">
        <v>0</v>
      </c>
      <c r="Y36" s="114">
        <v>0</v>
      </c>
      <c r="Z36" s="50">
        <v>0</v>
      </c>
      <c r="AA36" s="50" t="s">
        <v>801</v>
      </c>
      <c r="AB36" s="50" t="s">
        <v>650</v>
      </c>
      <c r="AC36" s="50" t="s">
        <v>1085</v>
      </c>
    </row>
    <row r="37" spans="1:29" ht="22" hidden="1" customHeight="1" x14ac:dyDescent="0.2">
      <c r="A37" s="50" t="s">
        <v>745</v>
      </c>
      <c r="B37" s="50" t="s">
        <v>556</v>
      </c>
      <c r="C37" s="50" t="s">
        <v>796</v>
      </c>
      <c r="D37" s="50" t="s">
        <v>797</v>
      </c>
      <c r="E37" s="123" t="s">
        <v>940</v>
      </c>
      <c r="F37" s="50" t="s">
        <v>593</v>
      </c>
      <c r="G37" s="50" t="s">
        <v>798</v>
      </c>
      <c r="H37" s="50" t="s">
        <v>799</v>
      </c>
      <c r="I37" s="50">
        <v>2</v>
      </c>
      <c r="J37" s="50">
        <v>1800</v>
      </c>
      <c r="K37" s="50">
        <v>350</v>
      </c>
      <c r="L37" s="50">
        <v>500</v>
      </c>
      <c r="M37" s="50">
        <v>700</v>
      </c>
      <c r="N37" s="50">
        <v>0</v>
      </c>
      <c r="O37" s="114">
        <v>0.25</v>
      </c>
      <c r="P37" s="114">
        <v>0.08</v>
      </c>
      <c r="Q37" s="50">
        <v>0.4</v>
      </c>
      <c r="R37" s="50">
        <v>1.6</v>
      </c>
      <c r="S37" s="50">
        <v>0</v>
      </c>
      <c r="T37" s="50" t="s">
        <v>620</v>
      </c>
      <c r="U37" s="50" t="s">
        <v>590</v>
      </c>
      <c r="V37" s="50" t="s">
        <v>800</v>
      </c>
      <c r="W37" s="124">
        <v>46298</v>
      </c>
      <c r="X37" s="114">
        <v>0</v>
      </c>
      <c r="Y37" s="114">
        <v>0</v>
      </c>
      <c r="Z37" s="50">
        <v>0</v>
      </c>
      <c r="AA37" s="50" t="s">
        <v>801</v>
      </c>
      <c r="AB37" s="50" t="s">
        <v>650</v>
      </c>
      <c r="AC37" s="50" t="s">
        <v>1085</v>
      </c>
    </row>
    <row r="38" spans="1:29" ht="22" hidden="1" customHeight="1" x14ac:dyDescent="0.2">
      <c r="A38" s="50" t="s">
        <v>745</v>
      </c>
      <c r="B38" s="50" t="s">
        <v>557</v>
      </c>
      <c r="C38" s="50" t="s">
        <v>796</v>
      </c>
      <c r="D38" s="50" t="s">
        <v>797</v>
      </c>
      <c r="E38" s="123" t="s">
        <v>940</v>
      </c>
      <c r="F38" s="50" t="s">
        <v>593</v>
      </c>
      <c r="G38" s="50" t="s">
        <v>798</v>
      </c>
      <c r="H38" s="50" t="s">
        <v>799</v>
      </c>
      <c r="I38" s="50">
        <v>2</v>
      </c>
      <c r="J38" s="50">
        <v>1800</v>
      </c>
      <c r="K38" s="50">
        <v>350</v>
      </c>
      <c r="L38" s="50">
        <v>500</v>
      </c>
      <c r="M38" s="50">
        <v>700</v>
      </c>
      <c r="N38" s="50">
        <v>0</v>
      </c>
      <c r="O38" s="114">
        <v>0.25</v>
      </c>
      <c r="P38" s="114">
        <v>0.12</v>
      </c>
      <c r="Q38" s="50">
        <v>0.4</v>
      </c>
      <c r="R38" s="50">
        <v>1.6</v>
      </c>
      <c r="S38" s="50">
        <v>0</v>
      </c>
      <c r="T38" s="50" t="s">
        <v>620</v>
      </c>
      <c r="U38" s="50" t="s">
        <v>590</v>
      </c>
      <c r="V38" s="50" t="s">
        <v>800</v>
      </c>
      <c r="W38" s="124">
        <v>46298</v>
      </c>
      <c r="X38" s="114">
        <v>0</v>
      </c>
      <c r="Y38" s="114">
        <v>0</v>
      </c>
      <c r="Z38" s="50">
        <v>0</v>
      </c>
      <c r="AA38" s="50" t="s">
        <v>801</v>
      </c>
      <c r="AB38" s="50" t="s">
        <v>650</v>
      </c>
      <c r="AC38" s="50" t="s">
        <v>1085</v>
      </c>
    </row>
    <row r="39" spans="1:29" ht="22" hidden="1" customHeight="1" x14ac:dyDescent="0.2">
      <c r="A39" s="50" t="s">
        <v>745</v>
      </c>
      <c r="B39" s="50" t="s">
        <v>558</v>
      </c>
      <c r="C39" s="50" t="s">
        <v>796</v>
      </c>
      <c r="D39" s="50" t="s">
        <v>797</v>
      </c>
      <c r="E39" s="123" t="s">
        <v>940</v>
      </c>
      <c r="F39" s="50" t="s">
        <v>593</v>
      </c>
      <c r="G39" s="50" t="s">
        <v>798</v>
      </c>
      <c r="H39" s="50" t="s">
        <v>799</v>
      </c>
      <c r="I39" s="50">
        <v>2</v>
      </c>
      <c r="J39" s="50">
        <v>1800</v>
      </c>
      <c r="K39" s="50">
        <v>350</v>
      </c>
      <c r="L39" s="50">
        <v>500</v>
      </c>
      <c r="M39" s="50">
        <v>700</v>
      </c>
      <c r="N39" s="50">
        <v>0</v>
      </c>
      <c r="O39" s="114">
        <v>0.25</v>
      </c>
      <c r="P39" s="114">
        <v>7.0000000000000007E-2</v>
      </c>
      <c r="Q39" s="50">
        <v>0.4</v>
      </c>
      <c r="R39" s="50">
        <v>1.6</v>
      </c>
      <c r="S39" s="50">
        <v>0</v>
      </c>
      <c r="T39" s="50" t="s">
        <v>620</v>
      </c>
      <c r="U39" s="50" t="s">
        <v>590</v>
      </c>
      <c r="V39" s="50" t="s">
        <v>800</v>
      </c>
      <c r="W39" s="124">
        <v>46298</v>
      </c>
      <c r="X39" s="114">
        <v>0</v>
      </c>
      <c r="Y39" s="114">
        <v>0</v>
      </c>
      <c r="Z39" s="50">
        <v>0</v>
      </c>
      <c r="AA39" s="50" t="s">
        <v>801</v>
      </c>
      <c r="AB39" s="50" t="s">
        <v>650</v>
      </c>
      <c r="AC39" s="50" t="s">
        <v>1085</v>
      </c>
    </row>
    <row r="40" spans="1:29" ht="22" hidden="1" customHeight="1" x14ac:dyDescent="0.2">
      <c r="A40" s="50" t="s">
        <v>757</v>
      </c>
      <c r="B40" s="50" t="s">
        <v>545</v>
      </c>
      <c r="C40" s="50" t="s">
        <v>796</v>
      </c>
      <c r="D40" s="50" t="s">
        <v>802</v>
      </c>
      <c r="E40" s="123" t="s">
        <v>941</v>
      </c>
      <c r="F40" s="50" t="s">
        <v>612</v>
      </c>
      <c r="G40" s="50" t="s">
        <v>798</v>
      </c>
      <c r="H40" s="50" t="s">
        <v>799</v>
      </c>
      <c r="I40" s="50">
        <v>1.2</v>
      </c>
      <c r="J40" s="50">
        <v>5000</v>
      </c>
      <c r="K40" s="50">
        <v>900</v>
      </c>
      <c r="L40" s="50">
        <v>500</v>
      </c>
      <c r="M40" s="50">
        <v>700</v>
      </c>
      <c r="N40" s="50">
        <v>1</v>
      </c>
      <c r="O40" s="114">
        <v>0.25</v>
      </c>
      <c r="P40" s="114">
        <v>0.04</v>
      </c>
      <c r="Q40" s="50">
        <v>2</v>
      </c>
      <c r="R40" s="50">
        <v>8</v>
      </c>
      <c r="S40" s="50">
        <v>0</v>
      </c>
      <c r="T40" s="50" t="s">
        <v>620</v>
      </c>
      <c r="U40" s="50" t="s">
        <v>590</v>
      </c>
      <c r="V40" s="50" t="s">
        <v>800</v>
      </c>
      <c r="W40" s="124">
        <v>46298</v>
      </c>
      <c r="X40" s="114">
        <v>0</v>
      </c>
      <c r="Y40" s="114">
        <v>0</v>
      </c>
      <c r="Z40" s="50">
        <v>0</v>
      </c>
      <c r="AA40" s="50" t="s">
        <v>801</v>
      </c>
      <c r="AB40" s="50" t="s">
        <v>650</v>
      </c>
      <c r="AC40" s="50" t="s">
        <v>1085</v>
      </c>
    </row>
    <row r="41" spans="1:29" ht="22" hidden="1" customHeight="1" x14ac:dyDescent="0.2">
      <c r="A41" s="50" t="s">
        <v>757</v>
      </c>
      <c r="B41" s="50" t="s">
        <v>555</v>
      </c>
      <c r="C41" s="50" t="s">
        <v>796</v>
      </c>
      <c r="D41" s="50" t="s">
        <v>802</v>
      </c>
      <c r="E41" s="123" t="s">
        <v>941</v>
      </c>
      <c r="F41" s="50" t="s">
        <v>612</v>
      </c>
      <c r="G41" s="50" t="s">
        <v>798</v>
      </c>
      <c r="H41" s="50" t="s">
        <v>799</v>
      </c>
      <c r="I41" s="50">
        <v>1.2</v>
      </c>
      <c r="J41" s="50">
        <v>5000</v>
      </c>
      <c r="K41" s="50">
        <v>900</v>
      </c>
      <c r="L41" s="50">
        <v>500</v>
      </c>
      <c r="M41" s="50">
        <v>700</v>
      </c>
      <c r="N41" s="50">
        <v>1</v>
      </c>
      <c r="O41" s="114">
        <v>0.25</v>
      </c>
      <c r="P41" s="114">
        <v>0.06</v>
      </c>
      <c r="Q41" s="50">
        <v>2</v>
      </c>
      <c r="R41" s="50">
        <v>8</v>
      </c>
      <c r="S41" s="50">
        <v>0</v>
      </c>
      <c r="T41" s="50" t="s">
        <v>620</v>
      </c>
      <c r="U41" s="50" t="s">
        <v>590</v>
      </c>
      <c r="V41" s="50" t="s">
        <v>800</v>
      </c>
      <c r="W41" s="124">
        <v>46298</v>
      </c>
      <c r="X41" s="114">
        <v>0</v>
      </c>
      <c r="Y41" s="114">
        <v>0</v>
      </c>
      <c r="Z41" s="50">
        <v>0</v>
      </c>
      <c r="AA41" s="50" t="s">
        <v>801</v>
      </c>
      <c r="AB41" s="50" t="s">
        <v>650</v>
      </c>
      <c r="AC41" s="50" t="s">
        <v>1085</v>
      </c>
    </row>
    <row r="42" spans="1:29" ht="22" hidden="1" customHeight="1" x14ac:dyDescent="0.2">
      <c r="A42" s="50" t="s">
        <v>757</v>
      </c>
      <c r="B42" s="50" t="s">
        <v>556</v>
      </c>
      <c r="C42" s="50" t="s">
        <v>796</v>
      </c>
      <c r="D42" s="50" t="s">
        <v>802</v>
      </c>
      <c r="E42" s="123" t="s">
        <v>941</v>
      </c>
      <c r="F42" s="50" t="s">
        <v>612</v>
      </c>
      <c r="G42" s="50" t="s">
        <v>798</v>
      </c>
      <c r="H42" s="50" t="s">
        <v>799</v>
      </c>
      <c r="I42" s="50">
        <v>1.2</v>
      </c>
      <c r="J42" s="50">
        <v>5000</v>
      </c>
      <c r="K42" s="50">
        <v>900</v>
      </c>
      <c r="L42" s="50">
        <v>500</v>
      </c>
      <c r="M42" s="50">
        <v>700</v>
      </c>
      <c r="N42" s="50">
        <v>1</v>
      </c>
      <c r="O42" s="114">
        <v>0.25</v>
      </c>
      <c r="P42" s="114">
        <v>0.08</v>
      </c>
      <c r="Q42" s="50">
        <v>2</v>
      </c>
      <c r="R42" s="50">
        <v>8</v>
      </c>
      <c r="S42" s="50">
        <v>0</v>
      </c>
      <c r="T42" s="50" t="s">
        <v>620</v>
      </c>
      <c r="U42" s="50" t="s">
        <v>590</v>
      </c>
      <c r="V42" s="50" t="s">
        <v>800</v>
      </c>
      <c r="W42" s="124">
        <v>46298</v>
      </c>
      <c r="X42" s="114">
        <v>0</v>
      </c>
      <c r="Y42" s="114">
        <v>0</v>
      </c>
      <c r="Z42" s="50">
        <v>0</v>
      </c>
      <c r="AA42" s="50" t="s">
        <v>801</v>
      </c>
      <c r="AB42" s="50" t="s">
        <v>650</v>
      </c>
      <c r="AC42" s="50" t="s">
        <v>1085</v>
      </c>
    </row>
    <row r="43" spans="1:29" ht="22" hidden="1" customHeight="1" x14ac:dyDescent="0.2">
      <c r="A43" s="50" t="s">
        <v>757</v>
      </c>
      <c r="B43" s="50" t="s">
        <v>557</v>
      </c>
      <c r="C43" s="50" t="s">
        <v>796</v>
      </c>
      <c r="D43" s="50" t="s">
        <v>802</v>
      </c>
      <c r="E43" s="123" t="s">
        <v>941</v>
      </c>
      <c r="F43" s="50" t="s">
        <v>612</v>
      </c>
      <c r="G43" s="50" t="s">
        <v>798</v>
      </c>
      <c r="H43" s="50" t="s">
        <v>799</v>
      </c>
      <c r="I43" s="50">
        <v>1.2</v>
      </c>
      <c r="J43" s="50">
        <v>5000</v>
      </c>
      <c r="K43" s="50">
        <v>900</v>
      </c>
      <c r="L43" s="50">
        <v>500</v>
      </c>
      <c r="M43" s="50">
        <v>700</v>
      </c>
      <c r="N43" s="50">
        <v>1</v>
      </c>
      <c r="O43" s="114">
        <v>0.25</v>
      </c>
      <c r="P43" s="114">
        <v>0.12</v>
      </c>
      <c r="Q43" s="50">
        <v>2</v>
      </c>
      <c r="R43" s="50">
        <v>8</v>
      </c>
      <c r="S43" s="50">
        <v>0</v>
      </c>
      <c r="T43" s="50" t="s">
        <v>620</v>
      </c>
      <c r="U43" s="50" t="s">
        <v>590</v>
      </c>
      <c r="V43" s="50" t="s">
        <v>800</v>
      </c>
      <c r="W43" s="124">
        <v>46298</v>
      </c>
      <c r="X43" s="114">
        <v>0</v>
      </c>
      <c r="Y43" s="114">
        <v>0</v>
      </c>
      <c r="Z43" s="50">
        <v>0</v>
      </c>
      <c r="AA43" s="50" t="s">
        <v>801</v>
      </c>
      <c r="AB43" s="50" t="s">
        <v>650</v>
      </c>
      <c r="AC43" s="50" t="s">
        <v>1085</v>
      </c>
    </row>
    <row r="44" spans="1:29" ht="22" hidden="1" customHeight="1" x14ac:dyDescent="0.2">
      <c r="A44" s="50" t="s">
        <v>757</v>
      </c>
      <c r="B44" s="50" t="s">
        <v>558</v>
      </c>
      <c r="C44" s="50" t="s">
        <v>796</v>
      </c>
      <c r="D44" s="50" t="s">
        <v>802</v>
      </c>
      <c r="E44" s="123" t="s">
        <v>941</v>
      </c>
      <c r="F44" s="50" t="s">
        <v>612</v>
      </c>
      <c r="G44" s="50" t="s">
        <v>798</v>
      </c>
      <c r="H44" s="50" t="s">
        <v>799</v>
      </c>
      <c r="I44" s="50">
        <v>1.2</v>
      </c>
      <c r="J44" s="50">
        <v>5000</v>
      </c>
      <c r="K44" s="50">
        <v>900</v>
      </c>
      <c r="L44" s="50">
        <v>500</v>
      </c>
      <c r="M44" s="50">
        <v>700</v>
      </c>
      <c r="N44" s="50">
        <v>1</v>
      </c>
      <c r="O44" s="114">
        <v>0.25</v>
      </c>
      <c r="P44" s="114">
        <v>7.0000000000000007E-2</v>
      </c>
      <c r="Q44" s="50">
        <v>2</v>
      </c>
      <c r="R44" s="50">
        <v>8</v>
      </c>
      <c r="S44" s="50">
        <v>0</v>
      </c>
      <c r="T44" s="50" t="s">
        <v>620</v>
      </c>
      <c r="U44" s="50" t="s">
        <v>590</v>
      </c>
      <c r="V44" s="50" t="s">
        <v>800</v>
      </c>
      <c r="W44" s="124">
        <v>46298</v>
      </c>
      <c r="X44" s="114">
        <v>0</v>
      </c>
      <c r="Y44" s="114">
        <v>0</v>
      </c>
      <c r="Z44" s="50">
        <v>0</v>
      </c>
      <c r="AA44" s="50" t="s">
        <v>801</v>
      </c>
      <c r="AB44" s="50" t="s">
        <v>650</v>
      </c>
      <c r="AC44" s="50" t="s">
        <v>1085</v>
      </c>
    </row>
    <row r="45" spans="1:29" ht="22" hidden="1" customHeight="1" x14ac:dyDescent="0.2">
      <c r="A45" s="50" t="s">
        <v>766</v>
      </c>
      <c r="B45" s="50" t="s">
        <v>545</v>
      </c>
      <c r="C45" s="50" t="s">
        <v>796</v>
      </c>
      <c r="D45" s="50" t="s">
        <v>797</v>
      </c>
      <c r="E45" s="123" t="s">
        <v>940</v>
      </c>
      <c r="F45" s="50" t="s">
        <v>593</v>
      </c>
      <c r="G45" s="50" t="s">
        <v>798</v>
      </c>
      <c r="H45" s="50" t="s">
        <v>799</v>
      </c>
      <c r="I45" s="50">
        <v>2</v>
      </c>
      <c r="J45" s="50">
        <v>1800</v>
      </c>
      <c r="K45" s="50">
        <v>350</v>
      </c>
      <c r="L45" s="50">
        <v>500</v>
      </c>
      <c r="M45" s="50">
        <v>700</v>
      </c>
      <c r="N45" s="50">
        <v>0</v>
      </c>
      <c r="O45" s="114">
        <v>0.25</v>
      </c>
      <c r="P45" s="114">
        <v>0.04</v>
      </c>
      <c r="Q45" s="50">
        <v>0.4</v>
      </c>
      <c r="R45" s="50">
        <v>1.6</v>
      </c>
      <c r="S45" s="50">
        <v>0</v>
      </c>
      <c r="T45" s="50" t="s">
        <v>620</v>
      </c>
      <c r="U45" s="50" t="s">
        <v>590</v>
      </c>
      <c r="V45" s="50" t="s">
        <v>800</v>
      </c>
      <c r="W45" s="124">
        <v>46298</v>
      </c>
      <c r="X45" s="114">
        <v>0</v>
      </c>
      <c r="Y45" s="114">
        <v>0</v>
      </c>
      <c r="Z45" s="50">
        <v>0</v>
      </c>
      <c r="AA45" s="50" t="s">
        <v>801</v>
      </c>
      <c r="AB45" s="50" t="s">
        <v>650</v>
      </c>
      <c r="AC45" s="50" t="s">
        <v>1085</v>
      </c>
    </row>
    <row r="46" spans="1:29" ht="22" hidden="1" customHeight="1" x14ac:dyDescent="0.2">
      <c r="A46" s="50" t="s">
        <v>766</v>
      </c>
      <c r="B46" s="50" t="s">
        <v>555</v>
      </c>
      <c r="C46" s="50" t="s">
        <v>796</v>
      </c>
      <c r="D46" s="50" t="s">
        <v>797</v>
      </c>
      <c r="E46" s="123" t="s">
        <v>940</v>
      </c>
      <c r="F46" s="50" t="s">
        <v>593</v>
      </c>
      <c r="G46" s="50" t="s">
        <v>798</v>
      </c>
      <c r="H46" s="50" t="s">
        <v>799</v>
      </c>
      <c r="I46" s="50">
        <v>2</v>
      </c>
      <c r="J46" s="50">
        <v>1800</v>
      </c>
      <c r="K46" s="50">
        <v>350</v>
      </c>
      <c r="L46" s="50">
        <v>500</v>
      </c>
      <c r="M46" s="50">
        <v>700</v>
      </c>
      <c r="N46" s="50">
        <v>0</v>
      </c>
      <c r="O46" s="114">
        <v>0.25</v>
      </c>
      <c r="P46" s="114">
        <v>0.06</v>
      </c>
      <c r="Q46" s="50">
        <v>0.4</v>
      </c>
      <c r="R46" s="50">
        <v>1.6</v>
      </c>
      <c r="S46" s="50">
        <v>0</v>
      </c>
      <c r="T46" s="50" t="s">
        <v>620</v>
      </c>
      <c r="U46" s="50" t="s">
        <v>590</v>
      </c>
      <c r="V46" s="50" t="s">
        <v>800</v>
      </c>
      <c r="W46" s="124">
        <v>46298</v>
      </c>
      <c r="X46" s="114">
        <v>0</v>
      </c>
      <c r="Y46" s="114">
        <v>0</v>
      </c>
      <c r="Z46" s="50">
        <v>0</v>
      </c>
      <c r="AA46" s="50" t="s">
        <v>801</v>
      </c>
      <c r="AB46" s="50" t="s">
        <v>650</v>
      </c>
      <c r="AC46" s="50" t="s">
        <v>1085</v>
      </c>
    </row>
    <row r="47" spans="1:29" ht="22" hidden="1" customHeight="1" x14ac:dyDescent="0.2">
      <c r="A47" s="50" t="s">
        <v>766</v>
      </c>
      <c r="B47" s="50" t="s">
        <v>556</v>
      </c>
      <c r="C47" s="50" t="s">
        <v>796</v>
      </c>
      <c r="D47" s="50" t="s">
        <v>797</v>
      </c>
      <c r="E47" s="123" t="s">
        <v>940</v>
      </c>
      <c r="F47" s="50" t="s">
        <v>593</v>
      </c>
      <c r="G47" s="50" t="s">
        <v>798</v>
      </c>
      <c r="H47" s="50" t="s">
        <v>799</v>
      </c>
      <c r="I47" s="50">
        <v>2</v>
      </c>
      <c r="J47" s="50">
        <v>1800</v>
      </c>
      <c r="K47" s="50">
        <v>350</v>
      </c>
      <c r="L47" s="50">
        <v>500</v>
      </c>
      <c r="M47" s="50">
        <v>700</v>
      </c>
      <c r="N47" s="50">
        <v>0</v>
      </c>
      <c r="O47" s="114">
        <v>0.25</v>
      </c>
      <c r="P47" s="114">
        <v>0.08</v>
      </c>
      <c r="Q47" s="50">
        <v>0.4</v>
      </c>
      <c r="R47" s="50">
        <v>1.6</v>
      </c>
      <c r="S47" s="50">
        <v>0</v>
      </c>
      <c r="T47" s="50" t="s">
        <v>620</v>
      </c>
      <c r="U47" s="50" t="s">
        <v>590</v>
      </c>
      <c r="V47" s="50" t="s">
        <v>800</v>
      </c>
      <c r="W47" s="124">
        <v>46298</v>
      </c>
      <c r="X47" s="114">
        <v>0</v>
      </c>
      <c r="Y47" s="114">
        <v>0</v>
      </c>
      <c r="Z47" s="50">
        <v>0</v>
      </c>
      <c r="AA47" s="50" t="s">
        <v>801</v>
      </c>
      <c r="AB47" s="50" t="s">
        <v>650</v>
      </c>
      <c r="AC47" s="50" t="s">
        <v>1085</v>
      </c>
    </row>
    <row r="48" spans="1:29" ht="22" hidden="1" customHeight="1" x14ac:dyDescent="0.2">
      <c r="A48" s="50" t="s">
        <v>766</v>
      </c>
      <c r="B48" s="50" t="s">
        <v>557</v>
      </c>
      <c r="C48" s="50" t="s">
        <v>796</v>
      </c>
      <c r="D48" s="50" t="s">
        <v>797</v>
      </c>
      <c r="E48" s="123" t="s">
        <v>940</v>
      </c>
      <c r="F48" s="50" t="s">
        <v>593</v>
      </c>
      <c r="G48" s="50" t="s">
        <v>798</v>
      </c>
      <c r="H48" s="50" t="s">
        <v>799</v>
      </c>
      <c r="I48" s="50">
        <v>2</v>
      </c>
      <c r="J48" s="50">
        <v>1800</v>
      </c>
      <c r="K48" s="50">
        <v>350</v>
      </c>
      <c r="L48" s="50">
        <v>500</v>
      </c>
      <c r="M48" s="50">
        <v>700</v>
      </c>
      <c r="N48" s="50">
        <v>0</v>
      </c>
      <c r="O48" s="114">
        <v>0.25</v>
      </c>
      <c r="P48" s="114">
        <v>0.12</v>
      </c>
      <c r="Q48" s="50">
        <v>0.4</v>
      </c>
      <c r="R48" s="50">
        <v>1.6</v>
      </c>
      <c r="S48" s="50">
        <v>0</v>
      </c>
      <c r="T48" s="50" t="s">
        <v>620</v>
      </c>
      <c r="U48" s="50" t="s">
        <v>590</v>
      </c>
      <c r="V48" s="50" t="s">
        <v>800</v>
      </c>
      <c r="W48" s="124">
        <v>46298</v>
      </c>
      <c r="X48" s="114">
        <v>0</v>
      </c>
      <c r="Y48" s="114">
        <v>0</v>
      </c>
      <c r="Z48" s="50">
        <v>0</v>
      </c>
      <c r="AA48" s="50" t="s">
        <v>801</v>
      </c>
      <c r="AB48" s="50" t="s">
        <v>650</v>
      </c>
      <c r="AC48" s="50" t="s">
        <v>1085</v>
      </c>
    </row>
    <row r="49" spans="1:29" ht="22" hidden="1" customHeight="1" x14ac:dyDescent="0.2">
      <c r="A49" s="50" t="s">
        <v>766</v>
      </c>
      <c r="B49" s="50" t="s">
        <v>558</v>
      </c>
      <c r="C49" s="50" t="s">
        <v>796</v>
      </c>
      <c r="D49" s="50" t="s">
        <v>797</v>
      </c>
      <c r="E49" s="123" t="s">
        <v>940</v>
      </c>
      <c r="F49" s="50" t="s">
        <v>593</v>
      </c>
      <c r="G49" s="50" t="s">
        <v>798</v>
      </c>
      <c r="H49" s="50" t="s">
        <v>799</v>
      </c>
      <c r="I49" s="50">
        <v>2</v>
      </c>
      <c r="J49" s="50">
        <v>1800</v>
      </c>
      <c r="K49" s="50">
        <v>350</v>
      </c>
      <c r="L49" s="50">
        <v>500</v>
      </c>
      <c r="M49" s="50">
        <v>700</v>
      </c>
      <c r="N49" s="50">
        <v>0</v>
      </c>
      <c r="O49" s="114">
        <v>0.25</v>
      </c>
      <c r="P49" s="114">
        <v>7.0000000000000007E-2</v>
      </c>
      <c r="Q49" s="50">
        <v>0.4</v>
      </c>
      <c r="R49" s="50">
        <v>1.6</v>
      </c>
      <c r="S49" s="50">
        <v>0</v>
      </c>
      <c r="T49" s="50" t="s">
        <v>620</v>
      </c>
      <c r="U49" s="50" t="s">
        <v>590</v>
      </c>
      <c r="V49" s="50" t="s">
        <v>800</v>
      </c>
      <c r="W49" s="124">
        <v>46298</v>
      </c>
      <c r="X49" s="114">
        <v>0</v>
      </c>
      <c r="Y49" s="114">
        <v>0</v>
      </c>
      <c r="Z49" s="50">
        <v>0</v>
      </c>
      <c r="AA49" s="50" t="s">
        <v>801</v>
      </c>
      <c r="AB49" s="50" t="s">
        <v>650</v>
      </c>
      <c r="AC49" s="50" t="s">
        <v>1085</v>
      </c>
    </row>
    <row r="50" spans="1:29" ht="22" hidden="1" customHeight="1" x14ac:dyDescent="0.2">
      <c r="A50" s="50" t="s">
        <v>776</v>
      </c>
      <c r="B50" s="50" t="s">
        <v>545</v>
      </c>
      <c r="C50" s="50" t="s">
        <v>796</v>
      </c>
      <c r="D50" s="50" t="s">
        <v>797</v>
      </c>
      <c r="E50" s="123" t="s">
        <v>940</v>
      </c>
      <c r="F50" s="50" t="s">
        <v>593</v>
      </c>
      <c r="G50" s="50" t="s">
        <v>798</v>
      </c>
      <c r="H50" s="50" t="s">
        <v>799</v>
      </c>
      <c r="I50" s="50">
        <v>2</v>
      </c>
      <c r="J50" s="50">
        <v>1800</v>
      </c>
      <c r="K50" s="50">
        <v>350</v>
      </c>
      <c r="L50" s="50">
        <v>500</v>
      </c>
      <c r="M50" s="50">
        <v>700</v>
      </c>
      <c r="N50" s="50">
        <v>0</v>
      </c>
      <c r="O50" s="114">
        <v>0.25</v>
      </c>
      <c r="P50" s="114">
        <v>0.04</v>
      </c>
      <c r="Q50" s="50">
        <v>0.4</v>
      </c>
      <c r="R50" s="50">
        <v>1.6</v>
      </c>
      <c r="S50" s="50">
        <v>0</v>
      </c>
      <c r="T50" s="50" t="s">
        <v>620</v>
      </c>
      <c r="U50" s="50" t="s">
        <v>590</v>
      </c>
      <c r="V50" s="50" t="s">
        <v>800</v>
      </c>
      <c r="W50" s="124">
        <v>46298</v>
      </c>
      <c r="X50" s="114">
        <v>0</v>
      </c>
      <c r="Y50" s="114">
        <v>0</v>
      </c>
      <c r="Z50" s="50">
        <v>0</v>
      </c>
      <c r="AA50" s="50" t="s">
        <v>801</v>
      </c>
      <c r="AB50" s="50" t="s">
        <v>650</v>
      </c>
      <c r="AC50" s="50" t="s">
        <v>1085</v>
      </c>
    </row>
    <row r="51" spans="1:29" ht="22" hidden="1" customHeight="1" x14ac:dyDescent="0.2">
      <c r="A51" s="50" t="s">
        <v>776</v>
      </c>
      <c r="B51" s="50" t="s">
        <v>555</v>
      </c>
      <c r="C51" s="50" t="s">
        <v>796</v>
      </c>
      <c r="D51" s="50" t="s">
        <v>797</v>
      </c>
      <c r="E51" s="123" t="s">
        <v>940</v>
      </c>
      <c r="F51" s="50" t="s">
        <v>593</v>
      </c>
      <c r="G51" s="50" t="s">
        <v>798</v>
      </c>
      <c r="H51" s="50" t="s">
        <v>799</v>
      </c>
      <c r="I51" s="50">
        <v>2</v>
      </c>
      <c r="J51" s="50">
        <v>1800</v>
      </c>
      <c r="K51" s="50">
        <v>350</v>
      </c>
      <c r="L51" s="50">
        <v>500</v>
      </c>
      <c r="M51" s="50">
        <v>700</v>
      </c>
      <c r="N51" s="50">
        <v>0</v>
      </c>
      <c r="O51" s="114">
        <v>0.25</v>
      </c>
      <c r="P51" s="114">
        <v>0.06</v>
      </c>
      <c r="Q51" s="50">
        <v>0.4</v>
      </c>
      <c r="R51" s="50">
        <v>1.6</v>
      </c>
      <c r="S51" s="50">
        <v>0</v>
      </c>
      <c r="T51" s="50" t="s">
        <v>620</v>
      </c>
      <c r="U51" s="50" t="s">
        <v>590</v>
      </c>
      <c r="V51" s="50" t="s">
        <v>800</v>
      </c>
      <c r="W51" s="124">
        <v>46298</v>
      </c>
      <c r="X51" s="114">
        <v>0</v>
      </c>
      <c r="Y51" s="114">
        <v>0</v>
      </c>
      <c r="Z51" s="50">
        <v>0</v>
      </c>
      <c r="AA51" s="50" t="s">
        <v>801</v>
      </c>
      <c r="AB51" s="50" t="s">
        <v>650</v>
      </c>
      <c r="AC51" s="50" t="s">
        <v>1085</v>
      </c>
    </row>
    <row r="52" spans="1:29" ht="22" hidden="1" customHeight="1" x14ac:dyDescent="0.2">
      <c r="A52" s="50" t="s">
        <v>776</v>
      </c>
      <c r="B52" s="50" t="s">
        <v>556</v>
      </c>
      <c r="C52" s="50" t="s">
        <v>796</v>
      </c>
      <c r="D52" s="50" t="s">
        <v>797</v>
      </c>
      <c r="E52" s="123" t="s">
        <v>940</v>
      </c>
      <c r="F52" s="50" t="s">
        <v>593</v>
      </c>
      <c r="G52" s="50" t="s">
        <v>798</v>
      </c>
      <c r="H52" s="50" t="s">
        <v>799</v>
      </c>
      <c r="I52" s="50">
        <v>2</v>
      </c>
      <c r="J52" s="50">
        <v>1800</v>
      </c>
      <c r="K52" s="50">
        <v>350</v>
      </c>
      <c r="L52" s="50">
        <v>500</v>
      </c>
      <c r="M52" s="50">
        <v>700</v>
      </c>
      <c r="N52" s="50">
        <v>0</v>
      </c>
      <c r="O52" s="114">
        <v>0.25</v>
      </c>
      <c r="P52" s="114">
        <v>0.08</v>
      </c>
      <c r="Q52" s="50">
        <v>0.4</v>
      </c>
      <c r="R52" s="50">
        <v>1.6</v>
      </c>
      <c r="S52" s="50">
        <v>0</v>
      </c>
      <c r="T52" s="50" t="s">
        <v>620</v>
      </c>
      <c r="U52" s="50" t="s">
        <v>590</v>
      </c>
      <c r="V52" s="50" t="s">
        <v>800</v>
      </c>
      <c r="W52" s="124">
        <v>46298</v>
      </c>
      <c r="X52" s="114">
        <v>0</v>
      </c>
      <c r="Y52" s="114">
        <v>0</v>
      </c>
      <c r="Z52" s="50">
        <v>0</v>
      </c>
      <c r="AA52" s="50" t="s">
        <v>801</v>
      </c>
      <c r="AB52" s="50" t="s">
        <v>650</v>
      </c>
      <c r="AC52" s="50" t="s">
        <v>1085</v>
      </c>
    </row>
    <row r="53" spans="1:29" ht="22" hidden="1" customHeight="1" x14ac:dyDescent="0.2">
      <c r="A53" s="50" t="s">
        <v>776</v>
      </c>
      <c r="B53" s="50" t="s">
        <v>557</v>
      </c>
      <c r="C53" s="50" t="s">
        <v>796</v>
      </c>
      <c r="D53" s="50" t="s">
        <v>797</v>
      </c>
      <c r="E53" s="123" t="s">
        <v>940</v>
      </c>
      <c r="F53" s="50" t="s">
        <v>593</v>
      </c>
      <c r="G53" s="50" t="s">
        <v>798</v>
      </c>
      <c r="H53" s="50" t="s">
        <v>799</v>
      </c>
      <c r="I53" s="50">
        <v>2</v>
      </c>
      <c r="J53" s="50">
        <v>1800</v>
      </c>
      <c r="K53" s="50">
        <v>350</v>
      </c>
      <c r="L53" s="50">
        <v>500</v>
      </c>
      <c r="M53" s="50">
        <v>700</v>
      </c>
      <c r="N53" s="50">
        <v>0</v>
      </c>
      <c r="O53" s="114">
        <v>0.25</v>
      </c>
      <c r="P53" s="114">
        <v>0.12</v>
      </c>
      <c r="Q53" s="50">
        <v>0.4</v>
      </c>
      <c r="R53" s="50">
        <v>1.6</v>
      </c>
      <c r="S53" s="50">
        <v>0</v>
      </c>
      <c r="T53" s="50" t="s">
        <v>620</v>
      </c>
      <c r="U53" s="50" t="s">
        <v>590</v>
      </c>
      <c r="V53" s="50" t="s">
        <v>800</v>
      </c>
      <c r="W53" s="124">
        <v>46298</v>
      </c>
      <c r="X53" s="114">
        <v>0</v>
      </c>
      <c r="Y53" s="114">
        <v>0</v>
      </c>
      <c r="Z53" s="50">
        <v>0</v>
      </c>
      <c r="AA53" s="50" t="s">
        <v>801</v>
      </c>
      <c r="AB53" s="50" t="s">
        <v>650</v>
      </c>
      <c r="AC53" s="50" t="s">
        <v>1085</v>
      </c>
    </row>
    <row r="54" spans="1:29" ht="22" hidden="1" customHeight="1" x14ac:dyDescent="0.2">
      <c r="A54" s="50" t="s">
        <v>776</v>
      </c>
      <c r="B54" s="50" t="s">
        <v>558</v>
      </c>
      <c r="C54" s="50" t="s">
        <v>796</v>
      </c>
      <c r="D54" s="50" t="s">
        <v>797</v>
      </c>
      <c r="E54" s="123" t="s">
        <v>940</v>
      </c>
      <c r="F54" s="50" t="s">
        <v>593</v>
      </c>
      <c r="G54" s="50" t="s">
        <v>798</v>
      </c>
      <c r="H54" s="50" t="s">
        <v>799</v>
      </c>
      <c r="I54" s="50">
        <v>2</v>
      </c>
      <c r="J54" s="50">
        <v>1800</v>
      </c>
      <c r="K54" s="50">
        <v>350</v>
      </c>
      <c r="L54" s="50">
        <v>500</v>
      </c>
      <c r="M54" s="50">
        <v>700</v>
      </c>
      <c r="N54" s="50">
        <v>0</v>
      </c>
      <c r="O54" s="114">
        <v>0.25</v>
      </c>
      <c r="P54" s="114">
        <v>7.0000000000000007E-2</v>
      </c>
      <c r="Q54" s="50">
        <v>0.4</v>
      </c>
      <c r="R54" s="50">
        <v>1.6</v>
      </c>
      <c r="S54" s="50">
        <v>0</v>
      </c>
      <c r="T54" s="50" t="s">
        <v>620</v>
      </c>
      <c r="U54" s="50" t="s">
        <v>590</v>
      </c>
      <c r="V54" s="50" t="s">
        <v>800</v>
      </c>
      <c r="W54" s="124">
        <v>46298</v>
      </c>
      <c r="X54" s="114">
        <v>0</v>
      </c>
      <c r="Y54" s="114">
        <v>0</v>
      </c>
      <c r="Z54" s="50">
        <v>0</v>
      </c>
      <c r="AA54" s="50" t="s">
        <v>801</v>
      </c>
      <c r="AB54" s="50" t="s">
        <v>650</v>
      </c>
      <c r="AC54" s="50" t="s">
        <v>1085</v>
      </c>
    </row>
    <row r="55" spans="1:29" ht="22" hidden="1" customHeight="1" x14ac:dyDescent="0.2">
      <c r="A55" s="50"/>
      <c r="B55" s="50"/>
      <c r="C55" s="50"/>
      <c r="D55" s="50"/>
      <c r="E55" s="50"/>
      <c r="F55" s="50"/>
      <c r="G55" s="50"/>
      <c r="H55" s="50"/>
      <c r="I55" s="50"/>
      <c r="J55" s="50"/>
      <c r="K55" s="50"/>
      <c r="L55" s="50"/>
      <c r="M55" s="50"/>
      <c r="N55" s="50"/>
      <c r="O55" s="51"/>
      <c r="P55" s="51"/>
      <c r="Q55" s="50"/>
      <c r="R55" s="50"/>
      <c r="S55" s="50"/>
      <c r="T55" s="50"/>
      <c r="U55" s="50"/>
      <c r="V55" s="50"/>
      <c r="W55" s="50"/>
      <c r="X55" s="51"/>
      <c r="Y55" s="51"/>
      <c r="Z55" s="50"/>
      <c r="AA55" s="50"/>
      <c r="AB55" s="50"/>
      <c r="AC55" s="50"/>
    </row>
    <row r="56" spans="1:29" ht="22" hidden="1" customHeight="1" x14ac:dyDescent="0.2">
      <c r="A56" s="50"/>
      <c r="B56" s="50"/>
      <c r="C56" s="50"/>
      <c r="D56" s="50"/>
      <c r="E56" s="50"/>
      <c r="F56" s="50"/>
      <c r="G56" s="50"/>
      <c r="H56" s="50"/>
      <c r="I56" s="50"/>
      <c r="J56" s="50"/>
      <c r="K56" s="50"/>
      <c r="L56" s="50"/>
      <c r="M56" s="50"/>
      <c r="N56" s="50"/>
      <c r="O56" s="51"/>
      <c r="P56" s="51"/>
      <c r="Q56" s="50"/>
      <c r="R56" s="50"/>
      <c r="S56" s="50"/>
      <c r="T56" s="50"/>
      <c r="U56" s="50"/>
      <c r="V56" s="50"/>
      <c r="W56" s="50"/>
      <c r="X56" s="51"/>
      <c r="Y56" s="51"/>
      <c r="Z56" s="50"/>
      <c r="AA56" s="50"/>
      <c r="AB56" s="50"/>
      <c r="AC56" s="50"/>
    </row>
    <row r="57" spans="1:29" ht="22" hidden="1" customHeight="1" x14ac:dyDescent="0.2">
      <c r="A57" s="50"/>
      <c r="B57" s="50"/>
      <c r="C57" s="50"/>
      <c r="D57" s="50"/>
      <c r="E57" s="50"/>
      <c r="F57" s="50"/>
      <c r="G57" s="50"/>
      <c r="H57" s="50"/>
      <c r="I57" s="50"/>
      <c r="J57" s="50"/>
      <c r="K57" s="50"/>
      <c r="L57" s="50"/>
      <c r="M57" s="50"/>
      <c r="N57" s="50"/>
      <c r="O57" s="51"/>
      <c r="P57" s="51"/>
      <c r="Q57" s="50"/>
      <c r="R57" s="50"/>
      <c r="S57" s="50"/>
      <c r="T57" s="50"/>
      <c r="U57" s="50"/>
      <c r="V57" s="50"/>
      <c r="W57" s="50"/>
      <c r="X57" s="51"/>
      <c r="Y57" s="51"/>
      <c r="Z57" s="50"/>
      <c r="AA57" s="50"/>
      <c r="AB57" s="50"/>
      <c r="AC57" s="50"/>
    </row>
    <row r="58" spans="1:29" ht="22" hidden="1" customHeight="1" x14ac:dyDescent="0.2">
      <c r="A58" s="50"/>
      <c r="B58" s="50"/>
      <c r="C58" s="50"/>
      <c r="D58" s="50"/>
      <c r="E58" s="50"/>
      <c r="F58" s="50"/>
      <c r="G58" s="50"/>
      <c r="H58" s="50"/>
      <c r="I58" s="50"/>
      <c r="J58" s="50"/>
      <c r="K58" s="50"/>
      <c r="L58" s="50"/>
      <c r="M58" s="50"/>
      <c r="N58" s="50"/>
      <c r="O58" s="51"/>
      <c r="P58" s="51"/>
      <c r="Q58" s="50"/>
      <c r="R58" s="50"/>
      <c r="S58" s="50"/>
      <c r="T58" s="50"/>
      <c r="U58" s="50"/>
      <c r="V58" s="50"/>
      <c r="W58" s="50"/>
      <c r="X58" s="51"/>
      <c r="Y58" s="51"/>
      <c r="Z58" s="50"/>
      <c r="AA58" s="50"/>
      <c r="AB58" s="50"/>
      <c r="AC58" s="50"/>
    </row>
    <row r="59" spans="1:29" ht="22" hidden="1" customHeight="1" x14ac:dyDescent="0.2">
      <c r="A59" s="50"/>
      <c r="B59" s="50"/>
      <c r="C59" s="50"/>
      <c r="D59" s="50"/>
      <c r="E59" s="50"/>
      <c r="F59" s="50"/>
      <c r="G59" s="50"/>
      <c r="H59" s="50"/>
      <c r="I59" s="50"/>
      <c r="J59" s="50"/>
      <c r="K59" s="50"/>
      <c r="L59" s="50"/>
      <c r="M59" s="50"/>
      <c r="N59" s="50"/>
      <c r="O59" s="51"/>
      <c r="P59" s="51"/>
      <c r="Q59" s="50"/>
      <c r="R59" s="50"/>
      <c r="S59" s="50"/>
      <c r="T59" s="50"/>
      <c r="U59" s="50"/>
      <c r="V59" s="50"/>
      <c r="W59" s="50"/>
      <c r="X59" s="51"/>
      <c r="Y59" s="51"/>
      <c r="Z59" s="50"/>
      <c r="AA59" s="50"/>
      <c r="AB59" s="50"/>
      <c r="AC59" s="50"/>
    </row>
    <row r="60" spans="1:29" ht="22" hidden="1" customHeight="1" x14ac:dyDescent="0.2">
      <c r="A60" s="50"/>
      <c r="B60" s="50"/>
      <c r="C60" s="50"/>
      <c r="D60" s="50"/>
      <c r="E60" s="50"/>
      <c r="F60" s="50"/>
      <c r="G60" s="50"/>
      <c r="H60" s="50"/>
      <c r="I60" s="50"/>
      <c r="J60" s="50"/>
      <c r="K60" s="50"/>
      <c r="L60" s="50"/>
      <c r="M60" s="50"/>
      <c r="N60" s="50"/>
      <c r="O60" s="51"/>
      <c r="P60" s="51"/>
      <c r="Q60" s="50"/>
      <c r="R60" s="50"/>
      <c r="S60" s="50"/>
      <c r="T60" s="50"/>
      <c r="U60" s="50"/>
      <c r="V60" s="50"/>
      <c r="W60" s="50"/>
      <c r="X60" s="51"/>
      <c r="Y60" s="51"/>
      <c r="Z60" s="50"/>
      <c r="AA60" s="50"/>
      <c r="AB60" s="50"/>
      <c r="AC60" s="50"/>
    </row>
    <row r="61" spans="1:29" ht="22" hidden="1" customHeight="1" x14ac:dyDescent="0.2">
      <c r="A61" s="50"/>
      <c r="B61" s="50"/>
      <c r="C61" s="50"/>
      <c r="D61" s="50"/>
      <c r="E61" s="50"/>
      <c r="F61" s="50"/>
      <c r="G61" s="50"/>
      <c r="H61" s="50"/>
      <c r="I61" s="50"/>
      <c r="J61" s="50"/>
      <c r="K61" s="50"/>
      <c r="L61" s="50"/>
      <c r="M61" s="50"/>
      <c r="N61" s="50"/>
      <c r="O61" s="51"/>
      <c r="P61" s="51"/>
      <c r="Q61" s="50"/>
      <c r="R61" s="50"/>
      <c r="S61" s="50"/>
      <c r="T61" s="50"/>
      <c r="U61" s="50"/>
      <c r="V61" s="50"/>
      <c r="W61" s="50"/>
      <c r="X61" s="51"/>
      <c r="Y61" s="51"/>
      <c r="Z61" s="50"/>
      <c r="AA61" s="50"/>
      <c r="AB61" s="50"/>
      <c r="AC61" s="50"/>
    </row>
    <row r="62" spans="1:29" ht="22" hidden="1" customHeight="1" x14ac:dyDescent="0.2">
      <c r="A62" s="50"/>
      <c r="B62" s="50"/>
      <c r="C62" s="50"/>
      <c r="D62" s="50"/>
      <c r="E62" s="50"/>
      <c r="F62" s="50"/>
      <c r="G62" s="50"/>
      <c r="H62" s="50"/>
      <c r="I62" s="50"/>
      <c r="J62" s="50"/>
      <c r="K62" s="50"/>
      <c r="L62" s="50"/>
      <c r="M62" s="50"/>
      <c r="N62" s="50"/>
      <c r="O62" s="51"/>
      <c r="P62" s="51"/>
      <c r="Q62" s="50"/>
      <c r="R62" s="50"/>
      <c r="S62" s="50"/>
      <c r="T62" s="50"/>
      <c r="U62" s="50"/>
      <c r="V62" s="50"/>
      <c r="W62" s="50"/>
      <c r="X62" s="51"/>
      <c r="Y62" s="51"/>
      <c r="Z62" s="50"/>
      <c r="AA62" s="50"/>
      <c r="AB62" s="50"/>
      <c r="AC62" s="50"/>
    </row>
    <row r="63" spans="1:29" ht="22" hidden="1" customHeight="1" x14ac:dyDescent="0.2">
      <c r="A63" s="50"/>
      <c r="B63" s="50"/>
      <c r="C63" s="50"/>
      <c r="D63" s="50"/>
      <c r="E63" s="50"/>
      <c r="F63" s="50"/>
      <c r="G63" s="50"/>
      <c r="H63" s="50"/>
      <c r="I63" s="50"/>
      <c r="J63" s="50"/>
      <c r="K63" s="50"/>
      <c r="L63" s="50"/>
      <c r="M63" s="50"/>
      <c r="N63" s="50"/>
      <c r="O63" s="51"/>
      <c r="P63" s="51"/>
      <c r="Q63" s="50"/>
      <c r="R63" s="50"/>
      <c r="S63" s="50"/>
      <c r="T63" s="50"/>
      <c r="U63" s="50"/>
      <c r="V63" s="50"/>
      <c r="W63" s="50"/>
      <c r="X63" s="51"/>
      <c r="Y63" s="51"/>
      <c r="Z63" s="50"/>
      <c r="AA63" s="50"/>
      <c r="AB63" s="50"/>
      <c r="AC63" s="50"/>
    </row>
    <row r="64" spans="1:29" ht="22" hidden="1" customHeight="1" x14ac:dyDescent="0.2">
      <c r="A64" s="50"/>
      <c r="B64" s="50"/>
      <c r="C64" s="50"/>
      <c r="D64" s="50"/>
      <c r="E64" s="50"/>
      <c r="F64" s="50"/>
      <c r="G64" s="50"/>
      <c r="H64" s="50"/>
      <c r="I64" s="50"/>
      <c r="J64" s="50"/>
      <c r="K64" s="50"/>
      <c r="L64" s="50"/>
      <c r="M64" s="50"/>
      <c r="N64" s="50"/>
      <c r="O64" s="51"/>
      <c r="P64" s="51"/>
      <c r="Q64" s="50"/>
      <c r="R64" s="50"/>
      <c r="S64" s="50"/>
      <c r="T64" s="50"/>
      <c r="U64" s="50"/>
      <c r="V64" s="50"/>
      <c r="W64" s="50"/>
      <c r="X64" s="51"/>
      <c r="Y64" s="51"/>
      <c r="Z64" s="50"/>
      <c r="AA64" s="50"/>
      <c r="AB64" s="50"/>
      <c r="AC64" s="50"/>
    </row>
    <row r="65" spans="1:29" ht="22" hidden="1" customHeight="1" x14ac:dyDescent="0.2">
      <c r="A65" s="50"/>
      <c r="B65" s="50"/>
      <c r="C65" s="50"/>
      <c r="D65" s="50"/>
      <c r="E65" s="50"/>
      <c r="F65" s="50"/>
      <c r="G65" s="50"/>
      <c r="H65" s="50"/>
      <c r="I65" s="50"/>
      <c r="J65" s="50"/>
      <c r="K65" s="50"/>
      <c r="L65" s="50"/>
      <c r="M65" s="50"/>
      <c r="N65" s="50"/>
      <c r="O65" s="51"/>
      <c r="P65" s="51"/>
      <c r="Q65" s="50"/>
      <c r="R65" s="50"/>
      <c r="S65" s="50"/>
      <c r="T65" s="50"/>
      <c r="U65" s="50"/>
      <c r="V65" s="50"/>
      <c r="W65" s="50"/>
      <c r="X65" s="51"/>
      <c r="Y65" s="51"/>
      <c r="Z65" s="50"/>
      <c r="AA65" s="50"/>
      <c r="AB65" s="50"/>
      <c r="AC65" s="50"/>
    </row>
    <row r="66" spans="1:29" ht="22" hidden="1" customHeight="1" x14ac:dyDescent="0.2">
      <c r="A66" s="50"/>
      <c r="B66" s="50"/>
      <c r="C66" s="50"/>
      <c r="D66" s="50"/>
      <c r="E66" s="50"/>
      <c r="F66" s="50"/>
      <c r="G66" s="50"/>
      <c r="H66" s="50"/>
      <c r="I66" s="50"/>
      <c r="J66" s="50"/>
      <c r="K66" s="50"/>
      <c r="L66" s="50"/>
      <c r="M66" s="50"/>
      <c r="N66" s="50"/>
      <c r="O66" s="51"/>
      <c r="P66" s="51"/>
      <c r="Q66" s="50"/>
      <c r="R66" s="50"/>
      <c r="S66" s="50"/>
      <c r="T66" s="50"/>
      <c r="U66" s="50"/>
      <c r="V66" s="50"/>
      <c r="W66" s="50"/>
      <c r="X66" s="51"/>
      <c r="Y66" s="51"/>
      <c r="Z66" s="50"/>
      <c r="AA66" s="50"/>
      <c r="AB66" s="50"/>
      <c r="AC66" s="50"/>
    </row>
    <row r="67" spans="1:29" ht="22" hidden="1" customHeight="1" x14ac:dyDescent="0.2">
      <c r="A67" s="50"/>
      <c r="B67" s="50"/>
      <c r="C67" s="50"/>
      <c r="D67" s="50"/>
      <c r="E67" s="50"/>
      <c r="F67" s="50"/>
      <c r="G67" s="50"/>
      <c r="H67" s="50"/>
      <c r="I67" s="50"/>
      <c r="J67" s="50"/>
      <c r="K67" s="50"/>
      <c r="L67" s="50"/>
      <c r="M67" s="50"/>
      <c r="N67" s="50"/>
      <c r="O67" s="51"/>
      <c r="P67" s="51"/>
      <c r="Q67" s="50"/>
      <c r="R67" s="50"/>
      <c r="S67" s="50"/>
      <c r="T67" s="50"/>
      <c r="U67" s="50"/>
      <c r="V67" s="50"/>
      <c r="W67" s="50"/>
      <c r="X67" s="51"/>
      <c r="Y67" s="51"/>
      <c r="Z67" s="50"/>
      <c r="AA67" s="50"/>
      <c r="AB67" s="50"/>
      <c r="AC67" s="50"/>
    </row>
    <row r="68" spans="1:29" ht="22" hidden="1" customHeight="1" x14ac:dyDescent="0.2">
      <c r="A68" s="50"/>
      <c r="B68" s="50"/>
      <c r="C68" s="50"/>
      <c r="D68" s="50"/>
      <c r="E68" s="50"/>
      <c r="F68" s="50"/>
      <c r="G68" s="50"/>
      <c r="H68" s="50"/>
      <c r="I68" s="50"/>
      <c r="J68" s="50"/>
      <c r="K68" s="50"/>
      <c r="L68" s="50"/>
      <c r="M68" s="50"/>
      <c r="N68" s="50"/>
      <c r="O68" s="51"/>
      <c r="P68" s="51"/>
      <c r="Q68" s="50"/>
      <c r="R68" s="50"/>
      <c r="S68" s="50"/>
      <c r="T68" s="50"/>
      <c r="U68" s="50"/>
      <c r="V68" s="50"/>
      <c r="W68" s="50"/>
      <c r="X68" s="51"/>
      <c r="Y68" s="51"/>
      <c r="Z68" s="50"/>
      <c r="AA68" s="50"/>
      <c r="AB68" s="50"/>
      <c r="AC68" s="50"/>
    </row>
    <row r="69" spans="1:29" ht="22" hidden="1" customHeight="1" x14ac:dyDescent="0.2">
      <c r="A69" s="50"/>
      <c r="B69" s="50"/>
      <c r="C69" s="50"/>
      <c r="D69" s="50"/>
      <c r="E69" s="50"/>
      <c r="F69" s="50"/>
      <c r="G69" s="50"/>
      <c r="H69" s="50"/>
      <c r="I69" s="50"/>
      <c r="J69" s="50"/>
      <c r="K69" s="50"/>
      <c r="L69" s="50"/>
      <c r="M69" s="50"/>
      <c r="N69" s="50"/>
      <c r="O69" s="51"/>
      <c r="P69" s="51"/>
      <c r="Q69" s="50"/>
      <c r="R69" s="50"/>
      <c r="S69" s="50"/>
      <c r="T69" s="50"/>
      <c r="U69" s="50"/>
      <c r="V69" s="50"/>
      <c r="W69" s="50"/>
      <c r="X69" s="51"/>
      <c r="Y69" s="51"/>
      <c r="Z69" s="50"/>
      <c r="AA69" s="50"/>
      <c r="AB69" s="50"/>
      <c r="AC69" s="50"/>
    </row>
    <row r="70" spans="1:29" ht="22" hidden="1" customHeight="1" x14ac:dyDescent="0.2">
      <c r="A70" s="50"/>
      <c r="B70" s="50"/>
      <c r="C70" s="50"/>
      <c r="D70" s="50"/>
      <c r="E70" s="50"/>
      <c r="F70" s="50"/>
      <c r="G70" s="50"/>
      <c r="H70" s="50"/>
      <c r="I70" s="50"/>
      <c r="J70" s="50"/>
      <c r="K70" s="50"/>
      <c r="L70" s="50"/>
      <c r="M70" s="50"/>
      <c r="N70" s="50"/>
      <c r="O70" s="51"/>
      <c r="P70" s="51"/>
      <c r="Q70" s="50"/>
      <c r="R70" s="50"/>
      <c r="S70" s="50"/>
      <c r="T70" s="50"/>
      <c r="U70" s="50"/>
      <c r="V70" s="50"/>
      <c r="W70" s="50"/>
      <c r="X70" s="51"/>
      <c r="Y70" s="51"/>
      <c r="Z70" s="50"/>
      <c r="AA70" s="50"/>
      <c r="AB70" s="50"/>
      <c r="AC70" s="50"/>
    </row>
    <row r="71" spans="1:29" ht="22" hidden="1" customHeight="1" x14ac:dyDescent="0.2">
      <c r="A71" s="50"/>
      <c r="B71" s="50"/>
      <c r="C71" s="50"/>
      <c r="D71" s="50"/>
      <c r="E71" s="50"/>
      <c r="F71" s="50"/>
      <c r="G71" s="50"/>
      <c r="H71" s="50"/>
      <c r="I71" s="50"/>
      <c r="J71" s="50"/>
      <c r="K71" s="50"/>
      <c r="L71" s="50"/>
      <c r="M71" s="50"/>
      <c r="N71" s="50"/>
      <c r="O71" s="51"/>
      <c r="P71" s="51"/>
      <c r="Q71" s="50"/>
      <c r="R71" s="50"/>
      <c r="S71" s="50"/>
      <c r="T71" s="50"/>
      <c r="U71" s="50"/>
      <c r="V71" s="50"/>
      <c r="W71" s="50"/>
      <c r="X71" s="51"/>
      <c r="Y71" s="51"/>
      <c r="Z71" s="50"/>
      <c r="AA71" s="50"/>
      <c r="AB71" s="50"/>
      <c r="AC71" s="50"/>
    </row>
    <row r="72" spans="1:29" ht="22" hidden="1" customHeight="1" x14ac:dyDescent="0.2">
      <c r="A72" s="50"/>
      <c r="B72" s="50"/>
      <c r="C72" s="50"/>
      <c r="D72" s="50"/>
      <c r="E72" s="50"/>
      <c r="F72" s="50"/>
      <c r="G72" s="50"/>
      <c r="H72" s="50"/>
      <c r="I72" s="50"/>
      <c r="J72" s="50"/>
      <c r="K72" s="50"/>
      <c r="L72" s="50"/>
      <c r="M72" s="50"/>
      <c r="N72" s="50"/>
      <c r="O72" s="51"/>
      <c r="P72" s="51"/>
      <c r="Q72" s="50"/>
      <c r="R72" s="50"/>
      <c r="S72" s="50"/>
      <c r="T72" s="50"/>
      <c r="U72" s="50"/>
      <c r="V72" s="50"/>
      <c r="W72" s="50"/>
      <c r="X72" s="51"/>
      <c r="Y72" s="51"/>
      <c r="Z72" s="50"/>
      <c r="AA72" s="50"/>
      <c r="AB72" s="50"/>
      <c r="AC72" s="50"/>
    </row>
    <row r="73" spans="1:29" ht="22" hidden="1" customHeight="1" x14ac:dyDescent="0.2">
      <c r="A73" s="50"/>
      <c r="B73" s="50"/>
      <c r="C73" s="50"/>
      <c r="D73" s="50"/>
      <c r="E73" s="50"/>
      <c r="F73" s="50"/>
      <c r="G73" s="50"/>
      <c r="H73" s="50"/>
      <c r="I73" s="50"/>
      <c r="J73" s="50"/>
      <c r="K73" s="50"/>
      <c r="L73" s="50"/>
      <c r="M73" s="50"/>
      <c r="N73" s="50"/>
      <c r="O73" s="51"/>
      <c r="P73" s="51"/>
      <c r="Q73" s="50"/>
      <c r="R73" s="50"/>
      <c r="S73" s="50"/>
      <c r="T73" s="50"/>
      <c r="U73" s="50"/>
      <c r="V73" s="50"/>
      <c r="W73" s="50"/>
      <c r="X73" s="51"/>
      <c r="Y73" s="51"/>
      <c r="Z73" s="50"/>
      <c r="AA73" s="50"/>
      <c r="AB73" s="50"/>
      <c r="AC73" s="50"/>
    </row>
    <row r="74" spans="1:29" ht="22" hidden="1" customHeight="1" x14ac:dyDescent="0.2">
      <c r="A74" s="50"/>
      <c r="B74" s="50"/>
      <c r="C74" s="50"/>
      <c r="D74" s="50"/>
      <c r="E74" s="50"/>
      <c r="F74" s="50"/>
      <c r="G74" s="50"/>
      <c r="H74" s="50"/>
      <c r="I74" s="50"/>
      <c r="J74" s="50"/>
      <c r="K74" s="50"/>
      <c r="L74" s="50"/>
      <c r="M74" s="50"/>
      <c r="N74" s="50"/>
      <c r="O74" s="51"/>
      <c r="P74" s="51"/>
      <c r="Q74" s="50"/>
      <c r="R74" s="50"/>
      <c r="S74" s="50"/>
      <c r="T74" s="50"/>
      <c r="U74" s="50"/>
      <c r="V74" s="50"/>
      <c r="W74" s="50"/>
      <c r="X74" s="51"/>
      <c r="Y74" s="51"/>
      <c r="Z74" s="50"/>
      <c r="AA74" s="50"/>
      <c r="AB74" s="50"/>
      <c r="AC74" s="50"/>
    </row>
    <row r="75" spans="1:29" ht="22" hidden="1" customHeight="1" x14ac:dyDescent="0.2">
      <c r="A75" s="50"/>
      <c r="B75" s="50"/>
      <c r="C75" s="50"/>
      <c r="D75" s="50"/>
      <c r="E75" s="50"/>
      <c r="F75" s="50"/>
      <c r="G75" s="50"/>
      <c r="H75" s="50"/>
      <c r="I75" s="50"/>
      <c r="J75" s="50"/>
      <c r="K75" s="50"/>
      <c r="L75" s="50"/>
      <c r="M75" s="50"/>
      <c r="N75" s="50"/>
      <c r="O75" s="51"/>
      <c r="P75" s="51"/>
      <c r="Q75" s="50"/>
      <c r="R75" s="50"/>
      <c r="S75" s="50"/>
      <c r="T75" s="50"/>
      <c r="U75" s="50"/>
      <c r="V75" s="50"/>
      <c r="W75" s="50"/>
      <c r="X75" s="51"/>
      <c r="Y75" s="51"/>
      <c r="Z75" s="50"/>
      <c r="AA75" s="50"/>
      <c r="AB75" s="50"/>
      <c r="AC75" s="50"/>
    </row>
    <row r="76" spans="1:29" ht="22" hidden="1" customHeight="1" x14ac:dyDescent="0.2">
      <c r="A76" s="50"/>
      <c r="B76" s="50"/>
      <c r="C76" s="50"/>
      <c r="D76" s="50"/>
      <c r="E76" s="50"/>
      <c r="F76" s="50"/>
      <c r="G76" s="50"/>
      <c r="H76" s="50"/>
      <c r="I76" s="50"/>
      <c r="J76" s="50"/>
      <c r="K76" s="50"/>
      <c r="L76" s="50"/>
      <c r="M76" s="50"/>
      <c r="N76" s="50"/>
      <c r="O76" s="51"/>
      <c r="P76" s="51"/>
      <c r="Q76" s="50"/>
      <c r="R76" s="50"/>
      <c r="S76" s="50"/>
      <c r="T76" s="50"/>
      <c r="U76" s="50"/>
      <c r="V76" s="50"/>
      <c r="W76" s="50"/>
      <c r="X76" s="51"/>
      <c r="Y76" s="51"/>
      <c r="Z76" s="50"/>
      <c r="AA76" s="50"/>
      <c r="AB76" s="50"/>
      <c r="AC76" s="50"/>
    </row>
    <row r="77" spans="1:29" ht="22" hidden="1" customHeight="1" x14ac:dyDescent="0.2">
      <c r="A77" s="50"/>
      <c r="B77" s="50"/>
      <c r="C77" s="50"/>
      <c r="D77" s="50"/>
      <c r="E77" s="50"/>
      <c r="F77" s="50"/>
      <c r="G77" s="50"/>
      <c r="H77" s="50"/>
      <c r="I77" s="50"/>
      <c r="J77" s="50"/>
      <c r="K77" s="50"/>
      <c r="L77" s="50"/>
      <c r="M77" s="50"/>
      <c r="N77" s="50"/>
      <c r="O77" s="51"/>
      <c r="P77" s="51"/>
      <c r="Q77" s="50"/>
      <c r="R77" s="50"/>
      <c r="S77" s="50"/>
      <c r="T77" s="50"/>
      <c r="U77" s="50"/>
      <c r="V77" s="50"/>
      <c r="W77" s="50"/>
      <c r="X77" s="51"/>
      <c r="Y77" s="51"/>
      <c r="Z77" s="50"/>
      <c r="AA77" s="50"/>
      <c r="AB77" s="50"/>
      <c r="AC77" s="50"/>
    </row>
    <row r="78" spans="1:29" ht="22" hidden="1" customHeight="1" x14ac:dyDescent="0.2">
      <c r="A78" s="50"/>
      <c r="B78" s="50"/>
      <c r="C78" s="50"/>
      <c r="D78" s="50"/>
      <c r="E78" s="50"/>
      <c r="F78" s="50"/>
      <c r="G78" s="50"/>
      <c r="H78" s="50"/>
      <c r="I78" s="50"/>
      <c r="J78" s="50"/>
      <c r="K78" s="50"/>
      <c r="L78" s="50"/>
      <c r="M78" s="50"/>
      <c r="N78" s="50"/>
      <c r="O78" s="51"/>
      <c r="P78" s="51"/>
      <c r="Q78" s="50"/>
      <c r="R78" s="50"/>
      <c r="S78" s="50"/>
      <c r="T78" s="50"/>
      <c r="U78" s="50"/>
      <c r="V78" s="50"/>
      <c r="W78" s="50"/>
      <c r="X78" s="51"/>
      <c r="Y78" s="51"/>
      <c r="Z78" s="50"/>
      <c r="AA78" s="50"/>
      <c r="AB78" s="50"/>
      <c r="AC78" s="50"/>
    </row>
    <row r="79" spans="1:29" ht="22" hidden="1" customHeight="1" x14ac:dyDescent="0.2">
      <c r="A79" s="50"/>
      <c r="B79" s="50"/>
      <c r="C79" s="50"/>
      <c r="D79" s="50"/>
      <c r="E79" s="50"/>
      <c r="F79" s="50"/>
      <c r="G79" s="50"/>
      <c r="H79" s="50"/>
      <c r="I79" s="50"/>
      <c r="J79" s="50"/>
      <c r="K79" s="50"/>
      <c r="L79" s="50"/>
      <c r="M79" s="50"/>
      <c r="N79" s="50"/>
      <c r="O79" s="51"/>
      <c r="P79" s="51"/>
      <c r="Q79" s="50"/>
      <c r="R79" s="50"/>
      <c r="S79" s="50"/>
      <c r="T79" s="50"/>
      <c r="U79" s="50"/>
      <c r="V79" s="50"/>
      <c r="W79" s="50"/>
      <c r="X79" s="51"/>
      <c r="Y79" s="51"/>
      <c r="Z79" s="50"/>
      <c r="AA79" s="50"/>
      <c r="AB79" s="50"/>
      <c r="AC79" s="50"/>
    </row>
    <row r="80" spans="1:29" ht="22" hidden="1" customHeight="1" x14ac:dyDescent="0.2">
      <c r="A80" s="50"/>
      <c r="B80" s="50"/>
      <c r="C80" s="50"/>
      <c r="D80" s="50"/>
      <c r="E80" s="50"/>
      <c r="F80" s="50"/>
      <c r="G80" s="50"/>
      <c r="H80" s="50"/>
      <c r="I80" s="50"/>
      <c r="J80" s="50"/>
      <c r="K80" s="50"/>
      <c r="L80" s="50"/>
      <c r="M80" s="50"/>
      <c r="N80" s="50"/>
      <c r="O80" s="51"/>
      <c r="P80" s="51"/>
      <c r="Q80" s="50"/>
      <c r="R80" s="50"/>
      <c r="S80" s="50"/>
      <c r="T80" s="50"/>
      <c r="U80" s="50"/>
      <c r="V80" s="50"/>
      <c r="W80" s="50"/>
      <c r="X80" s="51"/>
      <c r="Y80" s="51"/>
      <c r="Z80" s="50"/>
      <c r="AA80" s="50"/>
      <c r="AB80" s="50"/>
      <c r="AC80" s="50"/>
    </row>
    <row r="81" spans="1:29" ht="22" hidden="1" customHeight="1" x14ac:dyDescent="0.2">
      <c r="A81" s="50"/>
      <c r="B81" s="50"/>
      <c r="C81" s="50"/>
      <c r="D81" s="50"/>
      <c r="E81" s="50"/>
      <c r="F81" s="50"/>
      <c r="G81" s="50"/>
      <c r="H81" s="50"/>
      <c r="I81" s="50"/>
      <c r="J81" s="50"/>
      <c r="K81" s="50"/>
      <c r="L81" s="50"/>
      <c r="M81" s="50"/>
      <c r="N81" s="50"/>
      <c r="O81" s="51"/>
      <c r="P81" s="51"/>
      <c r="Q81" s="50"/>
      <c r="R81" s="50"/>
      <c r="S81" s="50"/>
      <c r="T81" s="50"/>
      <c r="U81" s="50"/>
      <c r="V81" s="50"/>
      <c r="W81" s="50"/>
      <c r="X81" s="51"/>
      <c r="Y81" s="51"/>
      <c r="Z81" s="50"/>
      <c r="AA81" s="50"/>
      <c r="AB81" s="50"/>
      <c r="AC81" s="50"/>
    </row>
    <row r="82" spans="1:29" ht="22" hidden="1" customHeight="1" x14ac:dyDescent="0.2">
      <c r="A82" s="50"/>
      <c r="B82" s="50"/>
      <c r="C82" s="50"/>
      <c r="D82" s="50"/>
      <c r="E82" s="50"/>
      <c r="F82" s="50"/>
      <c r="G82" s="50"/>
      <c r="H82" s="50"/>
      <c r="I82" s="50"/>
      <c r="J82" s="50"/>
      <c r="K82" s="50"/>
      <c r="L82" s="50"/>
      <c r="M82" s="50"/>
      <c r="N82" s="50"/>
      <c r="O82" s="51"/>
      <c r="P82" s="51"/>
      <c r="Q82" s="50"/>
      <c r="R82" s="50"/>
      <c r="S82" s="50"/>
      <c r="T82" s="50"/>
      <c r="U82" s="50"/>
      <c r="V82" s="50"/>
      <c r="W82" s="50"/>
      <c r="X82" s="51"/>
      <c r="Y82" s="51"/>
      <c r="Z82" s="50"/>
      <c r="AA82" s="50"/>
      <c r="AB82" s="50"/>
      <c r="AC82" s="50"/>
    </row>
    <row r="83" spans="1:29" ht="22" hidden="1" customHeight="1" x14ac:dyDescent="0.2">
      <c r="A83" s="50"/>
      <c r="B83" s="50"/>
      <c r="C83" s="50"/>
      <c r="D83" s="50"/>
      <c r="E83" s="50"/>
      <c r="F83" s="50"/>
      <c r="G83" s="50"/>
      <c r="H83" s="50"/>
      <c r="I83" s="50"/>
      <c r="J83" s="50"/>
      <c r="K83" s="50"/>
      <c r="L83" s="50"/>
      <c r="M83" s="50"/>
      <c r="N83" s="50"/>
      <c r="O83" s="51"/>
      <c r="P83" s="51"/>
      <c r="Q83" s="50"/>
      <c r="R83" s="50"/>
      <c r="S83" s="50"/>
      <c r="T83" s="50"/>
      <c r="U83" s="50"/>
      <c r="V83" s="50"/>
      <c r="W83" s="50"/>
      <c r="X83" s="51"/>
      <c r="Y83" s="51"/>
      <c r="Z83" s="50"/>
      <c r="AA83" s="50"/>
      <c r="AB83" s="50"/>
      <c r="AC83" s="50"/>
    </row>
    <row r="84" spans="1:29" ht="22" hidden="1" customHeight="1" x14ac:dyDescent="0.2">
      <c r="A84" s="50"/>
      <c r="B84" s="50"/>
      <c r="C84" s="50"/>
      <c r="D84" s="50"/>
      <c r="E84" s="50"/>
      <c r="F84" s="50"/>
      <c r="G84" s="50"/>
      <c r="H84" s="50"/>
      <c r="I84" s="50"/>
      <c r="J84" s="50"/>
      <c r="K84" s="50"/>
      <c r="L84" s="50"/>
      <c r="M84" s="50"/>
      <c r="N84" s="50"/>
      <c r="O84" s="51"/>
      <c r="P84" s="51"/>
      <c r="Q84" s="50"/>
      <c r="R84" s="50"/>
      <c r="S84" s="50"/>
      <c r="T84" s="50"/>
      <c r="U84" s="50"/>
      <c r="V84" s="50"/>
      <c r="W84" s="50"/>
      <c r="X84" s="51"/>
      <c r="Y84" s="51"/>
      <c r="Z84" s="50"/>
      <c r="AA84" s="50"/>
      <c r="AB84" s="50"/>
      <c r="AC84" s="50"/>
    </row>
    <row r="85" spans="1:29" ht="22" hidden="1" customHeight="1" x14ac:dyDescent="0.2">
      <c r="A85" s="50"/>
      <c r="B85" s="50"/>
      <c r="C85" s="50"/>
      <c r="D85" s="50"/>
      <c r="E85" s="50"/>
      <c r="F85" s="50"/>
      <c r="G85" s="50"/>
      <c r="H85" s="50"/>
      <c r="I85" s="50"/>
      <c r="J85" s="50"/>
      <c r="K85" s="50"/>
      <c r="L85" s="50"/>
      <c r="M85" s="50"/>
      <c r="N85" s="50"/>
      <c r="O85" s="51"/>
      <c r="P85" s="51"/>
      <c r="Q85" s="50"/>
      <c r="R85" s="50"/>
      <c r="S85" s="50"/>
      <c r="T85" s="50"/>
      <c r="U85" s="50"/>
      <c r="V85" s="50"/>
      <c r="W85" s="50"/>
      <c r="X85" s="51"/>
      <c r="Y85" s="51"/>
      <c r="Z85" s="50"/>
      <c r="AA85" s="50"/>
      <c r="AB85" s="50"/>
      <c r="AC85" s="50"/>
    </row>
    <row r="86" spans="1:29" ht="22" hidden="1" customHeight="1" x14ac:dyDescent="0.2">
      <c r="A86" s="50"/>
      <c r="B86" s="50"/>
      <c r="C86" s="50"/>
      <c r="D86" s="50"/>
      <c r="E86" s="50"/>
      <c r="F86" s="50"/>
      <c r="G86" s="50"/>
      <c r="H86" s="50"/>
      <c r="I86" s="50"/>
      <c r="J86" s="50"/>
      <c r="K86" s="50"/>
      <c r="L86" s="50"/>
      <c r="M86" s="50"/>
      <c r="N86" s="50"/>
      <c r="O86" s="51"/>
      <c r="P86" s="51"/>
      <c r="Q86" s="50"/>
      <c r="R86" s="50"/>
      <c r="S86" s="50"/>
      <c r="T86" s="50"/>
      <c r="U86" s="50"/>
      <c r="V86" s="50"/>
      <c r="W86" s="50"/>
      <c r="X86" s="51"/>
      <c r="Y86" s="51"/>
      <c r="Z86" s="50"/>
      <c r="AA86" s="50"/>
      <c r="AB86" s="50"/>
      <c r="AC86" s="50"/>
    </row>
    <row r="87" spans="1:29" ht="22" hidden="1" customHeight="1" x14ac:dyDescent="0.2">
      <c r="A87" s="50"/>
      <c r="B87" s="50"/>
      <c r="C87" s="50"/>
      <c r="D87" s="50"/>
      <c r="E87" s="50"/>
      <c r="F87" s="50"/>
      <c r="G87" s="50"/>
      <c r="H87" s="50"/>
      <c r="I87" s="50"/>
      <c r="J87" s="50"/>
      <c r="K87" s="50"/>
      <c r="L87" s="50"/>
      <c r="M87" s="50"/>
      <c r="N87" s="50"/>
      <c r="O87" s="51"/>
      <c r="P87" s="51"/>
      <c r="Q87" s="50"/>
      <c r="R87" s="50"/>
      <c r="S87" s="50"/>
      <c r="T87" s="50"/>
      <c r="U87" s="50"/>
      <c r="V87" s="50"/>
      <c r="W87" s="50"/>
      <c r="X87" s="51"/>
      <c r="Y87" s="51"/>
      <c r="Z87" s="50"/>
      <c r="AA87" s="50"/>
      <c r="AB87" s="50"/>
      <c r="AC87" s="50"/>
    </row>
    <row r="88" spans="1:29" ht="22" hidden="1" customHeight="1" x14ac:dyDescent="0.2">
      <c r="A88" s="50"/>
      <c r="B88" s="50"/>
      <c r="C88" s="50"/>
      <c r="D88" s="50"/>
      <c r="E88" s="50"/>
      <c r="F88" s="50"/>
      <c r="G88" s="50"/>
      <c r="H88" s="50"/>
      <c r="I88" s="50"/>
      <c r="J88" s="50"/>
      <c r="K88" s="50"/>
      <c r="L88" s="50"/>
      <c r="M88" s="50"/>
      <c r="N88" s="50"/>
      <c r="O88" s="51"/>
      <c r="P88" s="51"/>
      <c r="Q88" s="50"/>
      <c r="R88" s="50"/>
      <c r="S88" s="50"/>
      <c r="T88" s="50"/>
      <c r="U88" s="50"/>
      <c r="V88" s="50"/>
      <c r="W88" s="50"/>
      <c r="X88" s="51"/>
      <c r="Y88" s="51"/>
      <c r="Z88" s="50"/>
      <c r="AA88" s="50"/>
      <c r="AB88" s="50"/>
      <c r="AC88" s="50"/>
    </row>
    <row r="89" spans="1:29" ht="22" hidden="1" customHeight="1" x14ac:dyDescent="0.2">
      <c r="A89" s="50"/>
      <c r="B89" s="50"/>
      <c r="C89" s="50"/>
      <c r="D89" s="50"/>
      <c r="E89" s="50"/>
      <c r="F89" s="50"/>
      <c r="G89" s="50"/>
      <c r="H89" s="50"/>
      <c r="I89" s="50"/>
      <c r="J89" s="50"/>
      <c r="K89" s="50"/>
      <c r="L89" s="50"/>
      <c r="M89" s="50"/>
      <c r="N89" s="50"/>
      <c r="O89" s="51"/>
      <c r="P89" s="51"/>
      <c r="Q89" s="50"/>
      <c r="R89" s="50"/>
      <c r="S89" s="50"/>
      <c r="T89" s="50"/>
      <c r="U89" s="50"/>
      <c r="V89" s="50"/>
      <c r="W89" s="50"/>
      <c r="X89" s="51"/>
      <c r="Y89" s="51"/>
      <c r="Z89" s="50"/>
      <c r="AA89" s="50"/>
      <c r="AB89" s="50"/>
      <c r="AC89" s="50"/>
    </row>
    <row r="90" spans="1:29" ht="22" hidden="1" customHeight="1" x14ac:dyDescent="0.2">
      <c r="A90" s="50"/>
      <c r="B90" s="50"/>
      <c r="C90" s="50"/>
      <c r="D90" s="50"/>
      <c r="E90" s="50"/>
      <c r="F90" s="50"/>
      <c r="G90" s="50"/>
      <c r="H90" s="50"/>
      <c r="I90" s="50"/>
      <c r="J90" s="50"/>
      <c r="K90" s="50"/>
      <c r="L90" s="50"/>
      <c r="M90" s="50"/>
      <c r="N90" s="50"/>
      <c r="O90" s="51"/>
      <c r="P90" s="51"/>
      <c r="Q90" s="50"/>
      <c r="R90" s="50"/>
      <c r="S90" s="50"/>
      <c r="T90" s="50"/>
      <c r="U90" s="50"/>
      <c r="V90" s="50"/>
      <c r="W90" s="50"/>
      <c r="X90" s="51"/>
      <c r="Y90" s="51"/>
      <c r="Z90" s="50"/>
      <c r="AA90" s="50"/>
      <c r="AB90" s="50"/>
      <c r="AC90" s="50"/>
    </row>
    <row r="91" spans="1:29" ht="22" hidden="1" customHeight="1" x14ac:dyDescent="0.2">
      <c r="A91" s="50"/>
      <c r="B91" s="50"/>
      <c r="C91" s="50"/>
      <c r="D91" s="50"/>
      <c r="E91" s="50"/>
      <c r="F91" s="50"/>
      <c r="G91" s="50"/>
      <c r="H91" s="50"/>
      <c r="I91" s="50"/>
      <c r="J91" s="50"/>
      <c r="K91" s="50"/>
      <c r="L91" s="50"/>
      <c r="M91" s="50"/>
      <c r="N91" s="50"/>
      <c r="O91" s="51"/>
      <c r="P91" s="51"/>
      <c r="Q91" s="50"/>
      <c r="R91" s="50"/>
      <c r="S91" s="50"/>
      <c r="T91" s="50"/>
      <c r="U91" s="50"/>
      <c r="V91" s="50"/>
      <c r="W91" s="50"/>
      <c r="X91" s="51"/>
      <c r="Y91" s="51"/>
      <c r="Z91" s="50"/>
      <c r="AA91" s="50"/>
      <c r="AB91" s="50"/>
      <c r="AC91" s="50"/>
    </row>
    <row r="92" spans="1:29" ht="22" hidden="1" customHeight="1" x14ac:dyDescent="0.2">
      <c r="A92" s="50"/>
      <c r="B92" s="50"/>
      <c r="C92" s="50"/>
      <c r="D92" s="50"/>
      <c r="E92" s="50"/>
      <c r="F92" s="50"/>
      <c r="G92" s="50"/>
      <c r="H92" s="50"/>
      <c r="I92" s="50"/>
      <c r="J92" s="50"/>
      <c r="K92" s="50"/>
      <c r="L92" s="50"/>
      <c r="M92" s="50"/>
      <c r="N92" s="50"/>
      <c r="O92" s="51"/>
      <c r="P92" s="51"/>
      <c r="Q92" s="50"/>
      <c r="R92" s="50"/>
      <c r="S92" s="50"/>
      <c r="T92" s="50"/>
      <c r="U92" s="50"/>
      <c r="V92" s="50"/>
      <c r="W92" s="50"/>
      <c r="X92" s="51"/>
      <c r="Y92" s="51"/>
      <c r="Z92" s="50"/>
      <c r="AA92" s="50"/>
      <c r="AB92" s="50"/>
      <c r="AC92" s="50"/>
    </row>
    <row r="93" spans="1:29" ht="22" hidden="1" customHeight="1" x14ac:dyDescent="0.2">
      <c r="A93" s="50"/>
      <c r="B93" s="50"/>
      <c r="C93" s="50"/>
      <c r="D93" s="50"/>
      <c r="E93" s="50"/>
      <c r="F93" s="50"/>
      <c r="G93" s="50"/>
      <c r="H93" s="50"/>
      <c r="I93" s="50"/>
      <c r="J93" s="50"/>
      <c r="K93" s="50"/>
      <c r="L93" s="50"/>
      <c r="M93" s="50"/>
      <c r="N93" s="50"/>
      <c r="O93" s="51"/>
      <c r="P93" s="51"/>
      <c r="Q93" s="50"/>
      <c r="R93" s="50"/>
      <c r="S93" s="50"/>
      <c r="T93" s="50"/>
      <c r="U93" s="50"/>
      <c r="V93" s="50"/>
      <c r="W93" s="50"/>
      <c r="X93" s="51"/>
      <c r="Y93" s="51"/>
      <c r="Z93" s="50"/>
      <c r="AA93" s="50"/>
      <c r="AB93" s="50"/>
      <c r="AC93" s="50"/>
    </row>
    <row r="94" spans="1:29" ht="22" hidden="1" customHeight="1" x14ac:dyDescent="0.2">
      <c r="A94" s="50"/>
      <c r="B94" s="50"/>
      <c r="C94" s="50"/>
      <c r="D94" s="50"/>
      <c r="E94" s="50"/>
      <c r="F94" s="50"/>
      <c r="G94" s="50"/>
      <c r="H94" s="50"/>
      <c r="I94" s="50"/>
      <c r="J94" s="50"/>
      <c r="K94" s="50"/>
      <c r="L94" s="50"/>
      <c r="M94" s="50"/>
      <c r="N94" s="50"/>
      <c r="O94" s="51"/>
      <c r="P94" s="51"/>
      <c r="Q94" s="50"/>
      <c r="R94" s="50"/>
      <c r="S94" s="50"/>
      <c r="T94" s="50"/>
      <c r="U94" s="50"/>
      <c r="V94" s="50"/>
      <c r="W94" s="50"/>
      <c r="X94" s="51"/>
      <c r="Y94" s="51"/>
      <c r="Z94" s="50"/>
      <c r="AA94" s="50"/>
      <c r="AB94" s="50"/>
      <c r="AC94" s="50"/>
    </row>
    <row r="95" spans="1:29" ht="22" hidden="1" customHeight="1" x14ac:dyDescent="0.2">
      <c r="A95" s="50"/>
      <c r="B95" s="50"/>
      <c r="C95" s="50"/>
      <c r="D95" s="50"/>
      <c r="E95" s="50"/>
      <c r="F95" s="50"/>
      <c r="G95" s="50"/>
      <c r="H95" s="50"/>
      <c r="I95" s="50"/>
      <c r="J95" s="50"/>
      <c r="K95" s="50"/>
      <c r="L95" s="50"/>
      <c r="M95" s="50"/>
      <c r="N95" s="50"/>
      <c r="O95" s="51"/>
      <c r="P95" s="51"/>
      <c r="Q95" s="50"/>
      <c r="R95" s="50"/>
      <c r="S95" s="50"/>
      <c r="T95" s="50"/>
      <c r="U95" s="50"/>
      <c r="V95" s="50"/>
      <c r="W95" s="50"/>
      <c r="X95" s="51"/>
      <c r="Y95" s="51"/>
      <c r="Z95" s="50"/>
      <c r="AA95" s="50"/>
      <c r="AB95" s="50"/>
      <c r="AC95" s="50"/>
    </row>
    <row r="96" spans="1:29" ht="22" hidden="1" customHeight="1" x14ac:dyDescent="0.2">
      <c r="A96" s="50"/>
      <c r="B96" s="50"/>
      <c r="C96" s="50"/>
      <c r="D96" s="50"/>
      <c r="E96" s="50"/>
      <c r="F96" s="50"/>
      <c r="G96" s="50"/>
      <c r="H96" s="50"/>
      <c r="I96" s="50"/>
      <c r="J96" s="50"/>
      <c r="K96" s="50"/>
      <c r="L96" s="50"/>
      <c r="M96" s="50"/>
      <c r="N96" s="50"/>
      <c r="O96" s="51"/>
      <c r="P96" s="51"/>
      <c r="Q96" s="50"/>
      <c r="R96" s="50"/>
      <c r="S96" s="50"/>
      <c r="T96" s="50"/>
      <c r="U96" s="50"/>
      <c r="V96" s="50"/>
      <c r="W96" s="50"/>
      <c r="X96" s="51"/>
      <c r="Y96" s="51"/>
      <c r="Z96" s="50"/>
      <c r="AA96" s="50"/>
      <c r="AB96" s="50"/>
      <c r="AC96" s="50"/>
    </row>
    <row r="97" spans="1:29" ht="22" hidden="1" customHeight="1" x14ac:dyDescent="0.2">
      <c r="A97" s="50"/>
      <c r="B97" s="50"/>
      <c r="C97" s="50"/>
      <c r="D97" s="50"/>
      <c r="E97" s="50"/>
      <c r="F97" s="50"/>
      <c r="G97" s="50"/>
      <c r="H97" s="50"/>
      <c r="I97" s="50"/>
      <c r="J97" s="50"/>
      <c r="K97" s="50"/>
      <c r="L97" s="50"/>
      <c r="M97" s="50"/>
      <c r="N97" s="50"/>
      <c r="O97" s="51"/>
      <c r="P97" s="51"/>
      <c r="Q97" s="50"/>
      <c r="R97" s="50"/>
      <c r="S97" s="50"/>
      <c r="T97" s="50"/>
      <c r="U97" s="50"/>
      <c r="V97" s="50"/>
      <c r="W97" s="50"/>
      <c r="X97" s="51"/>
      <c r="Y97" s="51"/>
      <c r="Z97" s="50"/>
      <c r="AA97" s="50"/>
      <c r="AB97" s="50"/>
      <c r="AC97" s="50"/>
    </row>
    <row r="98" spans="1:29" ht="22" hidden="1" customHeight="1" x14ac:dyDescent="0.2">
      <c r="A98" s="50"/>
      <c r="B98" s="50"/>
      <c r="C98" s="50"/>
      <c r="D98" s="50"/>
      <c r="E98" s="50"/>
      <c r="F98" s="50"/>
      <c r="G98" s="50"/>
      <c r="H98" s="50"/>
      <c r="I98" s="50"/>
      <c r="J98" s="50"/>
      <c r="K98" s="50"/>
      <c r="L98" s="50"/>
      <c r="M98" s="50"/>
      <c r="N98" s="50"/>
      <c r="O98" s="51"/>
      <c r="P98" s="51"/>
      <c r="Q98" s="50"/>
      <c r="R98" s="50"/>
      <c r="S98" s="50"/>
      <c r="T98" s="50"/>
      <c r="U98" s="50"/>
      <c r="V98" s="50"/>
      <c r="W98" s="50"/>
      <c r="X98" s="51"/>
      <c r="Y98" s="51"/>
      <c r="Z98" s="50"/>
      <c r="AA98" s="50"/>
      <c r="AB98" s="50"/>
      <c r="AC98" s="50"/>
    </row>
    <row r="99" spans="1:29" ht="22" hidden="1" customHeight="1" x14ac:dyDescent="0.2">
      <c r="A99" s="50"/>
      <c r="B99" s="50"/>
      <c r="C99" s="50"/>
      <c r="D99" s="50"/>
      <c r="E99" s="50"/>
      <c r="F99" s="50"/>
      <c r="G99" s="50"/>
      <c r="H99" s="50"/>
      <c r="I99" s="50"/>
      <c r="J99" s="50"/>
      <c r="K99" s="50"/>
      <c r="L99" s="50"/>
      <c r="M99" s="50"/>
      <c r="N99" s="50"/>
      <c r="O99" s="51"/>
      <c r="P99" s="51"/>
      <c r="Q99" s="50"/>
      <c r="R99" s="50"/>
      <c r="S99" s="50"/>
      <c r="T99" s="50"/>
      <c r="U99" s="50"/>
      <c r="V99" s="50"/>
      <c r="W99" s="50"/>
      <c r="X99" s="51"/>
      <c r="Y99" s="51"/>
      <c r="Z99" s="50"/>
      <c r="AA99" s="50"/>
      <c r="AB99" s="50"/>
      <c r="AC99" s="50"/>
    </row>
    <row r="100" spans="1:29" ht="22" hidden="1" customHeight="1" x14ac:dyDescent="0.2">
      <c r="A100" s="50"/>
      <c r="B100" s="50"/>
      <c r="C100" s="50"/>
      <c r="D100" s="50"/>
      <c r="E100" s="50"/>
      <c r="F100" s="50"/>
      <c r="G100" s="50"/>
      <c r="H100" s="50"/>
      <c r="I100" s="50"/>
      <c r="J100" s="50"/>
      <c r="K100" s="50"/>
      <c r="L100" s="50"/>
      <c r="M100" s="50"/>
      <c r="N100" s="50"/>
      <c r="O100" s="51"/>
      <c r="P100" s="51"/>
      <c r="Q100" s="50"/>
      <c r="R100" s="50"/>
      <c r="S100" s="50"/>
      <c r="T100" s="50"/>
      <c r="U100" s="50"/>
      <c r="V100" s="50"/>
      <c r="W100" s="50"/>
      <c r="X100" s="51"/>
      <c r="Y100" s="51"/>
      <c r="Z100" s="50"/>
      <c r="AA100" s="50"/>
      <c r="AB100" s="50"/>
      <c r="AC100" s="50"/>
    </row>
    <row r="101" spans="1:29" ht="22" hidden="1" customHeight="1" x14ac:dyDescent="0.2">
      <c r="A101" s="50"/>
      <c r="B101" s="50"/>
      <c r="C101" s="50"/>
      <c r="D101" s="50"/>
      <c r="E101" s="50"/>
      <c r="F101" s="50"/>
      <c r="G101" s="50"/>
      <c r="H101" s="50"/>
      <c r="I101" s="50"/>
      <c r="J101" s="50"/>
      <c r="K101" s="50"/>
      <c r="L101" s="50"/>
      <c r="M101" s="50"/>
      <c r="N101" s="50"/>
      <c r="O101" s="51"/>
      <c r="P101" s="51"/>
      <c r="Q101" s="50"/>
      <c r="R101" s="50"/>
      <c r="S101" s="50"/>
      <c r="T101" s="50"/>
      <c r="U101" s="50"/>
      <c r="V101" s="50"/>
      <c r="W101" s="50"/>
      <c r="X101" s="51"/>
      <c r="Y101" s="51"/>
      <c r="Z101" s="50"/>
      <c r="AA101" s="50"/>
      <c r="AB101" s="50"/>
      <c r="AC101" s="50"/>
    </row>
    <row r="102" spans="1:29" ht="22" hidden="1" customHeight="1" x14ac:dyDescent="0.2">
      <c r="A102" s="50"/>
      <c r="B102" s="50"/>
      <c r="C102" s="50"/>
      <c r="D102" s="50"/>
      <c r="E102" s="50"/>
      <c r="F102" s="50"/>
      <c r="G102" s="50"/>
      <c r="H102" s="50"/>
      <c r="I102" s="50"/>
      <c r="J102" s="50"/>
      <c r="K102" s="50"/>
      <c r="L102" s="50"/>
      <c r="M102" s="50"/>
      <c r="N102" s="50"/>
      <c r="O102" s="51"/>
      <c r="P102" s="51"/>
      <c r="Q102" s="50"/>
      <c r="R102" s="50"/>
      <c r="S102" s="50"/>
      <c r="T102" s="50"/>
      <c r="U102" s="50"/>
      <c r="V102" s="50"/>
      <c r="W102" s="50"/>
      <c r="X102" s="51"/>
      <c r="Y102" s="51"/>
      <c r="Z102" s="50"/>
      <c r="AA102" s="50"/>
      <c r="AB102" s="50"/>
      <c r="AC102" s="50"/>
    </row>
    <row r="103" spans="1:29" ht="22" hidden="1" customHeight="1" x14ac:dyDescent="0.2">
      <c r="A103" s="50"/>
      <c r="B103" s="50"/>
      <c r="C103" s="50"/>
      <c r="D103" s="50"/>
      <c r="E103" s="50"/>
      <c r="F103" s="50"/>
      <c r="G103" s="50"/>
      <c r="H103" s="50"/>
      <c r="I103" s="50"/>
      <c r="J103" s="50"/>
      <c r="K103" s="50"/>
      <c r="L103" s="50"/>
      <c r="M103" s="50"/>
      <c r="N103" s="50"/>
      <c r="O103" s="51"/>
      <c r="P103" s="51"/>
      <c r="Q103" s="50"/>
      <c r="R103" s="50"/>
      <c r="S103" s="50"/>
      <c r="T103" s="50"/>
      <c r="U103" s="50"/>
      <c r="V103" s="50"/>
      <c r="W103" s="50"/>
      <c r="X103" s="51"/>
      <c r="Y103" s="51"/>
      <c r="Z103" s="50"/>
      <c r="AA103" s="50"/>
      <c r="AB103" s="50"/>
      <c r="AC103" s="50"/>
    </row>
    <row r="104" spans="1:29" ht="22" hidden="1" customHeight="1" x14ac:dyDescent="0.2">
      <c r="A104" s="50"/>
      <c r="B104" s="50"/>
      <c r="C104" s="50"/>
      <c r="D104" s="50"/>
      <c r="E104" s="50"/>
      <c r="F104" s="50"/>
      <c r="G104" s="50"/>
      <c r="H104" s="50"/>
      <c r="I104" s="50"/>
      <c r="J104" s="50"/>
      <c r="K104" s="50"/>
      <c r="L104" s="50"/>
      <c r="M104" s="50"/>
      <c r="N104" s="50"/>
      <c r="O104" s="51"/>
      <c r="P104" s="51"/>
      <c r="Q104" s="50"/>
      <c r="R104" s="50"/>
      <c r="S104" s="50"/>
      <c r="T104" s="50"/>
      <c r="U104" s="50"/>
      <c r="V104" s="50"/>
      <c r="W104" s="50"/>
      <c r="X104" s="51"/>
      <c r="Y104" s="51"/>
      <c r="Z104" s="50"/>
      <c r="AA104" s="50"/>
      <c r="AB104" s="50"/>
      <c r="AC104" s="50"/>
    </row>
    <row r="105" spans="1:29" ht="22" hidden="1" customHeight="1" x14ac:dyDescent="0.2">
      <c r="A105" s="50"/>
      <c r="B105" s="50"/>
      <c r="C105" s="50"/>
      <c r="D105" s="50"/>
      <c r="E105" s="50"/>
      <c r="F105" s="50"/>
      <c r="G105" s="50"/>
      <c r="H105" s="50"/>
      <c r="I105" s="50"/>
      <c r="J105" s="50"/>
      <c r="K105" s="50"/>
      <c r="L105" s="50"/>
      <c r="M105" s="50"/>
      <c r="N105" s="50"/>
      <c r="O105" s="51"/>
      <c r="P105" s="51"/>
      <c r="Q105" s="50"/>
      <c r="R105" s="50"/>
      <c r="S105" s="50"/>
      <c r="T105" s="50"/>
      <c r="U105" s="50"/>
      <c r="V105" s="50"/>
      <c r="W105" s="50"/>
      <c r="X105" s="51"/>
      <c r="Y105" s="51"/>
      <c r="Z105" s="50"/>
      <c r="AA105" s="50"/>
      <c r="AB105" s="50"/>
      <c r="AC105" s="50"/>
    </row>
    <row r="106" spans="1:29" ht="22" hidden="1" customHeight="1" x14ac:dyDescent="0.2">
      <c r="A106" s="50"/>
      <c r="B106" s="50"/>
      <c r="C106" s="50"/>
      <c r="D106" s="50"/>
      <c r="E106" s="50"/>
      <c r="F106" s="50"/>
      <c r="G106" s="50"/>
      <c r="H106" s="50"/>
      <c r="I106" s="50"/>
      <c r="J106" s="50"/>
      <c r="K106" s="50"/>
      <c r="L106" s="50"/>
      <c r="M106" s="50"/>
      <c r="N106" s="50"/>
      <c r="O106" s="51"/>
      <c r="P106" s="51"/>
      <c r="Q106" s="50"/>
      <c r="R106" s="50"/>
      <c r="S106" s="50"/>
      <c r="T106" s="50"/>
      <c r="U106" s="50"/>
      <c r="V106" s="50"/>
      <c r="W106" s="50"/>
      <c r="X106" s="51"/>
      <c r="Y106" s="51"/>
      <c r="Z106" s="50"/>
      <c r="AA106" s="50"/>
      <c r="AB106" s="50"/>
      <c r="AC106" s="50"/>
    </row>
    <row r="107" spans="1:29" ht="22" hidden="1" customHeight="1" x14ac:dyDescent="0.2">
      <c r="A107" s="50"/>
      <c r="B107" s="50"/>
      <c r="C107" s="50"/>
      <c r="D107" s="50"/>
      <c r="E107" s="50"/>
      <c r="F107" s="50"/>
      <c r="G107" s="50"/>
      <c r="H107" s="50"/>
      <c r="I107" s="50"/>
      <c r="J107" s="50"/>
      <c r="K107" s="50"/>
      <c r="L107" s="50"/>
      <c r="M107" s="50"/>
      <c r="N107" s="50"/>
      <c r="O107" s="51"/>
      <c r="P107" s="51"/>
      <c r="Q107" s="50"/>
      <c r="R107" s="50"/>
      <c r="S107" s="50"/>
      <c r="T107" s="50"/>
      <c r="U107" s="50"/>
      <c r="V107" s="50"/>
      <c r="W107" s="50"/>
      <c r="X107" s="51"/>
      <c r="Y107" s="51"/>
      <c r="Z107" s="50"/>
      <c r="AA107" s="50"/>
      <c r="AB107" s="50"/>
      <c r="AC107" s="50"/>
    </row>
    <row r="108" spans="1:29" ht="22" hidden="1" customHeight="1" x14ac:dyDescent="0.2">
      <c r="A108" s="50"/>
      <c r="B108" s="50"/>
      <c r="C108" s="50"/>
      <c r="D108" s="50"/>
      <c r="E108" s="50"/>
      <c r="F108" s="50"/>
      <c r="G108" s="50"/>
      <c r="H108" s="50"/>
      <c r="I108" s="50"/>
      <c r="J108" s="50"/>
      <c r="K108" s="50"/>
      <c r="L108" s="50"/>
      <c r="M108" s="50"/>
      <c r="N108" s="50"/>
      <c r="O108" s="51"/>
      <c r="P108" s="51"/>
      <c r="Q108" s="50"/>
      <c r="R108" s="50"/>
      <c r="S108" s="50"/>
      <c r="T108" s="50"/>
      <c r="U108" s="50"/>
      <c r="V108" s="50"/>
      <c r="W108" s="50"/>
      <c r="X108" s="51"/>
      <c r="Y108" s="51"/>
      <c r="Z108" s="50"/>
      <c r="AA108" s="50"/>
      <c r="AB108" s="50"/>
      <c r="AC108" s="50"/>
    </row>
    <row r="109" spans="1:29" ht="22" hidden="1" customHeight="1" x14ac:dyDescent="0.2">
      <c r="A109" s="50"/>
      <c r="B109" s="50"/>
      <c r="C109" s="50"/>
      <c r="D109" s="50"/>
      <c r="E109" s="50"/>
      <c r="F109" s="50"/>
      <c r="G109" s="50"/>
      <c r="H109" s="50"/>
      <c r="I109" s="50"/>
      <c r="J109" s="50"/>
      <c r="K109" s="50"/>
      <c r="L109" s="50"/>
      <c r="M109" s="50"/>
      <c r="N109" s="50"/>
      <c r="O109" s="51"/>
      <c r="P109" s="51"/>
      <c r="Q109" s="50"/>
      <c r="R109" s="50"/>
      <c r="S109" s="50"/>
      <c r="T109" s="50"/>
      <c r="U109" s="50"/>
      <c r="V109" s="50"/>
      <c r="W109" s="50"/>
      <c r="X109" s="51"/>
      <c r="Y109" s="51"/>
      <c r="Z109" s="50"/>
      <c r="AA109" s="50"/>
      <c r="AB109" s="50"/>
      <c r="AC109" s="50"/>
    </row>
    <row r="110" spans="1:29" ht="22" hidden="1" customHeight="1" x14ac:dyDescent="0.2">
      <c r="A110" s="50"/>
      <c r="B110" s="50"/>
      <c r="C110" s="50"/>
      <c r="D110" s="50"/>
      <c r="E110" s="50"/>
      <c r="F110" s="50"/>
      <c r="G110" s="50"/>
      <c r="H110" s="50"/>
      <c r="I110" s="50"/>
      <c r="J110" s="50"/>
      <c r="K110" s="50"/>
      <c r="L110" s="50"/>
      <c r="M110" s="50"/>
      <c r="N110" s="50"/>
      <c r="O110" s="51"/>
      <c r="P110" s="51"/>
      <c r="Q110" s="50"/>
      <c r="R110" s="50"/>
      <c r="S110" s="50"/>
      <c r="T110" s="50"/>
      <c r="U110" s="50"/>
      <c r="V110" s="50"/>
      <c r="W110" s="50"/>
      <c r="X110" s="51"/>
      <c r="Y110" s="51"/>
      <c r="Z110" s="50"/>
      <c r="AA110" s="50"/>
      <c r="AB110" s="50"/>
      <c r="AC110" s="50"/>
    </row>
    <row r="111" spans="1:29" ht="22" hidden="1" customHeight="1" x14ac:dyDescent="0.2">
      <c r="A111" s="50"/>
      <c r="B111" s="50"/>
      <c r="C111" s="50"/>
      <c r="D111" s="50"/>
      <c r="E111" s="50"/>
      <c r="F111" s="50"/>
      <c r="G111" s="50"/>
      <c r="H111" s="50"/>
      <c r="I111" s="50"/>
      <c r="J111" s="50"/>
      <c r="K111" s="50"/>
      <c r="L111" s="50"/>
      <c r="M111" s="50"/>
      <c r="N111" s="50"/>
      <c r="O111" s="51"/>
      <c r="P111" s="51"/>
      <c r="Q111" s="50"/>
      <c r="R111" s="50"/>
      <c r="S111" s="50"/>
      <c r="T111" s="50"/>
      <c r="U111" s="50"/>
      <c r="V111" s="50"/>
      <c r="W111" s="50"/>
      <c r="X111" s="51"/>
      <c r="Y111" s="51"/>
      <c r="Z111" s="50"/>
      <c r="AA111" s="50"/>
      <c r="AB111" s="50"/>
      <c r="AC111" s="50"/>
    </row>
    <row r="112" spans="1:29" ht="22" hidden="1" customHeight="1" x14ac:dyDescent="0.2">
      <c r="A112" s="50"/>
      <c r="B112" s="50"/>
      <c r="C112" s="50"/>
      <c r="D112" s="50"/>
      <c r="E112" s="50"/>
      <c r="F112" s="50"/>
      <c r="G112" s="50"/>
      <c r="H112" s="50"/>
      <c r="I112" s="50"/>
      <c r="J112" s="50"/>
      <c r="K112" s="50"/>
      <c r="L112" s="50"/>
      <c r="M112" s="50"/>
      <c r="N112" s="50"/>
      <c r="O112" s="51"/>
      <c r="P112" s="51"/>
      <c r="Q112" s="50"/>
      <c r="R112" s="50"/>
      <c r="S112" s="50"/>
      <c r="T112" s="50"/>
      <c r="U112" s="50"/>
      <c r="V112" s="50"/>
      <c r="W112" s="50"/>
      <c r="X112" s="51"/>
      <c r="Y112" s="51"/>
      <c r="Z112" s="50"/>
      <c r="AA112" s="50"/>
      <c r="AB112" s="50"/>
      <c r="AC112" s="50"/>
    </row>
    <row r="113" spans="1:29" ht="22" hidden="1" customHeight="1" x14ac:dyDescent="0.2">
      <c r="A113" s="50"/>
      <c r="B113" s="50"/>
      <c r="C113" s="50"/>
      <c r="D113" s="50"/>
      <c r="E113" s="50"/>
      <c r="F113" s="50"/>
      <c r="G113" s="50"/>
      <c r="H113" s="50"/>
      <c r="I113" s="50"/>
      <c r="J113" s="50"/>
      <c r="K113" s="50"/>
      <c r="L113" s="50"/>
      <c r="M113" s="50"/>
      <c r="N113" s="50"/>
      <c r="O113" s="51"/>
      <c r="P113" s="51"/>
      <c r="Q113" s="50"/>
      <c r="R113" s="50"/>
      <c r="S113" s="50"/>
      <c r="T113" s="50"/>
      <c r="U113" s="50"/>
      <c r="V113" s="50"/>
      <c r="W113" s="50"/>
      <c r="X113" s="51"/>
      <c r="Y113" s="51"/>
      <c r="Z113" s="50"/>
      <c r="AA113" s="50"/>
      <c r="AB113" s="50"/>
      <c r="AC113" s="50"/>
    </row>
    <row r="114" spans="1:29" ht="22" hidden="1" customHeight="1" x14ac:dyDescent="0.2">
      <c r="A114" s="50"/>
      <c r="B114" s="50"/>
      <c r="C114" s="50"/>
      <c r="D114" s="50"/>
      <c r="E114" s="50"/>
      <c r="F114" s="50"/>
      <c r="G114" s="50"/>
      <c r="H114" s="50"/>
      <c r="I114" s="50"/>
      <c r="J114" s="50"/>
      <c r="K114" s="50"/>
      <c r="L114" s="50"/>
      <c r="M114" s="50"/>
      <c r="N114" s="50"/>
      <c r="O114" s="51"/>
      <c r="P114" s="51"/>
      <c r="Q114" s="50"/>
      <c r="R114" s="50"/>
      <c r="S114" s="50"/>
      <c r="T114" s="50"/>
      <c r="U114" s="50"/>
      <c r="V114" s="50"/>
      <c r="W114" s="50"/>
      <c r="X114" s="51"/>
      <c r="Y114" s="51"/>
      <c r="Z114" s="50"/>
      <c r="AA114" s="50"/>
      <c r="AB114" s="50"/>
      <c r="AC114" s="50"/>
    </row>
    <row r="115" spans="1:29" ht="22" hidden="1" customHeight="1" x14ac:dyDescent="0.2">
      <c r="A115" s="50"/>
      <c r="B115" s="50"/>
      <c r="C115" s="50"/>
      <c r="D115" s="50"/>
      <c r="E115" s="50"/>
      <c r="F115" s="50"/>
      <c r="G115" s="50"/>
      <c r="H115" s="50"/>
      <c r="I115" s="50"/>
      <c r="J115" s="50"/>
      <c r="K115" s="50"/>
      <c r="L115" s="50"/>
      <c r="M115" s="50"/>
      <c r="N115" s="50"/>
      <c r="O115" s="51"/>
      <c r="P115" s="51"/>
      <c r="Q115" s="50"/>
      <c r="R115" s="50"/>
      <c r="S115" s="50"/>
      <c r="T115" s="50"/>
      <c r="U115" s="50"/>
      <c r="V115" s="50"/>
      <c r="W115" s="50"/>
      <c r="X115" s="51"/>
      <c r="Y115" s="51"/>
      <c r="Z115" s="50"/>
      <c r="AA115" s="50"/>
      <c r="AB115" s="50"/>
      <c r="AC115" s="50"/>
    </row>
    <row r="116" spans="1:29" ht="22" hidden="1" customHeight="1" x14ac:dyDescent="0.2">
      <c r="A116" s="50"/>
      <c r="B116" s="50"/>
      <c r="C116" s="50"/>
      <c r="D116" s="50"/>
      <c r="E116" s="50"/>
      <c r="F116" s="50"/>
      <c r="G116" s="50"/>
      <c r="H116" s="50"/>
      <c r="I116" s="50"/>
      <c r="J116" s="50"/>
      <c r="K116" s="50"/>
      <c r="L116" s="50"/>
      <c r="M116" s="50"/>
      <c r="N116" s="50"/>
      <c r="O116" s="51"/>
      <c r="P116" s="51"/>
      <c r="Q116" s="50"/>
      <c r="R116" s="50"/>
      <c r="S116" s="50"/>
      <c r="T116" s="50"/>
      <c r="U116" s="50"/>
      <c r="V116" s="50"/>
      <c r="W116" s="50"/>
      <c r="X116" s="51"/>
      <c r="Y116" s="51"/>
      <c r="Z116" s="50"/>
      <c r="AA116" s="50"/>
      <c r="AB116" s="50"/>
      <c r="AC116" s="50"/>
    </row>
    <row r="117" spans="1:29" ht="22" hidden="1" customHeight="1" x14ac:dyDescent="0.2">
      <c r="A117" s="50"/>
      <c r="B117" s="50"/>
      <c r="C117" s="50"/>
      <c r="D117" s="50"/>
      <c r="E117" s="50"/>
      <c r="F117" s="50"/>
      <c r="G117" s="50"/>
      <c r="H117" s="50"/>
      <c r="I117" s="50"/>
      <c r="J117" s="50"/>
      <c r="K117" s="50"/>
      <c r="L117" s="50"/>
      <c r="M117" s="50"/>
      <c r="N117" s="50"/>
      <c r="O117" s="51"/>
      <c r="P117" s="51"/>
      <c r="Q117" s="50"/>
      <c r="R117" s="50"/>
      <c r="S117" s="50"/>
      <c r="T117" s="50"/>
      <c r="U117" s="50"/>
      <c r="V117" s="50"/>
      <c r="W117" s="50"/>
      <c r="X117" s="51"/>
      <c r="Y117" s="51"/>
      <c r="Z117" s="50"/>
      <c r="AA117" s="50"/>
      <c r="AB117" s="50"/>
      <c r="AC117" s="50"/>
    </row>
    <row r="118" spans="1:29" ht="22" hidden="1" customHeight="1" x14ac:dyDescent="0.2">
      <c r="A118" s="50"/>
      <c r="B118" s="50"/>
      <c r="C118" s="50"/>
      <c r="D118" s="50"/>
      <c r="E118" s="50"/>
      <c r="F118" s="50"/>
      <c r="G118" s="50"/>
      <c r="H118" s="50"/>
      <c r="I118" s="50"/>
      <c r="J118" s="50"/>
      <c r="K118" s="50"/>
      <c r="L118" s="50"/>
      <c r="M118" s="50"/>
      <c r="N118" s="50"/>
      <c r="O118" s="51"/>
      <c r="P118" s="51"/>
      <c r="Q118" s="50"/>
      <c r="R118" s="50"/>
      <c r="S118" s="50"/>
      <c r="T118" s="50"/>
      <c r="U118" s="50"/>
      <c r="V118" s="50"/>
      <c r="W118" s="50"/>
      <c r="X118" s="51"/>
      <c r="Y118" s="51"/>
      <c r="Z118" s="50"/>
      <c r="AA118" s="50"/>
      <c r="AB118" s="50"/>
      <c r="AC118" s="50"/>
    </row>
    <row r="119" spans="1:29" ht="22" hidden="1" customHeight="1" x14ac:dyDescent="0.2">
      <c r="A119" s="50"/>
      <c r="B119" s="50"/>
      <c r="C119" s="50"/>
      <c r="D119" s="50"/>
      <c r="E119" s="50"/>
      <c r="F119" s="50"/>
      <c r="G119" s="50"/>
      <c r="H119" s="50"/>
      <c r="I119" s="50"/>
      <c r="J119" s="50"/>
      <c r="K119" s="50"/>
      <c r="L119" s="50"/>
      <c r="M119" s="50"/>
      <c r="N119" s="50"/>
      <c r="O119" s="51"/>
      <c r="P119" s="51"/>
      <c r="Q119" s="50"/>
      <c r="R119" s="50"/>
      <c r="S119" s="50"/>
      <c r="T119" s="50"/>
      <c r="U119" s="50"/>
      <c r="V119" s="50"/>
      <c r="W119" s="50"/>
      <c r="X119" s="51"/>
      <c r="Y119" s="51"/>
      <c r="Z119" s="50"/>
      <c r="AA119" s="50"/>
      <c r="AB119" s="50"/>
      <c r="AC119" s="50"/>
    </row>
    <row r="120" spans="1:29" ht="22" hidden="1" customHeight="1" x14ac:dyDescent="0.2">
      <c r="A120" s="50"/>
      <c r="B120" s="50"/>
      <c r="C120" s="50"/>
      <c r="D120" s="50"/>
      <c r="E120" s="50"/>
      <c r="F120" s="50"/>
      <c r="G120" s="50"/>
      <c r="H120" s="50"/>
      <c r="I120" s="50"/>
      <c r="J120" s="50"/>
      <c r="K120" s="50"/>
      <c r="L120" s="50"/>
      <c r="M120" s="50"/>
      <c r="N120" s="50"/>
      <c r="O120" s="51"/>
      <c r="P120" s="51"/>
      <c r="Q120" s="50"/>
      <c r="R120" s="50"/>
      <c r="S120" s="50"/>
      <c r="T120" s="50"/>
      <c r="U120" s="50"/>
      <c r="V120" s="50"/>
      <c r="W120" s="50"/>
      <c r="X120" s="51"/>
      <c r="Y120" s="51"/>
      <c r="Z120" s="50"/>
      <c r="AA120" s="50"/>
      <c r="AB120" s="50"/>
      <c r="AC120" s="50"/>
    </row>
    <row r="121" spans="1:29" ht="22" hidden="1" customHeight="1" x14ac:dyDescent="0.2">
      <c r="A121" s="50"/>
      <c r="B121" s="50"/>
      <c r="C121" s="50"/>
      <c r="D121" s="50"/>
      <c r="E121" s="50"/>
      <c r="F121" s="50"/>
      <c r="G121" s="50"/>
      <c r="H121" s="50"/>
      <c r="I121" s="50"/>
      <c r="J121" s="50"/>
      <c r="K121" s="50"/>
      <c r="L121" s="50"/>
      <c r="M121" s="50"/>
      <c r="N121" s="50"/>
      <c r="O121" s="51"/>
      <c r="P121" s="51"/>
      <c r="Q121" s="50"/>
      <c r="R121" s="50"/>
      <c r="S121" s="50"/>
      <c r="T121" s="50"/>
      <c r="U121" s="50"/>
      <c r="V121" s="50"/>
      <c r="W121" s="50"/>
      <c r="X121" s="51"/>
      <c r="Y121" s="51"/>
      <c r="Z121" s="50"/>
      <c r="AA121" s="50"/>
      <c r="AB121" s="50"/>
      <c r="AC121" s="50"/>
    </row>
    <row r="122" spans="1:29" ht="22" hidden="1" customHeight="1" x14ac:dyDescent="0.2">
      <c r="A122" s="50"/>
      <c r="B122" s="50"/>
      <c r="C122" s="50"/>
      <c r="D122" s="50"/>
      <c r="E122" s="50"/>
      <c r="F122" s="50"/>
      <c r="G122" s="50"/>
      <c r="H122" s="50"/>
      <c r="I122" s="50"/>
      <c r="J122" s="50"/>
      <c r="K122" s="50"/>
      <c r="L122" s="50"/>
      <c r="M122" s="50"/>
      <c r="N122" s="50"/>
      <c r="O122" s="51"/>
      <c r="P122" s="51"/>
      <c r="Q122" s="50"/>
      <c r="R122" s="50"/>
      <c r="S122" s="50"/>
      <c r="T122" s="50"/>
      <c r="U122" s="50"/>
      <c r="V122" s="50"/>
      <c r="W122" s="50"/>
      <c r="X122" s="51"/>
      <c r="Y122" s="51"/>
      <c r="Z122" s="50"/>
      <c r="AA122" s="50"/>
      <c r="AB122" s="50"/>
      <c r="AC122" s="50"/>
    </row>
    <row r="123" spans="1:29" ht="22" hidden="1" customHeight="1" x14ac:dyDescent="0.2">
      <c r="A123" s="50"/>
      <c r="B123" s="50"/>
      <c r="C123" s="50"/>
      <c r="D123" s="50"/>
      <c r="E123" s="50"/>
      <c r="F123" s="50"/>
      <c r="G123" s="50"/>
      <c r="H123" s="50"/>
      <c r="I123" s="50"/>
      <c r="J123" s="50"/>
      <c r="K123" s="50"/>
      <c r="L123" s="50"/>
      <c r="M123" s="50"/>
      <c r="N123" s="50"/>
      <c r="O123" s="51"/>
      <c r="P123" s="51"/>
      <c r="Q123" s="50"/>
      <c r="R123" s="50"/>
      <c r="S123" s="50"/>
      <c r="T123" s="50"/>
      <c r="U123" s="50"/>
      <c r="V123" s="50"/>
      <c r="W123" s="50"/>
      <c r="X123" s="51"/>
      <c r="Y123" s="51"/>
      <c r="Z123" s="50"/>
      <c r="AA123" s="50"/>
      <c r="AB123" s="50"/>
      <c r="AC123" s="50"/>
    </row>
    <row r="124" spans="1:29" ht="22" hidden="1" customHeight="1" x14ac:dyDescent="0.2">
      <c r="A124" s="50"/>
      <c r="B124" s="50"/>
      <c r="C124" s="50"/>
      <c r="D124" s="50"/>
      <c r="E124" s="50"/>
      <c r="F124" s="50"/>
      <c r="G124" s="50"/>
      <c r="H124" s="50"/>
      <c r="I124" s="50"/>
      <c r="J124" s="50"/>
      <c r="K124" s="50"/>
      <c r="L124" s="50"/>
      <c r="M124" s="50"/>
      <c r="N124" s="50"/>
      <c r="O124" s="51"/>
      <c r="P124" s="51"/>
      <c r="Q124" s="50"/>
      <c r="R124" s="50"/>
      <c r="S124" s="50"/>
      <c r="T124" s="50"/>
      <c r="U124" s="50"/>
      <c r="V124" s="50"/>
      <c r="W124" s="50"/>
      <c r="X124" s="51"/>
      <c r="Y124" s="51"/>
      <c r="Z124" s="50"/>
      <c r="AA124" s="50"/>
      <c r="AB124" s="50"/>
      <c r="AC124" s="50"/>
    </row>
    <row r="125" spans="1:29" ht="22" hidden="1" customHeight="1" x14ac:dyDescent="0.2">
      <c r="A125" s="50"/>
      <c r="B125" s="50"/>
      <c r="C125" s="50"/>
      <c r="D125" s="50"/>
      <c r="E125" s="50"/>
      <c r="F125" s="50"/>
      <c r="G125" s="50"/>
      <c r="H125" s="50"/>
      <c r="I125" s="50"/>
      <c r="J125" s="50"/>
      <c r="K125" s="50"/>
      <c r="L125" s="50"/>
      <c r="M125" s="50"/>
      <c r="N125" s="50"/>
      <c r="O125" s="51"/>
      <c r="P125" s="51"/>
      <c r="Q125" s="50"/>
      <c r="R125" s="50"/>
      <c r="S125" s="50"/>
      <c r="T125" s="50"/>
      <c r="U125" s="50"/>
      <c r="V125" s="50"/>
      <c r="W125" s="50"/>
      <c r="X125" s="51"/>
      <c r="Y125" s="51"/>
      <c r="Z125" s="50"/>
      <c r="AA125" s="50"/>
      <c r="AB125" s="50"/>
      <c r="AC125" s="50"/>
    </row>
    <row r="126" spans="1:29" ht="22" hidden="1" customHeight="1" x14ac:dyDescent="0.2">
      <c r="A126" s="50"/>
      <c r="B126" s="50"/>
      <c r="C126" s="50"/>
      <c r="D126" s="50"/>
      <c r="E126" s="50"/>
      <c r="F126" s="50"/>
      <c r="G126" s="50"/>
      <c r="H126" s="50"/>
      <c r="I126" s="50"/>
      <c r="J126" s="50"/>
      <c r="K126" s="50"/>
      <c r="L126" s="50"/>
      <c r="M126" s="50"/>
      <c r="N126" s="50"/>
      <c r="O126" s="51"/>
      <c r="P126" s="51"/>
      <c r="Q126" s="50"/>
      <c r="R126" s="50"/>
      <c r="S126" s="50"/>
      <c r="T126" s="50"/>
      <c r="U126" s="50"/>
      <c r="V126" s="50"/>
      <c r="W126" s="50"/>
      <c r="X126" s="51"/>
      <c r="Y126" s="51"/>
      <c r="Z126" s="50"/>
      <c r="AA126" s="50"/>
      <c r="AB126" s="50"/>
      <c r="AC126" s="50"/>
    </row>
    <row r="127" spans="1:29" ht="22" hidden="1" customHeight="1" x14ac:dyDescent="0.2">
      <c r="A127" s="50"/>
      <c r="B127" s="50"/>
      <c r="C127" s="50"/>
      <c r="D127" s="50"/>
      <c r="E127" s="50"/>
      <c r="F127" s="50"/>
      <c r="G127" s="50"/>
      <c r="H127" s="50"/>
      <c r="I127" s="50"/>
      <c r="J127" s="50"/>
      <c r="K127" s="50"/>
      <c r="L127" s="50"/>
      <c r="M127" s="50"/>
      <c r="N127" s="50"/>
      <c r="O127" s="51"/>
      <c r="P127" s="51"/>
      <c r="Q127" s="50"/>
      <c r="R127" s="50"/>
      <c r="S127" s="50"/>
      <c r="T127" s="50"/>
      <c r="U127" s="50"/>
      <c r="V127" s="50"/>
      <c r="W127" s="50"/>
      <c r="X127" s="51"/>
      <c r="Y127" s="51"/>
      <c r="Z127" s="50"/>
      <c r="AA127" s="50"/>
      <c r="AB127" s="50"/>
      <c r="AC127" s="50"/>
    </row>
    <row r="128" spans="1:29" ht="22" hidden="1" customHeight="1" x14ac:dyDescent="0.2">
      <c r="A128" s="50"/>
      <c r="B128" s="50"/>
      <c r="C128" s="50"/>
      <c r="D128" s="50"/>
      <c r="E128" s="50"/>
      <c r="F128" s="50"/>
      <c r="G128" s="50"/>
      <c r="H128" s="50"/>
      <c r="I128" s="50"/>
      <c r="J128" s="50"/>
      <c r="K128" s="50"/>
      <c r="L128" s="50"/>
      <c r="M128" s="50"/>
      <c r="N128" s="50"/>
      <c r="O128" s="51"/>
      <c r="P128" s="51"/>
      <c r="Q128" s="50"/>
      <c r="R128" s="50"/>
      <c r="S128" s="50"/>
      <c r="T128" s="50"/>
      <c r="U128" s="50"/>
      <c r="V128" s="50"/>
      <c r="W128" s="50"/>
      <c r="X128" s="51"/>
      <c r="Y128" s="51"/>
      <c r="Z128" s="50"/>
      <c r="AA128" s="50"/>
      <c r="AB128" s="50"/>
      <c r="AC128" s="50"/>
    </row>
    <row r="129" spans="1:29" ht="22" hidden="1" customHeight="1" x14ac:dyDescent="0.2">
      <c r="A129" s="50"/>
      <c r="B129" s="50"/>
      <c r="C129" s="50"/>
      <c r="D129" s="50"/>
      <c r="E129" s="50"/>
      <c r="F129" s="50"/>
      <c r="G129" s="50"/>
      <c r="H129" s="50"/>
      <c r="I129" s="50"/>
      <c r="J129" s="50"/>
      <c r="K129" s="50"/>
      <c r="L129" s="50"/>
      <c r="M129" s="50"/>
      <c r="N129" s="50"/>
      <c r="O129" s="51"/>
      <c r="P129" s="51"/>
      <c r="Q129" s="50"/>
      <c r="R129" s="50"/>
      <c r="S129" s="50"/>
      <c r="T129" s="50"/>
      <c r="U129" s="50"/>
      <c r="V129" s="50"/>
      <c r="W129" s="50"/>
      <c r="X129" s="51"/>
      <c r="Y129" s="51"/>
      <c r="Z129" s="50"/>
      <c r="AA129" s="50"/>
      <c r="AB129" s="50"/>
      <c r="AC129" s="50"/>
    </row>
    <row r="130" spans="1:29" ht="22" hidden="1" customHeight="1" x14ac:dyDescent="0.2">
      <c r="A130" s="50"/>
      <c r="B130" s="50"/>
      <c r="C130" s="50"/>
      <c r="D130" s="50"/>
      <c r="E130" s="50"/>
      <c r="F130" s="50"/>
      <c r="G130" s="50"/>
      <c r="H130" s="50"/>
      <c r="I130" s="50"/>
      <c r="J130" s="50"/>
      <c r="K130" s="50"/>
      <c r="L130" s="50"/>
      <c r="M130" s="50"/>
      <c r="N130" s="50"/>
      <c r="O130" s="51"/>
      <c r="P130" s="51"/>
      <c r="Q130" s="50"/>
      <c r="R130" s="50"/>
      <c r="S130" s="50"/>
      <c r="T130" s="50"/>
      <c r="U130" s="50"/>
      <c r="V130" s="50"/>
      <c r="W130" s="50"/>
      <c r="X130" s="51"/>
      <c r="Y130" s="51"/>
      <c r="Z130" s="50"/>
      <c r="AA130" s="50"/>
      <c r="AB130" s="50"/>
      <c r="AC130" s="50"/>
    </row>
    <row r="131" spans="1:29" ht="22" hidden="1" customHeight="1" x14ac:dyDescent="0.2">
      <c r="A131" s="50"/>
      <c r="B131" s="50"/>
      <c r="C131" s="50"/>
      <c r="D131" s="50"/>
      <c r="E131" s="50"/>
      <c r="F131" s="50"/>
      <c r="G131" s="50"/>
      <c r="H131" s="50"/>
      <c r="I131" s="50"/>
      <c r="J131" s="50"/>
      <c r="K131" s="50"/>
      <c r="L131" s="50"/>
      <c r="M131" s="50"/>
      <c r="N131" s="50"/>
      <c r="O131" s="51"/>
      <c r="P131" s="51"/>
      <c r="Q131" s="50"/>
      <c r="R131" s="50"/>
      <c r="S131" s="50"/>
      <c r="T131" s="50"/>
      <c r="U131" s="50"/>
      <c r="V131" s="50"/>
      <c r="W131" s="50"/>
      <c r="X131" s="51"/>
      <c r="Y131" s="51"/>
      <c r="Z131" s="50"/>
      <c r="AA131" s="50"/>
      <c r="AB131" s="50"/>
      <c r="AC131" s="50"/>
    </row>
    <row r="132" spans="1:29" ht="22" hidden="1" customHeight="1" x14ac:dyDescent="0.2">
      <c r="A132" s="50"/>
      <c r="B132" s="50"/>
      <c r="C132" s="50"/>
      <c r="D132" s="50"/>
      <c r="E132" s="50"/>
      <c r="F132" s="50"/>
      <c r="G132" s="50"/>
      <c r="H132" s="50"/>
      <c r="I132" s="50"/>
      <c r="J132" s="50"/>
      <c r="K132" s="50"/>
      <c r="L132" s="50"/>
      <c r="M132" s="50"/>
      <c r="N132" s="50"/>
      <c r="O132" s="51"/>
      <c r="P132" s="51"/>
      <c r="Q132" s="50"/>
      <c r="R132" s="50"/>
      <c r="S132" s="50"/>
      <c r="T132" s="50"/>
      <c r="U132" s="50"/>
      <c r="V132" s="50"/>
      <c r="W132" s="50"/>
      <c r="X132" s="51"/>
      <c r="Y132" s="51"/>
      <c r="Z132" s="50"/>
      <c r="AA132" s="50"/>
      <c r="AB132" s="50"/>
      <c r="AC132" s="50"/>
    </row>
    <row r="133" spans="1:29" ht="22" hidden="1" customHeight="1" x14ac:dyDescent="0.2">
      <c r="A133" s="50"/>
      <c r="B133" s="50"/>
      <c r="C133" s="50"/>
      <c r="D133" s="50"/>
      <c r="E133" s="50"/>
      <c r="F133" s="50"/>
      <c r="G133" s="50"/>
      <c r="H133" s="50"/>
      <c r="I133" s="50"/>
      <c r="J133" s="50"/>
      <c r="K133" s="50"/>
      <c r="L133" s="50"/>
      <c r="M133" s="50"/>
      <c r="N133" s="50"/>
      <c r="O133" s="51"/>
      <c r="P133" s="51"/>
      <c r="Q133" s="50"/>
      <c r="R133" s="50"/>
      <c r="S133" s="50"/>
      <c r="T133" s="50"/>
      <c r="U133" s="50"/>
      <c r="V133" s="50"/>
      <c r="W133" s="50"/>
      <c r="X133" s="51"/>
      <c r="Y133" s="51"/>
      <c r="Z133" s="50"/>
      <c r="AA133" s="50"/>
      <c r="AB133" s="50"/>
      <c r="AC133" s="50"/>
    </row>
    <row r="134" spans="1:29" ht="22" hidden="1" customHeight="1" x14ac:dyDescent="0.2">
      <c r="A134" s="50"/>
      <c r="B134" s="50"/>
      <c r="C134" s="50"/>
      <c r="D134" s="50"/>
      <c r="E134" s="50"/>
      <c r="F134" s="50"/>
      <c r="G134" s="50"/>
      <c r="H134" s="50"/>
      <c r="I134" s="50"/>
      <c r="J134" s="50"/>
      <c r="K134" s="50"/>
      <c r="L134" s="50"/>
      <c r="M134" s="50"/>
      <c r="N134" s="50"/>
      <c r="O134" s="51"/>
      <c r="P134" s="51"/>
      <c r="Q134" s="50"/>
      <c r="R134" s="50"/>
      <c r="S134" s="50"/>
      <c r="T134" s="50"/>
      <c r="U134" s="50"/>
      <c r="V134" s="50"/>
      <c r="W134" s="50"/>
      <c r="X134" s="51"/>
      <c r="Y134" s="51"/>
      <c r="Z134" s="50"/>
      <c r="AA134" s="50"/>
      <c r="AB134" s="50"/>
      <c r="AC134" s="50"/>
    </row>
    <row r="135" spans="1:29" ht="22" hidden="1" customHeight="1" x14ac:dyDescent="0.2">
      <c r="A135" s="50"/>
      <c r="B135" s="50"/>
      <c r="C135" s="50"/>
      <c r="D135" s="50"/>
      <c r="E135" s="50"/>
      <c r="F135" s="50"/>
      <c r="G135" s="50"/>
      <c r="H135" s="50"/>
      <c r="I135" s="50"/>
      <c r="J135" s="50"/>
      <c r="K135" s="50"/>
      <c r="L135" s="50"/>
      <c r="M135" s="50"/>
      <c r="N135" s="50"/>
      <c r="O135" s="51"/>
      <c r="P135" s="51"/>
      <c r="Q135" s="50"/>
      <c r="R135" s="50"/>
      <c r="S135" s="50"/>
      <c r="T135" s="50"/>
      <c r="U135" s="50"/>
      <c r="V135" s="50"/>
      <c r="W135" s="50"/>
      <c r="X135" s="51"/>
      <c r="Y135" s="51"/>
      <c r="Z135" s="50"/>
      <c r="AA135" s="50"/>
      <c r="AB135" s="50"/>
      <c r="AC135" s="50"/>
    </row>
    <row r="136" spans="1:29" ht="22" hidden="1" customHeight="1" x14ac:dyDescent="0.2">
      <c r="A136" s="50"/>
      <c r="B136" s="50"/>
      <c r="C136" s="50"/>
      <c r="D136" s="50"/>
      <c r="E136" s="50"/>
      <c r="F136" s="50"/>
      <c r="G136" s="50"/>
      <c r="H136" s="50"/>
      <c r="I136" s="50"/>
      <c r="J136" s="50"/>
      <c r="K136" s="50"/>
      <c r="L136" s="50"/>
      <c r="M136" s="50"/>
      <c r="N136" s="50"/>
      <c r="O136" s="51"/>
      <c r="P136" s="51"/>
      <c r="Q136" s="50"/>
      <c r="R136" s="50"/>
      <c r="S136" s="50"/>
      <c r="T136" s="50"/>
      <c r="U136" s="50"/>
      <c r="V136" s="50"/>
      <c r="W136" s="50"/>
      <c r="X136" s="51"/>
      <c r="Y136" s="51"/>
      <c r="Z136" s="50"/>
      <c r="AA136" s="50"/>
      <c r="AB136" s="50"/>
      <c r="AC136" s="50"/>
    </row>
    <row r="137" spans="1:29" ht="22" hidden="1" customHeight="1" x14ac:dyDescent="0.2">
      <c r="A137" s="50"/>
      <c r="B137" s="50"/>
      <c r="C137" s="50"/>
      <c r="D137" s="50"/>
      <c r="E137" s="50"/>
      <c r="F137" s="50"/>
      <c r="G137" s="50"/>
      <c r="H137" s="50"/>
      <c r="I137" s="50"/>
      <c r="J137" s="50"/>
      <c r="K137" s="50"/>
      <c r="L137" s="50"/>
      <c r="M137" s="50"/>
      <c r="N137" s="50"/>
      <c r="O137" s="51"/>
      <c r="P137" s="51"/>
      <c r="Q137" s="50"/>
      <c r="R137" s="50"/>
      <c r="S137" s="50"/>
      <c r="T137" s="50"/>
      <c r="U137" s="50"/>
      <c r="V137" s="50"/>
      <c r="W137" s="50"/>
      <c r="X137" s="51"/>
      <c r="Y137" s="51"/>
      <c r="Z137" s="50"/>
      <c r="AA137" s="50"/>
      <c r="AB137" s="50"/>
      <c r="AC137" s="50"/>
    </row>
    <row r="138" spans="1:29" ht="22" hidden="1" customHeight="1" x14ac:dyDescent="0.2">
      <c r="A138" s="50"/>
      <c r="B138" s="50"/>
      <c r="C138" s="50"/>
      <c r="D138" s="50"/>
      <c r="E138" s="50"/>
      <c r="F138" s="50"/>
      <c r="G138" s="50"/>
      <c r="H138" s="50"/>
      <c r="I138" s="50"/>
      <c r="J138" s="50"/>
      <c r="K138" s="50"/>
      <c r="L138" s="50"/>
      <c r="M138" s="50"/>
      <c r="N138" s="50"/>
      <c r="O138" s="51"/>
      <c r="P138" s="51"/>
      <c r="Q138" s="50"/>
      <c r="R138" s="50"/>
      <c r="S138" s="50"/>
      <c r="T138" s="50"/>
      <c r="U138" s="50"/>
      <c r="V138" s="50"/>
      <c r="W138" s="50"/>
      <c r="X138" s="51"/>
      <c r="Y138" s="51"/>
      <c r="Z138" s="50"/>
      <c r="AA138" s="50"/>
      <c r="AB138" s="50"/>
      <c r="AC138" s="50"/>
    </row>
    <row r="139" spans="1:29" ht="22" hidden="1" customHeight="1" x14ac:dyDescent="0.2">
      <c r="A139" s="50"/>
      <c r="B139" s="50"/>
      <c r="C139" s="50"/>
      <c r="D139" s="50"/>
      <c r="E139" s="50"/>
      <c r="F139" s="50"/>
      <c r="G139" s="50"/>
      <c r="H139" s="50"/>
      <c r="I139" s="50"/>
      <c r="J139" s="50"/>
      <c r="K139" s="50"/>
      <c r="L139" s="50"/>
      <c r="M139" s="50"/>
      <c r="N139" s="50"/>
      <c r="O139" s="51"/>
      <c r="P139" s="51"/>
      <c r="Q139" s="50"/>
      <c r="R139" s="50"/>
      <c r="S139" s="50"/>
      <c r="T139" s="50"/>
      <c r="U139" s="50"/>
      <c r="V139" s="50"/>
      <c r="W139" s="50"/>
      <c r="X139" s="51"/>
      <c r="Y139" s="51"/>
      <c r="Z139" s="50"/>
      <c r="AA139" s="50"/>
      <c r="AB139" s="50"/>
      <c r="AC139" s="50"/>
    </row>
    <row r="140" spans="1:29" ht="22" hidden="1" customHeight="1" x14ac:dyDescent="0.2">
      <c r="A140" s="50"/>
      <c r="B140" s="50"/>
      <c r="C140" s="50"/>
      <c r="D140" s="50"/>
      <c r="E140" s="50"/>
      <c r="F140" s="50"/>
      <c r="G140" s="50"/>
      <c r="H140" s="50"/>
      <c r="I140" s="50"/>
      <c r="J140" s="50"/>
      <c r="K140" s="50"/>
      <c r="L140" s="50"/>
      <c r="M140" s="50"/>
      <c r="N140" s="50"/>
      <c r="O140" s="51"/>
      <c r="P140" s="51"/>
      <c r="Q140" s="50"/>
      <c r="R140" s="50"/>
      <c r="S140" s="50"/>
      <c r="T140" s="50"/>
      <c r="U140" s="50"/>
      <c r="V140" s="50"/>
      <c r="W140" s="50"/>
      <c r="X140" s="51"/>
      <c r="Y140" s="51"/>
      <c r="Z140" s="50"/>
      <c r="AA140" s="50"/>
      <c r="AB140" s="50"/>
      <c r="AC140" s="50"/>
    </row>
    <row r="141" spans="1:29" ht="22" hidden="1" customHeight="1" x14ac:dyDescent="0.2">
      <c r="A141" s="50"/>
      <c r="B141" s="50"/>
      <c r="C141" s="50"/>
      <c r="D141" s="50"/>
      <c r="E141" s="50"/>
      <c r="F141" s="50"/>
      <c r="G141" s="50"/>
      <c r="H141" s="50"/>
      <c r="I141" s="50"/>
      <c r="J141" s="50"/>
      <c r="K141" s="50"/>
      <c r="L141" s="50"/>
      <c r="M141" s="50"/>
      <c r="N141" s="50"/>
      <c r="O141" s="51"/>
      <c r="P141" s="51"/>
      <c r="Q141" s="50"/>
      <c r="R141" s="50"/>
      <c r="S141" s="50"/>
      <c r="T141" s="50"/>
      <c r="U141" s="50"/>
      <c r="V141" s="50"/>
      <c r="W141" s="50"/>
      <c r="X141" s="51"/>
      <c r="Y141" s="51"/>
      <c r="Z141" s="50"/>
      <c r="AA141" s="50"/>
      <c r="AB141" s="50"/>
      <c r="AC141" s="50"/>
    </row>
    <row r="142" spans="1:29" ht="22" hidden="1" customHeight="1" x14ac:dyDescent="0.2">
      <c r="A142" s="50"/>
      <c r="B142" s="50"/>
      <c r="C142" s="50"/>
      <c r="D142" s="50"/>
      <c r="E142" s="50"/>
      <c r="F142" s="50"/>
      <c r="G142" s="50"/>
      <c r="H142" s="50"/>
      <c r="I142" s="50"/>
      <c r="J142" s="50"/>
      <c r="K142" s="50"/>
      <c r="L142" s="50"/>
      <c r="M142" s="50"/>
      <c r="N142" s="50"/>
      <c r="O142" s="51"/>
      <c r="P142" s="51"/>
      <c r="Q142" s="50"/>
      <c r="R142" s="50"/>
      <c r="S142" s="50"/>
      <c r="T142" s="50"/>
      <c r="U142" s="50"/>
      <c r="V142" s="50"/>
      <c r="W142" s="50"/>
      <c r="X142" s="51"/>
      <c r="Y142" s="51"/>
      <c r="Z142" s="50"/>
      <c r="AA142" s="50"/>
      <c r="AB142" s="50"/>
      <c r="AC142" s="50"/>
    </row>
    <row r="143" spans="1:29" ht="22" hidden="1" customHeight="1" x14ac:dyDescent="0.2">
      <c r="A143" s="50"/>
      <c r="B143" s="50"/>
      <c r="C143" s="50"/>
      <c r="D143" s="50"/>
      <c r="E143" s="50"/>
      <c r="F143" s="50"/>
      <c r="G143" s="50"/>
      <c r="H143" s="50"/>
      <c r="I143" s="50"/>
      <c r="J143" s="50"/>
      <c r="K143" s="50"/>
      <c r="L143" s="50"/>
      <c r="M143" s="50"/>
      <c r="N143" s="50"/>
      <c r="O143" s="51"/>
      <c r="P143" s="51"/>
      <c r="Q143" s="50"/>
      <c r="R143" s="50"/>
      <c r="S143" s="50"/>
      <c r="T143" s="50"/>
      <c r="U143" s="50"/>
      <c r="V143" s="50"/>
      <c r="W143" s="50"/>
      <c r="X143" s="51"/>
      <c r="Y143" s="51"/>
      <c r="Z143" s="50"/>
      <c r="AA143" s="50"/>
      <c r="AB143" s="50"/>
      <c r="AC143" s="50"/>
    </row>
    <row r="144" spans="1:29" ht="22" hidden="1" customHeight="1" x14ac:dyDescent="0.2">
      <c r="A144" s="50"/>
      <c r="B144" s="50"/>
      <c r="C144" s="50"/>
      <c r="D144" s="50"/>
      <c r="E144" s="50"/>
      <c r="F144" s="50"/>
      <c r="G144" s="50"/>
      <c r="H144" s="50"/>
      <c r="I144" s="50"/>
      <c r="J144" s="50"/>
      <c r="K144" s="50"/>
      <c r="L144" s="50"/>
      <c r="M144" s="50"/>
      <c r="N144" s="50"/>
      <c r="O144" s="51"/>
      <c r="P144" s="51"/>
      <c r="Q144" s="50"/>
      <c r="R144" s="50"/>
      <c r="S144" s="50"/>
      <c r="T144" s="50"/>
      <c r="U144" s="50"/>
      <c r="V144" s="50"/>
      <c r="W144" s="50"/>
      <c r="X144" s="51"/>
      <c r="Y144" s="51"/>
      <c r="Z144" s="50"/>
      <c r="AA144" s="50"/>
      <c r="AB144" s="50"/>
      <c r="AC144" s="50"/>
    </row>
    <row r="145" spans="1:29" ht="22" hidden="1" customHeight="1" x14ac:dyDescent="0.2">
      <c r="A145" s="50"/>
      <c r="B145" s="50"/>
      <c r="C145" s="50"/>
      <c r="D145" s="50"/>
      <c r="E145" s="50"/>
      <c r="F145" s="50"/>
      <c r="G145" s="50"/>
      <c r="H145" s="50"/>
      <c r="I145" s="50"/>
      <c r="J145" s="50"/>
      <c r="K145" s="50"/>
      <c r="L145" s="50"/>
      <c r="M145" s="50"/>
      <c r="N145" s="50"/>
      <c r="O145" s="51"/>
      <c r="P145" s="51"/>
      <c r="Q145" s="50"/>
      <c r="R145" s="50"/>
      <c r="S145" s="50"/>
      <c r="T145" s="50"/>
      <c r="U145" s="50"/>
      <c r="V145" s="50"/>
      <c r="W145" s="50"/>
      <c r="X145" s="51"/>
      <c r="Y145" s="51"/>
      <c r="Z145" s="50"/>
      <c r="AA145" s="50"/>
      <c r="AB145" s="50"/>
      <c r="AC145" s="50"/>
    </row>
    <row r="146" spans="1:29" ht="22" hidden="1" customHeight="1" x14ac:dyDescent="0.2">
      <c r="A146" s="50"/>
      <c r="B146" s="50"/>
      <c r="C146" s="50"/>
      <c r="D146" s="50"/>
      <c r="E146" s="50"/>
      <c r="F146" s="50"/>
      <c r="G146" s="50"/>
      <c r="H146" s="50"/>
      <c r="I146" s="50"/>
      <c r="J146" s="50"/>
      <c r="K146" s="50"/>
      <c r="L146" s="50"/>
      <c r="M146" s="50"/>
      <c r="N146" s="50"/>
      <c r="O146" s="51"/>
      <c r="P146" s="51"/>
      <c r="Q146" s="50"/>
      <c r="R146" s="50"/>
      <c r="S146" s="50"/>
      <c r="T146" s="50"/>
      <c r="U146" s="50"/>
      <c r="V146" s="50"/>
      <c r="W146" s="50"/>
      <c r="X146" s="51"/>
      <c r="Y146" s="51"/>
      <c r="Z146" s="50"/>
      <c r="AA146" s="50"/>
      <c r="AB146" s="50"/>
      <c r="AC146" s="50"/>
    </row>
    <row r="147" spans="1:29" ht="22" hidden="1" customHeight="1" x14ac:dyDescent="0.2">
      <c r="A147" s="50"/>
      <c r="B147" s="50"/>
      <c r="C147" s="50"/>
      <c r="D147" s="50"/>
      <c r="E147" s="50"/>
      <c r="F147" s="50"/>
      <c r="G147" s="50"/>
      <c r="H147" s="50"/>
      <c r="I147" s="50"/>
      <c r="J147" s="50"/>
      <c r="K147" s="50"/>
      <c r="L147" s="50"/>
      <c r="M147" s="50"/>
      <c r="N147" s="50"/>
      <c r="O147" s="51"/>
      <c r="P147" s="51"/>
      <c r="Q147" s="50"/>
      <c r="R147" s="50"/>
      <c r="S147" s="50"/>
      <c r="T147" s="50"/>
      <c r="U147" s="50"/>
      <c r="V147" s="50"/>
      <c r="W147" s="50"/>
      <c r="X147" s="51"/>
      <c r="Y147" s="51"/>
      <c r="Z147" s="50"/>
      <c r="AA147" s="50"/>
      <c r="AB147" s="50"/>
      <c r="AC147" s="50"/>
    </row>
    <row r="148" spans="1:29" ht="22" hidden="1" customHeight="1" x14ac:dyDescent="0.2">
      <c r="A148" s="50"/>
      <c r="B148" s="50"/>
      <c r="C148" s="50"/>
      <c r="D148" s="50"/>
      <c r="E148" s="50"/>
      <c r="F148" s="50"/>
      <c r="G148" s="50"/>
      <c r="H148" s="50"/>
      <c r="I148" s="50"/>
      <c r="J148" s="50"/>
      <c r="K148" s="50"/>
      <c r="L148" s="50"/>
      <c r="M148" s="50"/>
      <c r="N148" s="50"/>
      <c r="O148" s="51"/>
      <c r="P148" s="51"/>
      <c r="Q148" s="50"/>
      <c r="R148" s="50"/>
      <c r="S148" s="50"/>
      <c r="T148" s="50"/>
      <c r="U148" s="50"/>
      <c r="V148" s="50"/>
      <c r="W148" s="50"/>
      <c r="X148" s="51"/>
      <c r="Y148" s="51"/>
      <c r="Z148" s="50"/>
      <c r="AA148" s="50"/>
      <c r="AB148" s="50"/>
      <c r="AC148" s="50"/>
    </row>
    <row r="149" spans="1:29" ht="22" hidden="1" customHeight="1" x14ac:dyDescent="0.2">
      <c r="A149" s="50"/>
      <c r="B149" s="50"/>
      <c r="C149" s="50"/>
      <c r="D149" s="50"/>
      <c r="E149" s="50"/>
      <c r="F149" s="50"/>
      <c r="G149" s="50"/>
      <c r="H149" s="50"/>
      <c r="I149" s="50"/>
      <c r="J149" s="50"/>
      <c r="K149" s="50"/>
      <c r="L149" s="50"/>
      <c r="M149" s="50"/>
      <c r="N149" s="50"/>
      <c r="O149" s="51"/>
      <c r="P149" s="51"/>
      <c r="Q149" s="50"/>
      <c r="R149" s="50"/>
      <c r="S149" s="50"/>
      <c r="T149" s="50"/>
      <c r="U149" s="50"/>
      <c r="V149" s="50"/>
      <c r="W149" s="50"/>
      <c r="X149" s="51"/>
      <c r="Y149" s="51"/>
      <c r="Z149" s="50"/>
      <c r="AA149" s="50"/>
      <c r="AB149" s="50"/>
      <c r="AC149" s="50"/>
    </row>
    <row r="150" spans="1:29" ht="22" hidden="1" customHeight="1" x14ac:dyDescent="0.2">
      <c r="A150" s="50"/>
      <c r="B150" s="50"/>
      <c r="C150" s="50"/>
      <c r="D150" s="50"/>
      <c r="E150" s="50"/>
      <c r="F150" s="50"/>
      <c r="G150" s="50"/>
      <c r="H150" s="50"/>
      <c r="I150" s="50"/>
      <c r="J150" s="50"/>
      <c r="K150" s="50"/>
      <c r="L150" s="50"/>
      <c r="M150" s="50"/>
      <c r="N150" s="50"/>
      <c r="O150" s="51"/>
      <c r="P150" s="51"/>
      <c r="Q150" s="50"/>
      <c r="R150" s="50"/>
      <c r="S150" s="50"/>
      <c r="T150" s="50"/>
      <c r="U150" s="50"/>
      <c r="V150" s="50"/>
      <c r="W150" s="50"/>
      <c r="X150" s="51"/>
      <c r="Y150" s="51"/>
      <c r="Z150" s="50"/>
      <c r="AA150" s="50"/>
      <c r="AB150" s="50"/>
      <c r="AC150" s="50"/>
    </row>
    <row r="151" spans="1:29" ht="22" hidden="1" customHeight="1" x14ac:dyDescent="0.2">
      <c r="A151" s="50"/>
      <c r="B151" s="50"/>
      <c r="C151" s="50"/>
      <c r="D151" s="50"/>
      <c r="E151" s="50"/>
      <c r="F151" s="50"/>
      <c r="G151" s="50"/>
      <c r="H151" s="50"/>
      <c r="I151" s="50"/>
      <c r="J151" s="50"/>
      <c r="K151" s="50"/>
      <c r="L151" s="50"/>
      <c r="M151" s="50"/>
      <c r="N151" s="50"/>
      <c r="O151" s="51"/>
      <c r="P151" s="51"/>
      <c r="Q151" s="50"/>
      <c r="R151" s="50"/>
      <c r="S151" s="50"/>
      <c r="T151" s="50"/>
      <c r="U151" s="50"/>
      <c r="V151" s="50"/>
      <c r="W151" s="50"/>
      <c r="X151" s="51"/>
      <c r="Y151" s="51"/>
      <c r="Z151" s="50"/>
      <c r="AA151" s="50"/>
      <c r="AB151" s="50"/>
      <c r="AC151" s="50"/>
    </row>
    <row r="152" spans="1:29" ht="22" hidden="1" customHeight="1" x14ac:dyDescent="0.2">
      <c r="A152" s="50"/>
      <c r="B152" s="50"/>
      <c r="C152" s="50"/>
      <c r="D152" s="50"/>
      <c r="E152" s="50"/>
      <c r="F152" s="50"/>
      <c r="G152" s="50"/>
      <c r="H152" s="50"/>
      <c r="I152" s="50"/>
      <c r="J152" s="50"/>
      <c r="K152" s="50"/>
      <c r="L152" s="50"/>
      <c r="M152" s="50"/>
      <c r="N152" s="50"/>
      <c r="O152" s="51"/>
      <c r="P152" s="51"/>
      <c r="Q152" s="50"/>
      <c r="R152" s="50"/>
      <c r="S152" s="50"/>
      <c r="T152" s="50"/>
      <c r="U152" s="50"/>
      <c r="V152" s="50"/>
      <c r="W152" s="50"/>
      <c r="X152" s="51"/>
      <c r="Y152" s="51"/>
      <c r="Z152" s="50"/>
      <c r="AA152" s="50"/>
      <c r="AB152" s="50"/>
      <c r="AC152" s="50"/>
    </row>
    <row r="153" spans="1:29" ht="22" hidden="1" customHeight="1" x14ac:dyDescent="0.2">
      <c r="A153" s="50"/>
      <c r="B153" s="50"/>
      <c r="C153" s="50"/>
      <c r="D153" s="50"/>
      <c r="E153" s="50"/>
      <c r="F153" s="50"/>
      <c r="G153" s="50"/>
      <c r="H153" s="50"/>
      <c r="I153" s="50"/>
      <c r="J153" s="50"/>
      <c r="K153" s="50"/>
      <c r="L153" s="50"/>
      <c r="M153" s="50"/>
      <c r="N153" s="50"/>
      <c r="O153" s="51"/>
      <c r="P153" s="51"/>
      <c r="Q153" s="50"/>
      <c r="R153" s="50"/>
      <c r="S153" s="50"/>
      <c r="T153" s="50"/>
      <c r="U153" s="50"/>
      <c r="V153" s="50"/>
      <c r="W153" s="50"/>
      <c r="X153" s="51"/>
      <c r="Y153" s="51"/>
      <c r="Z153" s="50"/>
      <c r="AA153" s="50"/>
      <c r="AB153" s="50"/>
      <c r="AC153" s="50"/>
    </row>
    <row r="154" spans="1:29" ht="22" hidden="1" customHeight="1" x14ac:dyDescent="0.2">
      <c r="A154" s="50"/>
      <c r="B154" s="50"/>
      <c r="C154" s="50"/>
      <c r="D154" s="50"/>
      <c r="E154" s="50"/>
      <c r="F154" s="50"/>
      <c r="G154" s="50"/>
      <c r="H154" s="50"/>
      <c r="I154" s="50"/>
      <c r="J154" s="50"/>
      <c r="K154" s="50"/>
      <c r="L154" s="50"/>
      <c r="M154" s="50"/>
      <c r="N154" s="50"/>
      <c r="O154" s="51"/>
      <c r="P154" s="51"/>
      <c r="Q154" s="50"/>
      <c r="R154" s="50"/>
      <c r="S154" s="50"/>
      <c r="T154" s="50"/>
      <c r="U154" s="50"/>
      <c r="V154" s="50"/>
      <c r="W154" s="50"/>
      <c r="X154" s="51"/>
      <c r="Y154" s="51"/>
      <c r="Z154" s="50"/>
      <c r="AA154" s="50"/>
      <c r="AB154" s="50"/>
      <c r="AC154" s="50"/>
    </row>
    <row r="155" spans="1:29" ht="22" hidden="1" customHeight="1" x14ac:dyDescent="0.2">
      <c r="A155" s="50"/>
      <c r="B155" s="50"/>
      <c r="C155" s="50"/>
      <c r="D155" s="50"/>
      <c r="E155" s="50"/>
      <c r="F155" s="50"/>
      <c r="G155" s="50"/>
      <c r="H155" s="50"/>
      <c r="I155" s="50"/>
      <c r="J155" s="50"/>
      <c r="K155" s="50"/>
      <c r="L155" s="50"/>
      <c r="M155" s="50"/>
      <c r="N155" s="50"/>
      <c r="O155" s="51"/>
      <c r="P155" s="51"/>
      <c r="Q155" s="50"/>
      <c r="R155" s="50"/>
      <c r="S155" s="50"/>
      <c r="T155" s="50"/>
      <c r="U155" s="50"/>
      <c r="V155" s="50"/>
      <c r="W155" s="50"/>
      <c r="X155" s="51"/>
      <c r="Y155" s="51"/>
      <c r="Z155" s="50"/>
      <c r="AA155" s="50"/>
      <c r="AB155" s="50"/>
      <c r="AC155" s="50"/>
    </row>
    <row r="156" spans="1:29" ht="22" hidden="1" customHeight="1" x14ac:dyDescent="0.2">
      <c r="A156" s="50"/>
      <c r="B156" s="50"/>
      <c r="C156" s="50"/>
      <c r="D156" s="50"/>
      <c r="E156" s="50"/>
      <c r="F156" s="50"/>
      <c r="G156" s="50"/>
      <c r="H156" s="50"/>
      <c r="I156" s="50"/>
      <c r="J156" s="50"/>
      <c r="K156" s="50"/>
      <c r="L156" s="50"/>
      <c r="M156" s="50"/>
      <c r="N156" s="50"/>
      <c r="O156" s="51"/>
      <c r="P156" s="51"/>
      <c r="Q156" s="50"/>
      <c r="R156" s="50"/>
      <c r="S156" s="50"/>
      <c r="T156" s="50"/>
      <c r="U156" s="50"/>
      <c r="V156" s="50"/>
      <c r="W156" s="50"/>
      <c r="X156" s="51"/>
      <c r="Y156" s="51"/>
      <c r="Z156" s="50"/>
      <c r="AA156" s="50"/>
      <c r="AB156" s="50"/>
      <c r="AC156" s="50"/>
    </row>
    <row r="157" spans="1:29" ht="22" hidden="1" customHeight="1" x14ac:dyDescent="0.2">
      <c r="A157" s="50"/>
      <c r="B157" s="50"/>
      <c r="C157" s="50"/>
      <c r="D157" s="50"/>
      <c r="E157" s="50"/>
      <c r="F157" s="50"/>
      <c r="G157" s="50"/>
      <c r="H157" s="50"/>
      <c r="I157" s="50"/>
      <c r="J157" s="50"/>
      <c r="K157" s="50"/>
      <c r="L157" s="50"/>
      <c r="M157" s="50"/>
      <c r="N157" s="50"/>
      <c r="O157" s="51"/>
      <c r="P157" s="51"/>
      <c r="Q157" s="50"/>
      <c r="R157" s="50"/>
      <c r="S157" s="50"/>
      <c r="T157" s="50"/>
      <c r="U157" s="50"/>
      <c r="V157" s="50"/>
      <c r="W157" s="50"/>
      <c r="X157" s="51"/>
      <c r="Y157" s="51"/>
      <c r="Z157" s="50"/>
      <c r="AA157" s="50"/>
      <c r="AB157" s="50"/>
      <c r="AC157" s="50"/>
    </row>
    <row r="158" spans="1:29" ht="22" hidden="1" customHeight="1" x14ac:dyDescent="0.2">
      <c r="A158" s="50"/>
      <c r="B158" s="50"/>
      <c r="C158" s="50"/>
      <c r="D158" s="50"/>
      <c r="E158" s="50"/>
      <c r="F158" s="50"/>
      <c r="G158" s="50"/>
      <c r="H158" s="50"/>
      <c r="I158" s="50"/>
      <c r="J158" s="50"/>
      <c r="K158" s="50"/>
      <c r="L158" s="50"/>
      <c r="M158" s="50"/>
      <c r="N158" s="50"/>
      <c r="O158" s="51"/>
      <c r="P158" s="51"/>
      <c r="Q158" s="50"/>
      <c r="R158" s="50"/>
      <c r="S158" s="50"/>
      <c r="T158" s="50"/>
      <c r="U158" s="50"/>
      <c r="V158" s="50"/>
      <c r="W158" s="50"/>
      <c r="X158" s="51"/>
      <c r="Y158" s="51"/>
      <c r="Z158" s="50"/>
      <c r="AA158" s="50"/>
      <c r="AB158" s="50"/>
      <c r="AC158" s="50"/>
    </row>
    <row r="159" spans="1:29" ht="22" hidden="1" customHeight="1" x14ac:dyDescent="0.2">
      <c r="A159" s="50"/>
      <c r="B159" s="50"/>
      <c r="C159" s="50"/>
      <c r="D159" s="50"/>
      <c r="E159" s="50"/>
      <c r="F159" s="50"/>
      <c r="G159" s="50"/>
      <c r="H159" s="50"/>
      <c r="I159" s="50"/>
      <c r="J159" s="50"/>
      <c r="K159" s="50"/>
      <c r="L159" s="50"/>
      <c r="M159" s="50"/>
      <c r="N159" s="50"/>
      <c r="O159" s="51"/>
      <c r="P159" s="51"/>
      <c r="Q159" s="50"/>
      <c r="R159" s="50"/>
      <c r="S159" s="50"/>
      <c r="T159" s="50"/>
      <c r="U159" s="50"/>
      <c r="V159" s="50"/>
      <c r="W159" s="50"/>
      <c r="X159" s="51"/>
      <c r="Y159" s="51"/>
      <c r="Z159" s="50"/>
      <c r="AA159" s="50"/>
      <c r="AB159" s="50"/>
      <c r="AC159" s="50"/>
    </row>
    <row r="160" spans="1:29" ht="22" hidden="1" customHeight="1" x14ac:dyDescent="0.2">
      <c r="A160" s="50"/>
      <c r="B160" s="50"/>
      <c r="C160" s="50"/>
      <c r="D160" s="50"/>
      <c r="E160" s="50"/>
      <c r="F160" s="50"/>
      <c r="G160" s="50"/>
      <c r="H160" s="50"/>
      <c r="I160" s="50"/>
      <c r="J160" s="50"/>
      <c r="K160" s="50"/>
      <c r="L160" s="50"/>
      <c r="M160" s="50"/>
      <c r="N160" s="50"/>
      <c r="O160" s="51"/>
      <c r="P160" s="51"/>
      <c r="Q160" s="50"/>
      <c r="R160" s="50"/>
      <c r="S160" s="50"/>
      <c r="T160" s="50"/>
      <c r="U160" s="50"/>
      <c r="V160" s="50"/>
      <c r="W160" s="50"/>
      <c r="X160" s="51"/>
      <c r="Y160" s="51"/>
      <c r="Z160" s="50"/>
      <c r="AA160" s="50"/>
      <c r="AB160" s="50"/>
      <c r="AC160" s="50"/>
    </row>
    <row r="161" spans="1:29" ht="22" hidden="1" customHeight="1" x14ac:dyDescent="0.2">
      <c r="A161" s="50"/>
      <c r="B161" s="50"/>
      <c r="C161" s="50"/>
      <c r="D161" s="50"/>
      <c r="E161" s="50"/>
      <c r="F161" s="50"/>
      <c r="G161" s="50"/>
      <c r="H161" s="50"/>
      <c r="I161" s="50"/>
      <c r="J161" s="50"/>
      <c r="K161" s="50"/>
      <c r="L161" s="50"/>
      <c r="M161" s="50"/>
      <c r="N161" s="50"/>
      <c r="O161" s="51"/>
      <c r="P161" s="51"/>
      <c r="Q161" s="50"/>
      <c r="R161" s="50"/>
      <c r="S161" s="50"/>
      <c r="T161" s="50"/>
      <c r="U161" s="50"/>
      <c r="V161" s="50"/>
      <c r="W161" s="50"/>
      <c r="X161" s="51"/>
      <c r="Y161" s="51"/>
      <c r="Z161" s="50"/>
      <c r="AA161" s="50"/>
      <c r="AB161" s="50"/>
      <c r="AC161" s="50"/>
    </row>
    <row r="162" spans="1:29" ht="22" hidden="1" customHeight="1" x14ac:dyDescent="0.2">
      <c r="A162" s="50"/>
      <c r="B162" s="50"/>
      <c r="C162" s="50"/>
      <c r="D162" s="50"/>
      <c r="E162" s="50"/>
      <c r="F162" s="50"/>
      <c r="G162" s="50"/>
      <c r="H162" s="50"/>
      <c r="I162" s="50"/>
      <c r="J162" s="50"/>
      <c r="K162" s="50"/>
      <c r="L162" s="50"/>
      <c r="M162" s="50"/>
      <c r="N162" s="50"/>
      <c r="O162" s="51"/>
      <c r="P162" s="51"/>
      <c r="Q162" s="50"/>
      <c r="R162" s="50"/>
      <c r="S162" s="50"/>
      <c r="T162" s="50"/>
      <c r="U162" s="50"/>
      <c r="V162" s="50"/>
      <c r="W162" s="50"/>
      <c r="X162" s="51"/>
      <c r="Y162" s="51"/>
      <c r="Z162" s="50"/>
      <c r="AA162" s="50"/>
      <c r="AB162" s="50"/>
      <c r="AC162" s="50"/>
    </row>
    <row r="163" spans="1:29" ht="22" hidden="1" customHeight="1" x14ac:dyDescent="0.2">
      <c r="A163" s="50"/>
      <c r="B163" s="50"/>
      <c r="C163" s="50"/>
      <c r="D163" s="50"/>
      <c r="E163" s="50"/>
      <c r="F163" s="50"/>
      <c r="G163" s="50"/>
      <c r="H163" s="50"/>
      <c r="I163" s="50"/>
      <c r="J163" s="50"/>
      <c r="K163" s="50"/>
      <c r="L163" s="50"/>
      <c r="M163" s="50"/>
      <c r="N163" s="50"/>
      <c r="O163" s="51"/>
      <c r="P163" s="51"/>
      <c r="Q163" s="50"/>
      <c r="R163" s="50"/>
      <c r="S163" s="50"/>
      <c r="T163" s="50"/>
      <c r="U163" s="50"/>
      <c r="V163" s="50"/>
      <c r="W163" s="50"/>
      <c r="X163" s="51"/>
      <c r="Y163" s="51"/>
      <c r="Z163" s="50"/>
      <c r="AA163" s="50"/>
      <c r="AB163" s="50"/>
      <c r="AC163" s="50"/>
    </row>
    <row r="164" spans="1:29" ht="22" hidden="1" customHeight="1" x14ac:dyDescent="0.2">
      <c r="A164" s="50"/>
      <c r="B164" s="50"/>
      <c r="C164" s="50"/>
      <c r="D164" s="50"/>
      <c r="E164" s="50"/>
      <c r="F164" s="50"/>
      <c r="G164" s="50"/>
      <c r="H164" s="50"/>
      <c r="I164" s="50"/>
      <c r="J164" s="50"/>
      <c r="K164" s="50"/>
      <c r="L164" s="50"/>
      <c r="M164" s="50"/>
      <c r="N164" s="50"/>
      <c r="O164" s="51"/>
      <c r="P164" s="51"/>
      <c r="Q164" s="50"/>
      <c r="R164" s="50"/>
      <c r="S164" s="50"/>
      <c r="T164" s="50"/>
      <c r="U164" s="50"/>
      <c r="V164" s="50"/>
      <c r="W164" s="50"/>
      <c r="X164" s="51"/>
      <c r="Y164" s="51"/>
      <c r="Z164" s="50"/>
      <c r="AA164" s="50"/>
      <c r="AB164" s="50"/>
      <c r="AC164" s="50"/>
    </row>
    <row r="165" spans="1:29" ht="22" hidden="1" customHeight="1" x14ac:dyDescent="0.2">
      <c r="A165" s="50"/>
      <c r="B165" s="50"/>
      <c r="C165" s="50"/>
      <c r="D165" s="50"/>
      <c r="E165" s="50"/>
      <c r="F165" s="50"/>
      <c r="G165" s="50"/>
      <c r="H165" s="50"/>
      <c r="I165" s="50"/>
      <c r="J165" s="50"/>
      <c r="K165" s="50"/>
      <c r="L165" s="50"/>
      <c r="M165" s="50"/>
      <c r="N165" s="50"/>
      <c r="O165" s="51"/>
      <c r="P165" s="51"/>
      <c r="Q165" s="50"/>
      <c r="R165" s="50"/>
      <c r="S165" s="50"/>
      <c r="T165" s="50"/>
      <c r="U165" s="50"/>
      <c r="V165" s="50"/>
      <c r="W165" s="50"/>
      <c r="X165" s="51"/>
      <c r="Y165" s="51"/>
      <c r="Z165" s="50"/>
      <c r="AA165" s="50"/>
      <c r="AB165" s="50"/>
      <c r="AC165" s="50"/>
    </row>
    <row r="166" spans="1:29" ht="22" hidden="1" customHeight="1" x14ac:dyDescent="0.2">
      <c r="A166" s="50"/>
      <c r="B166" s="50"/>
      <c r="C166" s="50"/>
      <c r="D166" s="50"/>
      <c r="E166" s="50"/>
      <c r="F166" s="50"/>
      <c r="G166" s="50"/>
      <c r="H166" s="50"/>
      <c r="I166" s="50"/>
      <c r="J166" s="50"/>
      <c r="K166" s="50"/>
      <c r="L166" s="50"/>
      <c r="M166" s="50"/>
      <c r="N166" s="50"/>
      <c r="O166" s="51"/>
      <c r="P166" s="51"/>
      <c r="Q166" s="50"/>
      <c r="R166" s="50"/>
      <c r="S166" s="50"/>
      <c r="T166" s="50"/>
      <c r="U166" s="50"/>
      <c r="V166" s="50"/>
      <c r="W166" s="50"/>
      <c r="X166" s="51"/>
      <c r="Y166" s="51"/>
      <c r="Z166" s="50"/>
      <c r="AA166" s="50"/>
      <c r="AB166" s="50"/>
      <c r="AC166" s="50"/>
    </row>
    <row r="167" spans="1:29" ht="22" hidden="1" customHeight="1" x14ac:dyDescent="0.2">
      <c r="A167" s="50"/>
      <c r="B167" s="50"/>
      <c r="C167" s="50"/>
      <c r="D167" s="50"/>
      <c r="E167" s="50"/>
      <c r="F167" s="50"/>
      <c r="G167" s="50"/>
      <c r="H167" s="50"/>
      <c r="I167" s="50"/>
      <c r="J167" s="50"/>
      <c r="K167" s="50"/>
      <c r="L167" s="50"/>
      <c r="M167" s="50"/>
      <c r="N167" s="50"/>
      <c r="O167" s="51"/>
      <c r="P167" s="51"/>
      <c r="Q167" s="50"/>
      <c r="R167" s="50"/>
      <c r="S167" s="50"/>
      <c r="T167" s="50"/>
      <c r="U167" s="50"/>
      <c r="V167" s="50"/>
      <c r="W167" s="50"/>
      <c r="X167" s="51"/>
      <c r="Y167" s="51"/>
      <c r="Z167" s="50"/>
      <c r="AA167" s="50"/>
      <c r="AB167" s="50"/>
      <c r="AC167" s="50"/>
    </row>
    <row r="168" spans="1:29" ht="22" hidden="1" customHeight="1" x14ac:dyDescent="0.2">
      <c r="A168" s="50"/>
      <c r="B168" s="50"/>
      <c r="C168" s="50"/>
      <c r="D168" s="50"/>
      <c r="E168" s="50"/>
      <c r="F168" s="50"/>
      <c r="G168" s="50"/>
      <c r="H168" s="50"/>
      <c r="I168" s="50"/>
      <c r="J168" s="50"/>
      <c r="K168" s="50"/>
      <c r="L168" s="50"/>
      <c r="M168" s="50"/>
      <c r="N168" s="50"/>
      <c r="O168" s="51"/>
      <c r="P168" s="51"/>
      <c r="Q168" s="50"/>
      <c r="R168" s="50"/>
      <c r="S168" s="50"/>
      <c r="T168" s="50"/>
      <c r="U168" s="50"/>
      <c r="V168" s="50"/>
      <c r="W168" s="50"/>
      <c r="X168" s="51"/>
      <c r="Y168" s="51"/>
      <c r="Z168" s="50"/>
      <c r="AA168" s="50"/>
      <c r="AB168" s="50"/>
      <c r="AC168" s="50"/>
    </row>
    <row r="169" spans="1:29" ht="22" hidden="1" customHeight="1" x14ac:dyDescent="0.2">
      <c r="A169" s="50"/>
      <c r="B169" s="50"/>
      <c r="C169" s="50"/>
      <c r="D169" s="50"/>
      <c r="E169" s="50"/>
      <c r="F169" s="50"/>
      <c r="G169" s="50"/>
      <c r="H169" s="50"/>
      <c r="I169" s="50"/>
      <c r="J169" s="50"/>
      <c r="K169" s="50"/>
      <c r="L169" s="50"/>
      <c r="M169" s="50"/>
      <c r="N169" s="50"/>
      <c r="O169" s="51"/>
      <c r="P169" s="51"/>
      <c r="Q169" s="50"/>
      <c r="R169" s="50"/>
      <c r="S169" s="50"/>
      <c r="T169" s="50"/>
      <c r="U169" s="50"/>
      <c r="V169" s="50"/>
      <c r="W169" s="50"/>
      <c r="X169" s="51"/>
      <c r="Y169" s="51"/>
      <c r="Z169" s="50"/>
      <c r="AA169" s="50"/>
      <c r="AB169" s="50"/>
      <c r="AC169" s="50"/>
    </row>
    <row r="170" spans="1:29" ht="22" hidden="1" customHeight="1" x14ac:dyDescent="0.2">
      <c r="A170" s="50"/>
      <c r="B170" s="50"/>
      <c r="C170" s="50"/>
      <c r="D170" s="50"/>
      <c r="E170" s="50"/>
      <c r="F170" s="50"/>
      <c r="G170" s="50"/>
      <c r="H170" s="50"/>
      <c r="I170" s="50"/>
      <c r="J170" s="50"/>
      <c r="K170" s="50"/>
      <c r="L170" s="50"/>
      <c r="M170" s="50"/>
      <c r="N170" s="50"/>
      <c r="O170" s="51"/>
      <c r="P170" s="51"/>
      <c r="Q170" s="50"/>
      <c r="R170" s="50"/>
      <c r="S170" s="50"/>
      <c r="T170" s="50"/>
      <c r="U170" s="50"/>
      <c r="V170" s="50"/>
      <c r="W170" s="50"/>
      <c r="X170" s="51"/>
      <c r="Y170" s="51"/>
      <c r="Z170" s="50"/>
      <c r="AA170" s="50"/>
      <c r="AB170" s="50"/>
      <c r="AC170" s="50"/>
    </row>
    <row r="171" spans="1:29" ht="22" hidden="1" customHeight="1" x14ac:dyDescent="0.2">
      <c r="A171" s="50"/>
      <c r="B171" s="50"/>
      <c r="C171" s="50"/>
      <c r="D171" s="50"/>
      <c r="E171" s="50"/>
      <c r="F171" s="50"/>
      <c r="G171" s="50"/>
      <c r="H171" s="50"/>
      <c r="I171" s="50"/>
      <c r="J171" s="50"/>
      <c r="K171" s="50"/>
      <c r="L171" s="50"/>
      <c r="M171" s="50"/>
      <c r="N171" s="50"/>
      <c r="O171" s="51"/>
      <c r="P171" s="51"/>
      <c r="Q171" s="50"/>
      <c r="R171" s="50"/>
      <c r="S171" s="50"/>
      <c r="T171" s="50"/>
      <c r="U171" s="50"/>
      <c r="V171" s="50"/>
      <c r="W171" s="50"/>
      <c r="X171" s="51"/>
      <c r="Y171" s="51"/>
      <c r="Z171" s="50"/>
      <c r="AA171" s="50"/>
      <c r="AB171" s="50"/>
      <c r="AC171" s="50"/>
    </row>
    <row r="172" spans="1:29" ht="22" hidden="1" customHeight="1" x14ac:dyDescent="0.2">
      <c r="A172" s="50"/>
      <c r="B172" s="50"/>
      <c r="C172" s="50"/>
      <c r="D172" s="50"/>
      <c r="E172" s="50"/>
      <c r="F172" s="50"/>
      <c r="G172" s="50"/>
      <c r="H172" s="50"/>
      <c r="I172" s="50"/>
      <c r="J172" s="50"/>
      <c r="K172" s="50"/>
      <c r="L172" s="50"/>
      <c r="M172" s="50"/>
      <c r="N172" s="50"/>
      <c r="O172" s="51"/>
      <c r="P172" s="51"/>
      <c r="Q172" s="50"/>
      <c r="R172" s="50"/>
      <c r="S172" s="50"/>
      <c r="T172" s="50"/>
      <c r="U172" s="50"/>
      <c r="V172" s="50"/>
      <c r="W172" s="50"/>
      <c r="X172" s="51"/>
      <c r="Y172" s="51"/>
      <c r="Z172" s="50"/>
      <c r="AA172" s="50"/>
      <c r="AB172" s="50"/>
      <c r="AC172" s="50"/>
    </row>
    <row r="173" spans="1:29" ht="22" hidden="1" customHeight="1" x14ac:dyDescent="0.2">
      <c r="A173" s="50"/>
      <c r="B173" s="50"/>
      <c r="C173" s="50"/>
      <c r="D173" s="50"/>
      <c r="E173" s="50"/>
      <c r="F173" s="50"/>
      <c r="G173" s="50"/>
      <c r="H173" s="50"/>
      <c r="I173" s="50"/>
      <c r="J173" s="50"/>
      <c r="K173" s="50"/>
      <c r="L173" s="50"/>
      <c r="M173" s="50"/>
      <c r="N173" s="50"/>
      <c r="O173" s="51"/>
      <c r="P173" s="51"/>
      <c r="Q173" s="50"/>
      <c r="R173" s="50"/>
      <c r="S173" s="50"/>
      <c r="T173" s="50"/>
      <c r="U173" s="50"/>
      <c r="V173" s="50"/>
      <c r="W173" s="50"/>
      <c r="X173" s="51"/>
      <c r="Y173" s="51"/>
      <c r="Z173" s="50"/>
      <c r="AA173" s="50"/>
      <c r="AB173" s="50"/>
      <c r="AC173" s="50"/>
    </row>
    <row r="174" spans="1:29" ht="22" hidden="1" customHeight="1" x14ac:dyDescent="0.2">
      <c r="A174" s="50"/>
      <c r="B174" s="50"/>
      <c r="C174" s="50"/>
      <c r="D174" s="50"/>
      <c r="E174" s="50"/>
      <c r="F174" s="50"/>
      <c r="G174" s="50"/>
      <c r="H174" s="50"/>
      <c r="I174" s="50"/>
      <c r="J174" s="50"/>
      <c r="K174" s="50"/>
      <c r="L174" s="50"/>
      <c r="M174" s="50"/>
      <c r="N174" s="50"/>
      <c r="O174" s="51"/>
      <c r="P174" s="51"/>
      <c r="Q174" s="50"/>
      <c r="R174" s="50"/>
      <c r="S174" s="50"/>
      <c r="T174" s="50"/>
      <c r="U174" s="50"/>
      <c r="V174" s="50"/>
      <c r="W174" s="50"/>
      <c r="X174" s="51"/>
      <c r="Y174" s="51"/>
      <c r="Z174" s="50"/>
      <c r="AA174" s="50"/>
      <c r="AB174" s="50"/>
      <c r="AC174" s="50"/>
    </row>
    <row r="175" spans="1:29" ht="22" hidden="1" customHeight="1" x14ac:dyDescent="0.2">
      <c r="A175" s="50"/>
      <c r="B175" s="50"/>
      <c r="C175" s="50"/>
      <c r="D175" s="50"/>
      <c r="E175" s="50"/>
      <c r="F175" s="50"/>
      <c r="G175" s="50"/>
      <c r="H175" s="50"/>
      <c r="I175" s="50"/>
      <c r="J175" s="50"/>
      <c r="K175" s="50"/>
      <c r="L175" s="50"/>
      <c r="M175" s="50"/>
      <c r="N175" s="50"/>
      <c r="O175" s="51"/>
      <c r="P175" s="51"/>
      <c r="Q175" s="50"/>
      <c r="R175" s="50"/>
      <c r="S175" s="50"/>
      <c r="T175" s="50"/>
      <c r="U175" s="50"/>
      <c r="V175" s="50"/>
      <c r="W175" s="50"/>
      <c r="X175" s="51"/>
      <c r="Y175" s="51"/>
      <c r="Z175" s="50"/>
      <c r="AA175" s="50"/>
      <c r="AB175" s="50"/>
      <c r="AC175" s="50"/>
    </row>
    <row r="176" spans="1:29" ht="22" hidden="1" customHeight="1" x14ac:dyDescent="0.2">
      <c r="A176" s="50"/>
      <c r="B176" s="50"/>
      <c r="C176" s="50"/>
      <c r="D176" s="50"/>
      <c r="E176" s="50"/>
      <c r="F176" s="50"/>
      <c r="G176" s="50"/>
      <c r="H176" s="50"/>
      <c r="I176" s="50"/>
      <c r="J176" s="50"/>
      <c r="K176" s="50"/>
      <c r="L176" s="50"/>
      <c r="M176" s="50"/>
      <c r="N176" s="50"/>
      <c r="O176" s="51"/>
      <c r="P176" s="51"/>
      <c r="Q176" s="50"/>
      <c r="R176" s="50"/>
      <c r="S176" s="50"/>
      <c r="T176" s="50"/>
      <c r="U176" s="50"/>
      <c r="V176" s="50"/>
      <c r="W176" s="50"/>
      <c r="X176" s="51"/>
      <c r="Y176" s="51"/>
      <c r="Z176" s="50"/>
      <c r="AA176" s="50"/>
      <c r="AB176" s="50"/>
      <c r="AC176" s="50"/>
    </row>
    <row r="177" spans="1:29" ht="22" hidden="1" customHeight="1" x14ac:dyDescent="0.2">
      <c r="A177" s="50"/>
      <c r="B177" s="50"/>
      <c r="C177" s="50"/>
      <c r="D177" s="50"/>
      <c r="E177" s="50"/>
      <c r="F177" s="50"/>
      <c r="G177" s="50"/>
      <c r="H177" s="50"/>
      <c r="I177" s="50"/>
      <c r="J177" s="50"/>
      <c r="K177" s="50"/>
      <c r="L177" s="50"/>
      <c r="M177" s="50"/>
      <c r="N177" s="50"/>
      <c r="O177" s="51"/>
      <c r="P177" s="51"/>
      <c r="Q177" s="50"/>
      <c r="R177" s="50"/>
      <c r="S177" s="50"/>
      <c r="T177" s="50"/>
      <c r="U177" s="50"/>
      <c r="V177" s="50"/>
      <c r="W177" s="50"/>
      <c r="X177" s="51"/>
      <c r="Y177" s="51"/>
      <c r="Z177" s="50"/>
      <c r="AA177" s="50"/>
      <c r="AB177" s="50"/>
      <c r="AC177" s="50"/>
    </row>
    <row r="178" spans="1:29" ht="22" hidden="1" customHeight="1" x14ac:dyDescent="0.2">
      <c r="A178" s="50"/>
      <c r="B178" s="50"/>
      <c r="C178" s="50"/>
      <c r="D178" s="50"/>
      <c r="E178" s="50"/>
      <c r="F178" s="50"/>
      <c r="G178" s="50"/>
      <c r="H178" s="50"/>
      <c r="I178" s="50"/>
      <c r="J178" s="50"/>
      <c r="K178" s="50"/>
      <c r="L178" s="50"/>
      <c r="M178" s="50"/>
      <c r="N178" s="50"/>
      <c r="O178" s="51"/>
      <c r="P178" s="51"/>
      <c r="Q178" s="50"/>
      <c r="R178" s="50"/>
      <c r="S178" s="50"/>
      <c r="T178" s="50"/>
      <c r="U178" s="50"/>
      <c r="V178" s="50"/>
      <c r="W178" s="50"/>
      <c r="X178" s="51"/>
      <c r="Y178" s="51"/>
      <c r="Z178" s="50"/>
      <c r="AA178" s="50"/>
      <c r="AB178" s="50"/>
      <c r="AC178" s="50"/>
    </row>
    <row r="179" spans="1:29" ht="22" hidden="1" customHeight="1" x14ac:dyDescent="0.2">
      <c r="A179" s="50"/>
      <c r="B179" s="50"/>
      <c r="C179" s="50"/>
      <c r="D179" s="50"/>
      <c r="E179" s="50"/>
      <c r="F179" s="50"/>
      <c r="G179" s="50"/>
      <c r="H179" s="50"/>
      <c r="I179" s="50"/>
      <c r="J179" s="50"/>
      <c r="K179" s="50"/>
      <c r="L179" s="50"/>
      <c r="M179" s="50"/>
      <c r="N179" s="50"/>
      <c r="O179" s="51"/>
      <c r="P179" s="51"/>
      <c r="Q179" s="50"/>
      <c r="R179" s="50"/>
      <c r="S179" s="50"/>
      <c r="T179" s="50"/>
      <c r="U179" s="50"/>
      <c r="V179" s="50"/>
      <c r="W179" s="50"/>
      <c r="X179" s="51"/>
      <c r="Y179" s="51"/>
      <c r="Z179" s="50"/>
      <c r="AA179" s="50"/>
      <c r="AB179" s="50"/>
      <c r="AC179" s="50"/>
    </row>
    <row r="180" spans="1:29" ht="22" hidden="1" customHeight="1" x14ac:dyDescent="0.2">
      <c r="A180" s="50"/>
      <c r="B180" s="50"/>
      <c r="C180" s="50"/>
      <c r="D180" s="50"/>
      <c r="E180" s="50"/>
      <c r="F180" s="50"/>
      <c r="G180" s="50"/>
      <c r="H180" s="50"/>
      <c r="I180" s="50"/>
      <c r="J180" s="50"/>
      <c r="K180" s="50"/>
      <c r="L180" s="50"/>
      <c r="M180" s="50"/>
      <c r="N180" s="50"/>
      <c r="O180" s="51"/>
      <c r="P180" s="51"/>
      <c r="Q180" s="50"/>
      <c r="R180" s="50"/>
      <c r="S180" s="50"/>
      <c r="T180" s="50"/>
      <c r="U180" s="50"/>
      <c r="V180" s="50"/>
      <c r="W180" s="50"/>
      <c r="X180" s="51"/>
      <c r="Y180" s="51"/>
      <c r="Z180" s="50"/>
      <c r="AA180" s="50"/>
      <c r="AB180" s="50"/>
      <c r="AC180" s="50"/>
    </row>
    <row r="181" spans="1:29" ht="22" hidden="1" customHeight="1" x14ac:dyDescent="0.2">
      <c r="A181" s="50"/>
      <c r="B181" s="50"/>
      <c r="C181" s="50"/>
      <c r="D181" s="50"/>
      <c r="E181" s="50"/>
      <c r="F181" s="50"/>
      <c r="G181" s="50"/>
      <c r="H181" s="50"/>
      <c r="I181" s="50"/>
      <c r="J181" s="50"/>
      <c r="K181" s="50"/>
      <c r="L181" s="50"/>
      <c r="M181" s="50"/>
      <c r="N181" s="50"/>
      <c r="O181" s="51"/>
      <c r="P181" s="51"/>
      <c r="Q181" s="50"/>
      <c r="R181" s="50"/>
      <c r="S181" s="50"/>
      <c r="T181" s="50"/>
      <c r="U181" s="50"/>
      <c r="V181" s="50"/>
      <c r="W181" s="50"/>
      <c r="X181" s="51"/>
      <c r="Y181" s="51"/>
      <c r="Z181" s="50"/>
      <c r="AA181" s="50"/>
      <c r="AB181" s="50"/>
      <c r="AC181" s="50"/>
    </row>
    <row r="182" spans="1:29" ht="22" hidden="1" customHeight="1" x14ac:dyDescent="0.2">
      <c r="A182" s="50"/>
      <c r="B182" s="50"/>
      <c r="C182" s="50"/>
      <c r="D182" s="50"/>
      <c r="E182" s="50"/>
      <c r="F182" s="50"/>
      <c r="G182" s="50"/>
      <c r="H182" s="50"/>
      <c r="I182" s="50"/>
      <c r="J182" s="50"/>
      <c r="K182" s="50"/>
      <c r="L182" s="50"/>
      <c r="M182" s="50"/>
      <c r="N182" s="50"/>
      <c r="O182" s="51"/>
      <c r="P182" s="51"/>
      <c r="Q182" s="50"/>
      <c r="R182" s="50"/>
      <c r="S182" s="50"/>
      <c r="T182" s="50"/>
      <c r="U182" s="50"/>
      <c r="V182" s="50"/>
      <c r="W182" s="50"/>
      <c r="X182" s="51"/>
      <c r="Y182" s="51"/>
      <c r="Z182" s="50"/>
      <c r="AA182" s="50"/>
      <c r="AB182" s="50"/>
      <c r="AC182" s="50"/>
    </row>
    <row r="183" spans="1:29" ht="22" hidden="1" customHeight="1" x14ac:dyDescent="0.2">
      <c r="A183" s="50"/>
      <c r="B183" s="50"/>
      <c r="C183" s="50"/>
      <c r="D183" s="50"/>
      <c r="E183" s="50"/>
      <c r="F183" s="50"/>
      <c r="G183" s="50"/>
      <c r="H183" s="50"/>
      <c r="I183" s="50"/>
      <c r="J183" s="50"/>
      <c r="K183" s="50"/>
      <c r="L183" s="50"/>
      <c r="M183" s="50"/>
      <c r="N183" s="50"/>
      <c r="O183" s="51"/>
      <c r="P183" s="51"/>
      <c r="Q183" s="50"/>
      <c r="R183" s="50"/>
      <c r="S183" s="50"/>
      <c r="T183" s="50"/>
      <c r="U183" s="50"/>
      <c r="V183" s="50"/>
      <c r="W183" s="50"/>
      <c r="X183" s="51"/>
      <c r="Y183" s="51"/>
      <c r="Z183" s="50"/>
      <c r="AA183" s="50"/>
      <c r="AB183" s="50"/>
      <c r="AC183" s="50"/>
    </row>
    <row r="184" spans="1:29" ht="22" hidden="1" customHeight="1" x14ac:dyDescent="0.2">
      <c r="A184" s="50"/>
      <c r="B184" s="50"/>
      <c r="C184" s="50"/>
      <c r="D184" s="50"/>
      <c r="E184" s="50"/>
      <c r="F184" s="50"/>
      <c r="G184" s="50"/>
      <c r="H184" s="50"/>
      <c r="I184" s="50"/>
      <c r="J184" s="50"/>
      <c r="K184" s="50"/>
      <c r="L184" s="50"/>
      <c r="M184" s="50"/>
      <c r="N184" s="50"/>
      <c r="O184" s="51"/>
      <c r="P184" s="51"/>
      <c r="Q184" s="50"/>
      <c r="R184" s="50"/>
      <c r="S184" s="50"/>
      <c r="T184" s="50"/>
      <c r="U184" s="50"/>
      <c r="V184" s="50"/>
      <c r="W184" s="50"/>
      <c r="X184" s="51"/>
      <c r="Y184" s="51"/>
      <c r="Z184" s="50"/>
      <c r="AA184" s="50"/>
      <c r="AB184" s="50"/>
      <c r="AC184" s="50"/>
    </row>
    <row r="185" spans="1:29" ht="22" hidden="1" customHeight="1" x14ac:dyDescent="0.2">
      <c r="A185" s="50"/>
      <c r="B185" s="50"/>
      <c r="C185" s="50"/>
      <c r="D185" s="50"/>
      <c r="E185" s="50"/>
      <c r="F185" s="50"/>
      <c r="G185" s="50"/>
      <c r="H185" s="50"/>
      <c r="I185" s="50"/>
      <c r="J185" s="50"/>
      <c r="K185" s="50"/>
      <c r="L185" s="50"/>
      <c r="M185" s="50"/>
      <c r="N185" s="50"/>
      <c r="O185" s="51"/>
      <c r="P185" s="51"/>
      <c r="Q185" s="50"/>
      <c r="R185" s="50"/>
      <c r="S185" s="50"/>
      <c r="T185" s="50"/>
      <c r="U185" s="50"/>
      <c r="V185" s="50"/>
      <c r="W185" s="50"/>
      <c r="X185" s="51"/>
      <c r="Y185" s="51"/>
      <c r="Z185" s="50"/>
      <c r="AA185" s="50"/>
      <c r="AB185" s="50"/>
      <c r="AC185" s="50"/>
    </row>
    <row r="186" spans="1:29" ht="22" hidden="1" customHeight="1" x14ac:dyDescent="0.2">
      <c r="A186" s="50"/>
      <c r="B186" s="50"/>
      <c r="C186" s="50"/>
      <c r="D186" s="50"/>
      <c r="E186" s="50"/>
      <c r="F186" s="50"/>
      <c r="G186" s="50"/>
      <c r="H186" s="50"/>
      <c r="I186" s="50"/>
      <c r="J186" s="50"/>
      <c r="K186" s="50"/>
      <c r="L186" s="50"/>
      <c r="M186" s="50"/>
      <c r="N186" s="50"/>
      <c r="O186" s="51"/>
      <c r="P186" s="51"/>
      <c r="Q186" s="50"/>
      <c r="R186" s="50"/>
      <c r="S186" s="50"/>
      <c r="T186" s="50"/>
      <c r="U186" s="50"/>
      <c r="V186" s="50"/>
      <c r="W186" s="50"/>
      <c r="X186" s="51"/>
      <c r="Y186" s="51"/>
      <c r="Z186" s="50"/>
      <c r="AA186" s="50"/>
      <c r="AB186" s="50"/>
      <c r="AC186" s="50"/>
    </row>
    <row r="187" spans="1:29" ht="22" hidden="1" customHeight="1" x14ac:dyDescent="0.2">
      <c r="A187" s="50"/>
      <c r="B187" s="50"/>
      <c r="C187" s="50"/>
      <c r="D187" s="50"/>
      <c r="E187" s="50"/>
      <c r="F187" s="50"/>
      <c r="G187" s="50"/>
      <c r="H187" s="50"/>
      <c r="I187" s="50"/>
      <c r="J187" s="50"/>
      <c r="K187" s="50"/>
      <c r="L187" s="50"/>
      <c r="M187" s="50"/>
      <c r="N187" s="50"/>
      <c r="O187" s="51"/>
      <c r="P187" s="51"/>
      <c r="Q187" s="50"/>
      <c r="R187" s="50"/>
      <c r="S187" s="50"/>
      <c r="T187" s="50"/>
      <c r="U187" s="50"/>
      <c r="V187" s="50"/>
      <c r="W187" s="50"/>
      <c r="X187" s="51"/>
      <c r="Y187" s="51"/>
      <c r="Z187" s="50"/>
      <c r="AA187" s="50"/>
      <c r="AB187" s="50"/>
      <c r="AC187" s="50"/>
    </row>
    <row r="188" spans="1:29" ht="22" hidden="1" customHeight="1" x14ac:dyDescent="0.2">
      <c r="A188" s="50"/>
      <c r="B188" s="50"/>
      <c r="C188" s="50"/>
      <c r="D188" s="50"/>
      <c r="E188" s="50"/>
      <c r="F188" s="50"/>
      <c r="G188" s="50"/>
      <c r="H188" s="50"/>
      <c r="I188" s="50"/>
      <c r="J188" s="50"/>
      <c r="K188" s="50"/>
      <c r="L188" s="50"/>
      <c r="M188" s="50"/>
      <c r="N188" s="50"/>
      <c r="O188" s="51"/>
      <c r="P188" s="51"/>
      <c r="Q188" s="50"/>
      <c r="R188" s="50"/>
      <c r="S188" s="50"/>
      <c r="T188" s="50"/>
      <c r="U188" s="50"/>
      <c r="V188" s="50"/>
      <c r="W188" s="50"/>
      <c r="X188" s="51"/>
      <c r="Y188" s="51"/>
      <c r="Z188" s="50"/>
      <c r="AA188" s="50"/>
      <c r="AB188" s="50"/>
      <c r="AC188" s="50"/>
    </row>
    <row r="189" spans="1:29" ht="22" hidden="1" customHeight="1" x14ac:dyDescent="0.2">
      <c r="A189" s="50"/>
      <c r="B189" s="50"/>
      <c r="C189" s="50"/>
      <c r="D189" s="50"/>
      <c r="E189" s="50"/>
      <c r="F189" s="50"/>
      <c r="G189" s="50"/>
      <c r="H189" s="50"/>
      <c r="I189" s="50"/>
      <c r="J189" s="50"/>
      <c r="K189" s="50"/>
      <c r="L189" s="50"/>
      <c r="M189" s="50"/>
      <c r="N189" s="50"/>
      <c r="O189" s="51"/>
      <c r="P189" s="51"/>
      <c r="Q189" s="50"/>
      <c r="R189" s="50"/>
      <c r="S189" s="50"/>
      <c r="T189" s="50"/>
      <c r="U189" s="50"/>
      <c r="V189" s="50"/>
      <c r="W189" s="50"/>
      <c r="X189" s="51"/>
      <c r="Y189" s="51"/>
      <c r="Z189" s="50"/>
      <c r="AA189" s="50"/>
      <c r="AB189" s="50"/>
      <c r="AC189" s="50"/>
    </row>
    <row r="190" spans="1:29" ht="22" hidden="1" customHeight="1" x14ac:dyDescent="0.2">
      <c r="A190" s="50"/>
      <c r="B190" s="50"/>
      <c r="C190" s="50"/>
      <c r="D190" s="50"/>
      <c r="E190" s="50"/>
      <c r="F190" s="50"/>
      <c r="G190" s="50"/>
      <c r="H190" s="50"/>
      <c r="I190" s="50"/>
      <c r="J190" s="50"/>
      <c r="K190" s="50"/>
      <c r="L190" s="50"/>
      <c r="M190" s="50"/>
      <c r="N190" s="50"/>
      <c r="O190" s="51"/>
      <c r="P190" s="51"/>
      <c r="Q190" s="50"/>
      <c r="R190" s="50"/>
      <c r="S190" s="50"/>
      <c r="T190" s="50"/>
      <c r="U190" s="50"/>
      <c r="V190" s="50"/>
      <c r="W190" s="50"/>
      <c r="X190" s="51"/>
      <c r="Y190" s="51"/>
      <c r="Z190" s="50"/>
      <c r="AA190" s="50"/>
      <c r="AB190" s="50"/>
      <c r="AC190" s="50"/>
    </row>
    <row r="191" spans="1:29" ht="22" hidden="1" customHeight="1" x14ac:dyDescent="0.2">
      <c r="A191" s="50"/>
      <c r="B191" s="50"/>
      <c r="C191" s="50"/>
      <c r="D191" s="50"/>
      <c r="E191" s="50"/>
      <c r="F191" s="50"/>
      <c r="G191" s="50"/>
      <c r="H191" s="50"/>
      <c r="I191" s="50"/>
      <c r="J191" s="50"/>
      <c r="K191" s="50"/>
      <c r="L191" s="50"/>
      <c r="M191" s="50"/>
      <c r="N191" s="50"/>
      <c r="O191" s="51"/>
      <c r="P191" s="51"/>
      <c r="Q191" s="50"/>
      <c r="R191" s="50"/>
      <c r="S191" s="50"/>
      <c r="T191" s="50"/>
      <c r="U191" s="50"/>
      <c r="V191" s="50"/>
      <c r="W191" s="50"/>
      <c r="X191" s="51"/>
      <c r="Y191" s="51"/>
      <c r="Z191" s="50"/>
      <c r="AA191" s="50"/>
      <c r="AB191" s="50"/>
      <c r="AC191" s="50"/>
    </row>
    <row r="192" spans="1:29" ht="22" hidden="1" customHeight="1" x14ac:dyDescent="0.2">
      <c r="A192" s="50"/>
      <c r="B192" s="50"/>
      <c r="C192" s="50"/>
      <c r="D192" s="50"/>
      <c r="E192" s="50"/>
      <c r="F192" s="50"/>
      <c r="G192" s="50"/>
      <c r="H192" s="50"/>
      <c r="I192" s="50"/>
      <c r="J192" s="50"/>
      <c r="K192" s="50"/>
      <c r="L192" s="50"/>
      <c r="M192" s="50"/>
      <c r="N192" s="50"/>
      <c r="O192" s="51"/>
      <c r="P192" s="51"/>
      <c r="Q192" s="50"/>
      <c r="R192" s="50"/>
      <c r="S192" s="50"/>
      <c r="T192" s="50"/>
      <c r="U192" s="50"/>
      <c r="V192" s="50"/>
      <c r="W192" s="50"/>
      <c r="X192" s="51"/>
      <c r="Y192" s="51"/>
      <c r="Z192" s="50"/>
      <c r="AA192" s="50"/>
      <c r="AB192" s="50"/>
      <c r="AC192" s="50"/>
    </row>
    <row r="193" spans="1:29" ht="22" hidden="1" customHeight="1" x14ac:dyDescent="0.2">
      <c r="A193" s="50"/>
      <c r="B193" s="50"/>
      <c r="C193" s="50"/>
      <c r="D193" s="50"/>
      <c r="E193" s="50"/>
      <c r="F193" s="50"/>
      <c r="G193" s="50"/>
      <c r="H193" s="50"/>
      <c r="I193" s="50"/>
      <c r="J193" s="50"/>
      <c r="K193" s="50"/>
      <c r="L193" s="50"/>
      <c r="M193" s="50"/>
      <c r="N193" s="50"/>
      <c r="O193" s="51"/>
      <c r="P193" s="51"/>
      <c r="Q193" s="50"/>
      <c r="R193" s="50"/>
      <c r="S193" s="50"/>
      <c r="T193" s="50"/>
      <c r="U193" s="50"/>
      <c r="V193" s="50"/>
      <c r="W193" s="50"/>
      <c r="X193" s="51"/>
      <c r="Y193" s="51"/>
      <c r="Z193" s="50"/>
      <c r="AA193" s="50"/>
      <c r="AB193" s="50"/>
      <c r="AC193" s="50"/>
    </row>
    <row r="194" spans="1:29" ht="22" hidden="1" customHeight="1" x14ac:dyDescent="0.2">
      <c r="A194" s="50"/>
      <c r="B194" s="50"/>
      <c r="C194" s="50"/>
      <c r="D194" s="50"/>
      <c r="E194" s="50"/>
      <c r="F194" s="50"/>
      <c r="G194" s="50"/>
      <c r="H194" s="50"/>
      <c r="I194" s="50"/>
      <c r="J194" s="50"/>
      <c r="K194" s="50"/>
      <c r="L194" s="50"/>
      <c r="M194" s="50"/>
      <c r="N194" s="50"/>
      <c r="O194" s="51"/>
      <c r="P194" s="51"/>
      <c r="Q194" s="50"/>
      <c r="R194" s="50"/>
      <c r="S194" s="50"/>
      <c r="T194" s="50"/>
      <c r="U194" s="50"/>
      <c r="V194" s="50"/>
      <c r="W194" s="50"/>
      <c r="X194" s="51"/>
      <c r="Y194" s="51"/>
      <c r="Z194" s="50"/>
      <c r="AA194" s="50"/>
      <c r="AB194" s="50"/>
      <c r="AC194" s="50"/>
    </row>
    <row r="195" spans="1:29" ht="22" hidden="1" customHeight="1" x14ac:dyDescent="0.2">
      <c r="A195" s="50"/>
      <c r="B195" s="50"/>
      <c r="C195" s="50"/>
      <c r="D195" s="50"/>
      <c r="E195" s="50"/>
      <c r="F195" s="50"/>
      <c r="G195" s="50"/>
      <c r="H195" s="50"/>
      <c r="I195" s="50"/>
      <c r="J195" s="50"/>
      <c r="K195" s="50"/>
      <c r="L195" s="50"/>
      <c r="M195" s="50"/>
      <c r="N195" s="50"/>
      <c r="O195" s="51"/>
      <c r="P195" s="51"/>
      <c r="Q195" s="50"/>
      <c r="R195" s="50"/>
      <c r="S195" s="50"/>
      <c r="T195" s="50"/>
      <c r="U195" s="50"/>
      <c r="V195" s="50"/>
      <c r="W195" s="50"/>
      <c r="X195" s="51"/>
      <c r="Y195" s="51"/>
      <c r="Z195" s="50"/>
      <c r="AA195" s="50"/>
      <c r="AB195" s="50"/>
      <c r="AC195" s="50"/>
    </row>
    <row r="196" spans="1:29" ht="22" hidden="1" customHeight="1" x14ac:dyDescent="0.2">
      <c r="A196" s="50"/>
      <c r="B196" s="50"/>
      <c r="C196" s="50"/>
      <c r="D196" s="50"/>
      <c r="E196" s="50"/>
      <c r="F196" s="50"/>
      <c r="G196" s="50"/>
      <c r="H196" s="50"/>
      <c r="I196" s="50"/>
      <c r="J196" s="50"/>
      <c r="K196" s="50"/>
      <c r="L196" s="50"/>
      <c r="M196" s="50"/>
      <c r="N196" s="50"/>
      <c r="O196" s="51"/>
      <c r="P196" s="51"/>
      <c r="Q196" s="50"/>
      <c r="R196" s="50"/>
      <c r="S196" s="50"/>
      <c r="T196" s="50"/>
      <c r="U196" s="50"/>
      <c r="V196" s="50"/>
      <c r="W196" s="50"/>
      <c r="X196" s="51"/>
      <c r="Y196" s="51"/>
      <c r="Z196" s="50"/>
      <c r="AA196" s="50"/>
      <c r="AB196" s="50"/>
      <c r="AC196" s="50"/>
    </row>
    <row r="197" spans="1:29" ht="22" hidden="1" customHeight="1" x14ac:dyDescent="0.2">
      <c r="A197" s="50"/>
      <c r="B197" s="50"/>
      <c r="C197" s="50"/>
      <c r="D197" s="50"/>
      <c r="E197" s="50"/>
      <c r="F197" s="50"/>
      <c r="G197" s="50"/>
      <c r="H197" s="50"/>
      <c r="I197" s="50"/>
      <c r="J197" s="50"/>
      <c r="K197" s="50"/>
      <c r="L197" s="50"/>
      <c r="M197" s="50"/>
      <c r="N197" s="50"/>
      <c r="O197" s="51"/>
      <c r="P197" s="51"/>
      <c r="Q197" s="50"/>
      <c r="R197" s="50"/>
      <c r="S197" s="50"/>
      <c r="T197" s="50"/>
      <c r="U197" s="50"/>
      <c r="V197" s="50"/>
      <c r="W197" s="50"/>
      <c r="X197" s="51"/>
      <c r="Y197" s="51"/>
      <c r="Z197" s="50"/>
      <c r="AA197" s="50"/>
      <c r="AB197" s="50"/>
      <c r="AC197" s="50"/>
    </row>
    <row r="198" spans="1:29" ht="22" hidden="1" customHeight="1" x14ac:dyDescent="0.2">
      <c r="A198" s="50"/>
      <c r="B198" s="50"/>
      <c r="C198" s="50"/>
      <c r="D198" s="50"/>
      <c r="E198" s="50"/>
      <c r="F198" s="50"/>
      <c r="G198" s="50"/>
      <c r="H198" s="50"/>
      <c r="I198" s="50"/>
      <c r="J198" s="50"/>
      <c r="K198" s="50"/>
      <c r="L198" s="50"/>
      <c r="M198" s="50"/>
      <c r="N198" s="50"/>
      <c r="O198" s="51"/>
      <c r="P198" s="51"/>
      <c r="Q198" s="50"/>
      <c r="R198" s="50"/>
      <c r="S198" s="50"/>
      <c r="T198" s="50"/>
      <c r="U198" s="50"/>
      <c r="V198" s="50"/>
      <c r="W198" s="50"/>
      <c r="X198" s="51"/>
      <c r="Y198" s="51"/>
      <c r="Z198" s="50"/>
      <c r="AA198" s="50"/>
      <c r="AB198" s="50"/>
      <c r="AC198" s="50"/>
    </row>
    <row r="199" spans="1:29" ht="22" hidden="1" customHeight="1" x14ac:dyDescent="0.2">
      <c r="A199" s="50"/>
      <c r="B199" s="50"/>
      <c r="C199" s="50"/>
      <c r="D199" s="50"/>
      <c r="E199" s="50"/>
      <c r="F199" s="50"/>
      <c r="G199" s="50"/>
      <c r="H199" s="50"/>
      <c r="I199" s="50"/>
      <c r="J199" s="50"/>
      <c r="K199" s="50"/>
      <c r="L199" s="50"/>
      <c r="M199" s="50"/>
      <c r="N199" s="50"/>
      <c r="O199" s="51"/>
      <c r="P199" s="51"/>
      <c r="Q199" s="50"/>
      <c r="R199" s="50"/>
      <c r="S199" s="50"/>
      <c r="T199" s="50"/>
      <c r="U199" s="50"/>
      <c r="V199" s="50"/>
      <c r="W199" s="50"/>
      <c r="X199" s="51"/>
      <c r="Y199" s="51"/>
      <c r="Z199" s="50"/>
      <c r="AA199" s="50"/>
      <c r="AB199" s="50"/>
      <c r="AC199" s="50"/>
    </row>
    <row r="200" spans="1:29" ht="22" hidden="1" customHeight="1" x14ac:dyDescent="0.2">
      <c r="A200" s="50"/>
      <c r="B200" s="50"/>
      <c r="C200" s="50"/>
      <c r="D200" s="50"/>
      <c r="E200" s="50"/>
      <c r="F200" s="50"/>
      <c r="G200" s="50"/>
      <c r="H200" s="50"/>
      <c r="I200" s="50"/>
      <c r="J200" s="50"/>
      <c r="K200" s="50"/>
      <c r="L200" s="50"/>
      <c r="M200" s="50"/>
      <c r="N200" s="50"/>
      <c r="O200" s="51"/>
      <c r="P200" s="51"/>
      <c r="Q200" s="50"/>
      <c r="R200" s="50"/>
      <c r="S200" s="50"/>
      <c r="T200" s="50"/>
      <c r="U200" s="50"/>
      <c r="V200" s="50"/>
      <c r="W200" s="50"/>
      <c r="X200" s="51"/>
      <c r="Y200" s="51"/>
      <c r="Z200" s="50"/>
      <c r="AA200" s="50"/>
      <c r="AB200" s="50"/>
      <c r="AC200" s="50"/>
    </row>
    <row r="201" spans="1:29" ht="22" hidden="1" customHeight="1" x14ac:dyDescent="0.2">
      <c r="A201" s="50"/>
      <c r="B201" s="50"/>
      <c r="C201" s="50"/>
      <c r="D201" s="50"/>
      <c r="E201" s="50"/>
      <c r="F201" s="50"/>
      <c r="G201" s="50"/>
      <c r="H201" s="50"/>
      <c r="I201" s="50"/>
      <c r="J201" s="50"/>
      <c r="K201" s="50"/>
      <c r="L201" s="50"/>
      <c r="M201" s="50"/>
      <c r="N201" s="50"/>
      <c r="O201" s="51"/>
      <c r="P201" s="51"/>
      <c r="Q201" s="50"/>
      <c r="R201" s="50"/>
      <c r="S201" s="50"/>
      <c r="T201" s="50"/>
      <c r="U201" s="50"/>
      <c r="V201" s="50"/>
      <c r="W201" s="50"/>
      <c r="X201" s="51"/>
      <c r="Y201" s="51"/>
      <c r="Z201" s="50"/>
      <c r="AA201" s="50"/>
      <c r="AB201" s="50"/>
      <c r="AC201" s="50"/>
    </row>
    <row r="202" spans="1:29" ht="22" hidden="1" customHeight="1" x14ac:dyDescent="0.2">
      <c r="A202" s="50"/>
      <c r="B202" s="50"/>
      <c r="C202" s="50"/>
      <c r="D202" s="50"/>
      <c r="E202" s="50"/>
      <c r="F202" s="50"/>
      <c r="G202" s="50"/>
      <c r="H202" s="50"/>
      <c r="I202" s="50"/>
      <c r="J202" s="50"/>
      <c r="K202" s="50"/>
      <c r="L202" s="50"/>
      <c r="M202" s="50"/>
      <c r="N202" s="50"/>
      <c r="O202" s="51"/>
      <c r="P202" s="51"/>
      <c r="Q202" s="50"/>
      <c r="R202" s="50"/>
      <c r="S202" s="50"/>
      <c r="T202" s="50"/>
      <c r="U202" s="50"/>
      <c r="V202" s="50"/>
      <c r="W202" s="50"/>
      <c r="X202" s="51"/>
      <c r="Y202" s="51"/>
      <c r="Z202" s="50"/>
      <c r="AA202" s="50"/>
      <c r="AB202" s="50"/>
      <c r="AC202" s="50"/>
    </row>
    <row r="203" spans="1:29" ht="22" hidden="1" customHeight="1" x14ac:dyDescent="0.2">
      <c r="A203" s="50"/>
      <c r="B203" s="50"/>
      <c r="C203" s="50"/>
      <c r="D203" s="50"/>
      <c r="E203" s="50"/>
      <c r="F203" s="50"/>
      <c r="G203" s="50"/>
      <c r="H203" s="50"/>
      <c r="I203" s="50"/>
      <c r="J203" s="50"/>
      <c r="K203" s="50"/>
      <c r="L203" s="50"/>
      <c r="M203" s="50"/>
      <c r="N203" s="50"/>
      <c r="O203" s="51"/>
      <c r="P203" s="51"/>
      <c r="Q203" s="50"/>
      <c r="R203" s="50"/>
      <c r="S203" s="50"/>
      <c r="T203" s="50"/>
      <c r="U203" s="50"/>
      <c r="V203" s="50"/>
      <c r="W203" s="50"/>
      <c r="X203" s="51"/>
      <c r="Y203" s="51"/>
      <c r="Z203" s="50"/>
      <c r="AA203" s="50"/>
      <c r="AB203" s="50"/>
      <c r="AC203" s="50"/>
    </row>
    <row r="204" spans="1:29" ht="22" hidden="1" customHeight="1" x14ac:dyDescent="0.2">
      <c r="A204" s="50"/>
      <c r="B204" s="50"/>
      <c r="C204" s="50"/>
      <c r="D204" s="50"/>
      <c r="E204" s="50"/>
      <c r="F204" s="50"/>
      <c r="G204" s="50"/>
      <c r="H204" s="50"/>
      <c r="I204" s="50"/>
      <c r="J204" s="50"/>
      <c r="K204" s="50"/>
      <c r="L204" s="50"/>
      <c r="M204" s="50"/>
      <c r="N204" s="50"/>
      <c r="O204" s="51"/>
      <c r="P204" s="51"/>
      <c r="Q204" s="50"/>
      <c r="R204" s="50"/>
      <c r="S204" s="50"/>
      <c r="T204" s="50"/>
      <c r="U204" s="50"/>
      <c r="V204" s="50"/>
      <c r="W204" s="50"/>
      <c r="X204" s="51"/>
      <c r="Y204" s="51"/>
      <c r="Z204" s="50"/>
      <c r="AA204" s="50"/>
      <c r="AB204" s="50"/>
      <c r="AC204" s="50"/>
    </row>
    <row r="205" spans="1:29" ht="22" hidden="1" customHeight="1" x14ac:dyDescent="0.2">
      <c r="A205" s="50"/>
      <c r="B205" s="50"/>
      <c r="C205" s="50"/>
      <c r="D205" s="50"/>
      <c r="E205" s="50"/>
      <c r="F205" s="50"/>
      <c r="G205" s="50"/>
      <c r="H205" s="50"/>
      <c r="I205" s="50"/>
      <c r="J205" s="50"/>
      <c r="K205" s="50"/>
      <c r="L205" s="50"/>
      <c r="M205" s="50"/>
      <c r="N205" s="50"/>
      <c r="O205" s="51"/>
      <c r="P205" s="51"/>
      <c r="Q205" s="50"/>
      <c r="R205" s="50"/>
      <c r="S205" s="50"/>
      <c r="T205" s="50"/>
      <c r="U205" s="50"/>
      <c r="V205" s="50"/>
      <c r="W205" s="50"/>
      <c r="X205" s="51"/>
      <c r="Y205" s="51"/>
      <c r="Z205" s="50"/>
      <c r="AA205" s="50"/>
      <c r="AB205" s="50"/>
      <c r="AC205" s="50"/>
    </row>
    <row r="206" spans="1:29" ht="22" hidden="1" customHeight="1" x14ac:dyDescent="0.2">
      <c r="A206" s="50"/>
      <c r="B206" s="50"/>
      <c r="C206" s="50"/>
      <c r="D206" s="50"/>
      <c r="E206" s="50"/>
      <c r="F206" s="50"/>
      <c r="G206" s="50"/>
      <c r="H206" s="50"/>
      <c r="I206" s="50"/>
      <c r="J206" s="50"/>
      <c r="K206" s="50"/>
      <c r="L206" s="50"/>
      <c r="M206" s="50"/>
      <c r="N206" s="50"/>
      <c r="O206" s="51"/>
      <c r="P206" s="51"/>
      <c r="Q206" s="50"/>
      <c r="R206" s="50"/>
      <c r="S206" s="50"/>
      <c r="T206" s="50"/>
      <c r="U206" s="50"/>
      <c r="V206" s="50"/>
      <c r="W206" s="50"/>
      <c r="X206" s="51"/>
      <c r="Y206" s="51"/>
      <c r="Z206" s="50"/>
      <c r="AA206" s="50"/>
      <c r="AB206" s="50"/>
      <c r="AC206" s="50"/>
    </row>
    <row r="207" spans="1:29" ht="22" hidden="1" customHeight="1" x14ac:dyDescent="0.2">
      <c r="A207" s="50"/>
      <c r="B207" s="50"/>
      <c r="C207" s="50"/>
      <c r="D207" s="50"/>
      <c r="E207" s="50"/>
      <c r="F207" s="50"/>
      <c r="G207" s="50"/>
      <c r="H207" s="50"/>
      <c r="I207" s="50"/>
      <c r="J207" s="50"/>
      <c r="K207" s="50"/>
      <c r="L207" s="50"/>
      <c r="M207" s="50"/>
      <c r="N207" s="50"/>
      <c r="O207" s="51"/>
      <c r="P207" s="51"/>
      <c r="Q207" s="50"/>
      <c r="R207" s="50"/>
      <c r="S207" s="50"/>
      <c r="T207" s="50"/>
      <c r="U207" s="50"/>
      <c r="V207" s="50"/>
      <c r="W207" s="50"/>
      <c r="X207" s="51"/>
      <c r="Y207" s="51"/>
      <c r="Z207" s="50"/>
      <c r="AA207" s="50"/>
      <c r="AB207" s="50"/>
      <c r="AC207" s="50"/>
    </row>
    <row r="208" spans="1:29" ht="22" hidden="1" customHeight="1" x14ac:dyDescent="0.2">
      <c r="A208" s="50"/>
      <c r="B208" s="50"/>
      <c r="C208" s="50"/>
      <c r="D208" s="50"/>
      <c r="E208" s="50"/>
      <c r="F208" s="50"/>
      <c r="G208" s="50"/>
      <c r="H208" s="50"/>
      <c r="I208" s="50"/>
      <c r="J208" s="50"/>
      <c r="K208" s="50"/>
      <c r="L208" s="50"/>
      <c r="M208" s="50"/>
      <c r="N208" s="50"/>
      <c r="O208" s="51"/>
      <c r="P208" s="51"/>
      <c r="Q208" s="50"/>
      <c r="R208" s="50"/>
      <c r="S208" s="50"/>
      <c r="T208" s="50"/>
      <c r="U208" s="50"/>
      <c r="V208" s="50"/>
      <c r="W208" s="50"/>
      <c r="X208" s="51"/>
      <c r="Y208" s="51"/>
      <c r="Z208" s="50"/>
      <c r="AA208" s="50"/>
      <c r="AB208" s="50"/>
      <c r="AC208" s="50"/>
    </row>
    <row r="209" spans="1:29" ht="22" hidden="1" customHeight="1" x14ac:dyDescent="0.2">
      <c r="A209" s="50"/>
      <c r="B209" s="50"/>
      <c r="C209" s="50"/>
      <c r="D209" s="50"/>
      <c r="E209" s="50"/>
      <c r="F209" s="50"/>
      <c r="G209" s="50"/>
      <c r="H209" s="50"/>
      <c r="I209" s="50"/>
      <c r="J209" s="50"/>
      <c r="K209" s="50"/>
      <c r="L209" s="50"/>
      <c r="M209" s="50"/>
      <c r="N209" s="50"/>
      <c r="O209" s="51"/>
      <c r="P209" s="51"/>
      <c r="Q209" s="50"/>
      <c r="R209" s="50"/>
      <c r="S209" s="50"/>
      <c r="T209" s="50"/>
      <c r="U209" s="50"/>
      <c r="V209" s="50"/>
      <c r="W209" s="50"/>
      <c r="X209" s="51"/>
      <c r="Y209" s="51"/>
      <c r="Z209" s="50"/>
      <c r="AA209" s="50"/>
      <c r="AB209" s="50"/>
      <c r="AC209" s="50"/>
    </row>
    <row r="210" spans="1:29" ht="22" hidden="1" customHeight="1" x14ac:dyDescent="0.2">
      <c r="A210" s="50"/>
      <c r="B210" s="50"/>
      <c r="C210" s="50"/>
      <c r="D210" s="50"/>
      <c r="E210" s="50"/>
      <c r="F210" s="50"/>
      <c r="G210" s="50"/>
      <c r="H210" s="50"/>
      <c r="I210" s="50"/>
      <c r="J210" s="50"/>
      <c r="K210" s="50"/>
      <c r="L210" s="50"/>
      <c r="M210" s="50"/>
      <c r="N210" s="50"/>
      <c r="O210" s="51"/>
      <c r="P210" s="51"/>
      <c r="Q210" s="50"/>
      <c r="R210" s="50"/>
      <c r="S210" s="50"/>
      <c r="T210" s="50"/>
      <c r="U210" s="50"/>
      <c r="V210" s="50"/>
      <c r="W210" s="50"/>
      <c r="X210" s="51"/>
      <c r="Y210" s="51"/>
      <c r="Z210" s="50"/>
      <c r="AA210" s="50"/>
      <c r="AB210" s="50"/>
      <c r="AC210" s="50"/>
    </row>
    <row r="211" spans="1:29" ht="22" hidden="1" customHeight="1" x14ac:dyDescent="0.2">
      <c r="A211" s="50"/>
      <c r="B211" s="50"/>
      <c r="C211" s="50"/>
      <c r="D211" s="50"/>
      <c r="E211" s="50"/>
      <c r="F211" s="50"/>
      <c r="G211" s="50"/>
      <c r="H211" s="50"/>
      <c r="I211" s="50"/>
      <c r="J211" s="50"/>
      <c r="K211" s="50"/>
      <c r="L211" s="50"/>
      <c r="M211" s="50"/>
      <c r="N211" s="50"/>
      <c r="O211" s="51"/>
      <c r="P211" s="51"/>
      <c r="Q211" s="50"/>
      <c r="R211" s="50"/>
      <c r="S211" s="50"/>
      <c r="T211" s="50"/>
      <c r="U211" s="50"/>
      <c r="V211" s="50"/>
      <c r="W211" s="50"/>
      <c r="X211" s="51"/>
      <c r="Y211" s="51"/>
      <c r="Z211" s="50"/>
      <c r="AA211" s="50"/>
      <c r="AB211" s="50"/>
      <c r="AC211" s="50"/>
    </row>
    <row r="212" spans="1:29" ht="22" hidden="1" customHeight="1" x14ac:dyDescent="0.2">
      <c r="A212" s="50"/>
      <c r="B212" s="50"/>
      <c r="C212" s="50"/>
      <c r="D212" s="50"/>
      <c r="E212" s="50"/>
      <c r="F212" s="50"/>
      <c r="G212" s="50"/>
      <c r="H212" s="50"/>
      <c r="I212" s="50"/>
      <c r="J212" s="50"/>
      <c r="K212" s="50"/>
      <c r="L212" s="50"/>
      <c r="M212" s="50"/>
      <c r="N212" s="50"/>
      <c r="O212" s="51"/>
      <c r="P212" s="51"/>
      <c r="Q212" s="50"/>
      <c r="R212" s="50"/>
      <c r="S212" s="50"/>
      <c r="T212" s="50"/>
      <c r="U212" s="50"/>
      <c r="V212" s="50"/>
      <c r="W212" s="50"/>
      <c r="X212" s="51"/>
      <c r="Y212" s="51"/>
      <c r="Z212" s="50"/>
      <c r="AA212" s="50"/>
      <c r="AB212" s="50"/>
      <c r="AC212" s="50"/>
    </row>
    <row r="213" spans="1:29" ht="22" hidden="1" customHeight="1" x14ac:dyDescent="0.2">
      <c r="A213" s="50"/>
      <c r="B213" s="50"/>
      <c r="C213" s="50"/>
      <c r="D213" s="50"/>
      <c r="E213" s="50"/>
      <c r="F213" s="50"/>
      <c r="G213" s="50"/>
      <c r="H213" s="50"/>
      <c r="I213" s="50"/>
      <c r="J213" s="50"/>
      <c r="K213" s="50"/>
      <c r="L213" s="50"/>
      <c r="M213" s="50"/>
      <c r="N213" s="50"/>
      <c r="O213" s="51"/>
      <c r="P213" s="51"/>
      <c r="Q213" s="50"/>
      <c r="R213" s="50"/>
      <c r="S213" s="50"/>
      <c r="T213" s="50"/>
      <c r="U213" s="50"/>
      <c r="V213" s="50"/>
      <c r="W213" s="50"/>
      <c r="X213" s="51"/>
      <c r="Y213" s="51"/>
      <c r="Z213" s="50"/>
      <c r="AA213" s="50"/>
      <c r="AB213" s="50"/>
      <c r="AC213" s="50"/>
    </row>
    <row r="214" spans="1:29" ht="22" hidden="1" customHeight="1" x14ac:dyDescent="0.2">
      <c r="A214" s="50"/>
      <c r="B214" s="50"/>
      <c r="C214" s="50"/>
      <c r="D214" s="50"/>
      <c r="E214" s="50"/>
      <c r="F214" s="50"/>
      <c r="G214" s="50"/>
      <c r="H214" s="50"/>
      <c r="I214" s="50"/>
      <c r="J214" s="50"/>
      <c r="K214" s="50"/>
      <c r="L214" s="50"/>
      <c r="M214" s="50"/>
      <c r="N214" s="50"/>
      <c r="O214" s="51"/>
      <c r="P214" s="51"/>
      <c r="Q214" s="50"/>
      <c r="R214" s="50"/>
      <c r="S214" s="50"/>
      <c r="T214" s="50"/>
      <c r="U214" s="50"/>
      <c r="V214" s="50"/>
      <c r="W214" s="50"/>
      <c r="X214" s="51"/>
      <c r="Y214" s="51"/>
      <c r="Z214" s="50"/>
      <c r="AA214" s="50"/>
      <c r="AB214" s="50"/>
      <c r="AC214" s="50"/>
    </row>
    <row r="215" spans="1:29" ht="22" hidden="1" customHeight="1" x14ac:dyDescent="0.2">
      <c r="A215" s="50"/>
      <c r="B215" s="50"/>
      <c r="C215" s="50"/>
      <c r="D215" s="50"/>
      <c r="E215" s="50"/>
      <c r="F215" s="50"/>
      <c r="G215" s="50"/>
      <c r="H215" s="50"/>
      <c r="I215" s="50"/>
      <c r="J215" s="50"/>
      <c r="K215" s="50"/>
      <c r="L215" s="50"/>
      <c r="M215" s="50"/>
      <c r="N215" s="50"/>
      <c r="O215" s="51"/>
      <c r="P215" s="51"/>
      <c r="Q215" s="50"/>
      <c r="R215" s="50"/>
      <c r="S215" s="50"/>
      <c r="T215" s="50"/>
      <c r="U215" s="50"/>
      <c r="V215" s="50"/>
      <c r="W215" s="50"/>
      <c r="X215" s="51"/>
      <c r="Y215" s="51"/>
      <c r="Z215" s="50"/>
      <c r="AA215" s="50"/>
      <c r="AB215" s="50"/>
      <c r="AC215" s="50"/>
    </row>
    <row r="216" spans="1:29" ht="22" hidden="1" customHeight="1" x14ac:dyDescent="0.2">
      <c r="A216" s="50"/>
      <c r="B216" s="50"/>
      <c r="C216" s="50"/>
      <c r="D216" s="50"/>
      <c r="E216" s="50"/>
      <c r="F216" s="50"/>
      <c r="G216" s="50"/>
      <c r="H216" s="50"/>
      <c r="I216" s="50"/>
      <c r="J216" s="50"/>
      <c r="K216" s="50"/>
      <c r="L216" s="50"/>
      <c r="M216" s="50"/>
      <c r="N216" s="50"/>
      <c r="O216" s="51"/>
      <c r="P216" s="51"/>
      <c r="Q216" s="50"/>
      <c r="R216" s="50"/>
      <c r="S216" s="50"/>
      <c r="T216" s="50"/>
      <c r="U216" s="50"/>
      <c r="V216" s="50"/>
      <c r="W216" s="50"/>
      <c r="X216" s="51"/>
      <c r="Y216" s="51"/>
      <c r="Z216" s="50"/>
      <c r="AA216" s="50"/>
      <c r="AB216" s="50"/>
      <c r="AC216" s="50"/>
    </row>
    <row r="217" spans="1:29" ht="22" hidden="1" customHeight="1" x14ac:dyDescent="0.2">
      <c r="A217" s="50"/>
      <c r="B217" s="50"/>
      <c r="C217" s="50"/>
      <c r="D217" s="50"/>
      <c r="E217" s="50"/>
      <c r="F217" s="50"/>
      <c r="G217" s="50"/>
      <c r="H217" s="50"/>
      <c r="I217" s="50"/>
      <c r="J217" s="50"/>
      <c r="K217" s="50"/>
      <c r="L217" s="50"/>
      <c r="M217" s="50"/>
      <c r="N217" s="50"/>
      <c r="O217" s="51"/>
      <c r="P217" s="51"/>
      <c r="Q217" s="50"/>
      <c r="R217" s="50"/>
      <c r="S217" s="50"/>
      <c r="T217" s="50"/>
      <c r="U217" s="50"/>
      <c r="V217" s="50"/>
      <c r="W217" s="50"/>
      <c r="X217" s="51"/>
      <c r="Y217" s="51"/>
      <c r="Z217" s="50"/>
      <c r="AA217" s="50"/>
      <c r="AB217" s="50"/>
      <c r="AC217" s="50"/>
    </row>
    <row r="218" spans="1:29" ht="22" hidden="1" customHeight="1" x14ac:dyDescent="0.2">
      <c r="A218" s="50"/>
      <c r="B218" s="50"/>
      <c r="C218" s="50"/>
      <c r="D218" s="50"/>
      <c r="E218" s="50"/>
      <c r="F218" s="50"/>
      <c r="G218" s="50"/>
      <c r="H218" s="50"/>
      <c r="I218" s="50"/>
      <c r="J218" s="50"/>
      <c r="K218" s="50"/>
      <c r="L218" s="50"/>
      <c r="M218" s="50"/>
      <c r="N218" s="50"/>
      <c r="O218" s="51"/>
      <c r="P218" s="51"/>
      <c r="Q218" s="50"/>
      <c r="R218" s="50"/>
      <c r="S218" s="50"/>
      <c r="T218" s="50"/>
      <c r="U218" s="50"/>
      <c r="V218" s="50"/>
      <c r="W218" s="50"/>
      <c r="X218" s="51"/>
      <c r="Y218" s="51"/>
      <c r="Z218" s="50"/>
      <c r="AA218" s="50"/>
      <c r="AB218" s="50"/>
      <c r="AC218" s="50"/>
    </row>
    <row r="219" spans="1:29" ht="22" hidden="1" customHeight="1" x14ac:dyDescent="0.2">
      <c r="A219" s="50"/>
      <c r="B219" s="50"/>
      <c r="C219" s="50"/>
      <c r="D219" s="50"/>
      <c r="E219" s="50"/>
      <c r="F219" s="50"/>
      <c r="G219" s="50"/>
      <c r="H219" s="50"/>
      <c r="I219" s="50"/>
      <c r="J219" s="50"/>
      <c r="K219" s="50"/>
      <c r="L219" s="50"/>
      <c r="M219" s="50"/>
      <c r="N219" s="50"/>
      <c r="O219" s="51"/>
      <c r="P219" s="51"/>
      <c r="Q219" s="50"/>
      <c r="R219" s="50"/>
      <c r="S219" s="50"/>
      <c r="T219" s="50"/>
      <c r="U219" s="50"/>
      <c r="V219" s="50"/>
      <c r="W219" s="50"/>
      <c r="X219" s="51"/>
      <c r="Y219" s="51"/>
      <c r="Z219" s="50"/>
      <c r="AA219" s="50"/>
      <c r="AB219" s="50"/>
      <c r="AC219" s="50"/>
    </row>
    <row r="220" spans="1:29" ht="22" hidden="1" customHeight="1" x14ac:dyDescent="0.2">
      <c r="A220" s="50"/>
      <c r="B220" s="50"/>
      <c r="C220" s="50"/>
      <c r="D220" s="50"/>
      <c r="E220" s="50"/>
      <c r="F220" s="50"/>
      <c r="G220" s="50"/>
      <c r="H220" s="50"/>
      <c r="I220" s="50"/>
      <c r="J220" s="50"/>
      <c r="K220" s="50"/>
      <c r="L220" s="50"/>
      <c r="M220" s="50"/>
      <c r="N220" s="50"/>
      <c r="O220" s="51"/>
      <c r="P220" s="51"/>
      <c r="Q220" s="50"/>
      <c r="R220" s="50"/>
      <c r="S220" s="50"/>
      <c r="T220" s="50"/>
      <c r="U220" s="50"/>
      <c r="V220" s="50"/>
      <c r="W220" s="50"/>
      <c r="X220" s="51"/>
      <c r="Y220" s="51"/>
      <c r="Z220" s="50"/>
      <c r="AA220" s="50"/>
      <c r="AB220" s="50"/>
      <c r="AC220" s="50"/>
    </row>
    <row r="221" spans="1:29" ht="22" hidden="1" customHeight="1" x14ac:dyDescent="0.2">
      <c r="A221" s="50"/>
      <c r="B221" s="50"/>
      <c r="C221" s="50"/>
      <c r="D221" s="50"/>
      <c r="E221" s="50"/>
      <c r="F221" s="50"/>
      <c r="G221" s="50"/>
      <c r="H221" s="50"/>
      <c r="I221" s="50"/>
      <c r="J221" s="50"/>
      <c r="K221" s="50"/>
      <c r="L221" s="50"/>
      <c r="M221" s="50"/>
      <c r="N221" s="50"/>
      <c r="O221" s="51"/>
      <c r="P221" s="51"/>
      <c r="Q221" s="50"/>
      <c r="R221" s="50"/>
      <c r="S221" s="50"/>
      <c r="T221" s="50"/>
      <c r="U221" s="50"/>
      <c r="V221" s="50"/>
      <c r="W221" s="50"/>
      <c r="X221" s="51"/>
      <c r="Y221" s="51"/>
      <c r="Z221" s="50"/>
      <c r="AA221" s="50"/>
      <c r="AB221" s="50"/>
      <c r="AC221" s="50"/>
    </row>
    <row r="222" spans="1:29" ht="22" hidden="1" customHeight="1" x14ac:dyDescent="0.2">
      <c r="A222" s="50"/>
      <c r="B222" s="50"/>
      <c r="C222" s="50"/>
      <c r="D222" s="50"/>
      <c r="E222" s="50"/>
      <c r="F222" s="50"/>
      <c r="G222" s="50"/>
      <c r="H222" s="50"/>
      <c r="I222" s="50"/>
      <c r="J222" s="50"/>
      <c r="K222" s="50"/>
      <c r="L222" s="50"/>
      <c r="M222" s="50"/>
      <c r="N222" s="50"/>
      <c r="O222" s="51"/>
      <c r="P222" s="51"/>
      <c r="Q222" s="50"/>
      <c r="R222" s="50"/>
      <c r="S222" s="50"/>
      <c r="T222" s="50"/>
      <c r="U222" s="50"/>
      <c r="V222" s="50"/>
      <c r="W222" s="50"/>
      <c r="X222" s="51"/>
      <c r="Y222" s="51"/>
      <c r="Z222" s="50"/>
      <c r="AA222" s="50"/>
      <c r="AB222" s="50"/>
      <c r="AC222" s="50"/>
    </row>
    <row r="223" spans="1:29" ht="22" hidden="1" customHeight="1" x14ac:dyDescent="0.2">
      <c r="A223" s="50"/>
      <c r="B223" s="50"/>
      <c r="C223" s="50"/>
      <c r="D223" s="50"/>
      <c r="E223" s="50"/>
      <c r="F223" s="50"/>
      <c r="G223" s="50"/>
      <c r="H223" s="50"/>
      <c r="I223" s="50"/>
      <c r="J223" s="50"/>
      <c r="K223" s="50"/>
      <c r="L223" s="50"/>
      <c r="M223" s="50"/>
      <c r="N223" s="50"/>
      <c r="O223" s="51"/>
      <c r="P223" s="51"/>
      <c r="Q223" s="50"/>
      <c r="R223" s="50"/>
      <c r="S223" s="50"/>
      <c r="T223" s="50"/>
      <c r="U223" s="50"/>
      <c r="V223" s="50"/>
      <c r="W223" s="50"/>
      <c r="X223" s="51"/>
      <c r="Y223" s="51"/>
      <c r="Z223" s="50"/>
      <c r="AA223" s="50"/>
      <c r="AB223" s="50"/>
      <c r="AC223" s="50"/>
    </row>
    <row r="224" spans="1:29" ht="22" hidden="1" customHeight="1" x14ac:dyDescent="0.2">
      <c r="A224" s="50"/>
      <c r="B224" s="50"/>
      <c r="C224" s="50"/>
      <c r="D224" s="50"/>
      <c r="E224" s="50"/>
      <c r="F224" s="50"/>
      <c r="G224" s="50"/>
      <c r="H224" s="50"/>
      <c r="I224" s="50"/>
      <c r="J224" s="50"/>
      <c r="K224" s="50"/>
      <c r="L224" s="50"/>
      <c r="M224" s="50"/>
      <c r="N224" s="50"/>
      <c r="O224" s="51"/>
      <c r="P224" s="51"/>
      <c r="Q224" s="50"/>
      <c r="R224" s="50"/>
      <c r="S224" s="50"/>
      <c r="T224" s="50"/>
      <c r="U224" s="50"/>
      <c r="V224" s="50"/>
      <c r="W224" s="50"/>
      <c r="X224" s="51"/>
      <c r="Y224" s="51"/>
      <c r="Z224" s="50"/>
      <c r="AA224" s="50"/>
      <c r="AB224" s="50"/>
      <c r="AC224" s="50"/>
    </row>
    <row r="225" spans="1:29" ht="22" hidden="1" customHeight="1" x14ac:dyDescent="0.2">
      <c r="A225" s="50"/>
      <c r="B225" s="50"/>
      <c r="C225" s="50"/>
      <c r="D225" s="50"/>
      <c r="E225" s="50"/>
      <c r="F225" s="50"/>
      <c r="G225" s="50"/>
      <c r="H225" s="50"/>
      <c r="I225" s="50"/>
      <c r="J225" s="50"/>
      <c r="K225" s="50"/>
      <c r="L225" s="50"/>
      <c r="M225" s="50"/>
      <c r="N225" s="50"/>
      <c r="O225" s="51"/>
      <c r="P225" s="51"/>
      <c r="Q225" s="50"/>
      <c r="R225" s="50"/>
      <c r="S225" s="50"/>
      <c r="T225" s="50"/>
      <c r="U225" s="50"/>
      <c r="V225" s="50"/>
      <c r="W225" s="50"/>
      <c r="X225" s="51"/>
      <c r="Y225" s="51"/>
      <c r="Z225" s="50"/>
      <c r="AA225" s="50"/>
      <c r="AB225" s="50"/>
      <c r="AC225" s="50"/>
    </row>
    <row r="226" spans="1:29" ht="22" hidden="1" customHeight="1" x14ac:dyDescent="0.2">
      <c r="A226" s="50"/>
      <c r="B226" s="50"/>
      <c r="C226" s="50"/>
      <c r="D226" s="50"/>
      <c r="E226" s="50"/>
      <c r="F226" s="50"/>
      <c r="G226" s="50"/>
      <c r="H226" s="50"/>
      <c r="I226" s="50"/>
      <c r="J226" s="50"/>
      <c r="K226" s="50"/>
      <c r="L226" s="50"/>
      <c r="M226" s="50"/>
      <c r="N226" s="50"/>
      <c r="O226" s="51"/>
      <c r="P226" s="51"/>
      <c r="Q226" s="50"/>
      <c r="R226" s="50"/>
      <c r="S226" s="50"/>
      <c r="T226" s="50"/>
      <c r="U226" s="50"/>
      <c r="V226" s="50"/>
      <c r="W226" s="50"/>
      <c r="X226" s="51"/>
      <c r="Y226" s="51"/>
      <c r="Z226" s="50"/>
      <c r="AA226" s="50"/>
      <c r="AB226" s="50"/>
      <c r="AC226" s="50"/>
    </row>
    <row r="227" spans="1:29" ht="22" hidden="1" customHeight="1" x14ac:dyDescent="0.2">
      <c r="A227" s="50"/>
      <c r="B227" s="50"/>
      <c r="C227" s="50"/>
      <c r="D227" s="50"/>
      <c r="E227" s="50"/>
      <c r="F227" s="50"/>
      <c r="G227" s="50"/>
      <c r="H227" s="50"/>
      <c r="I227" s="50"/>
      <c r="J227" s="50"/>
      <c r="K227" s="50"/>
      <c r="L227" s="50"/>
      <c r="M227" s="50"/>
      <c r="N227" s="50"/>
      <c r="O227" s="51"/>
      <c r="P227" s="51"/>
      <c r="Q227" s="50"/>
      <c r="R227" s="50"/>
      <c r="S227" s="50"/>
      <c r="T227" s="50"/>
      <c r="U227" s="50"/>
      <c r="V227" s="50"/>
      <c r="W227" s="50"/>
      <c r="X227" s="51"/>
      <c r="Y227" s="51"/>
      <c r="Z227" s="50"/>
      <c r="AA227" s="50"/>
      <c r="AB227" s="50"/>
      <c r="AC227" s="50"/>
    </row>
    <row r="228" spans="1:29" ht="22" hidden="1" customHeight="1" x14ac:dyDescent="0.2">
      <c r="A228" s="50"/>
      <c r="B228" s="50"/>
      <c r="C228" s="50"/>
      <c r="D228" s="50"/>
      <c r="E228" s="50"/>
      <c r="F228" s="50"/>
      <c r="G228" s="50"/>
      <c r="H228" s="50"/>
      <c r="I228" s="50"/>
      <c r="J228" s="50"/>
      <c r="K228" s="50"/>
      <c r="L228" s="50"/>
      <c r="M228" s="50"/>
      <c r="N228" s="50"/>
      <c r="O228" s="51"/>
      <c r="P228" s="51"/>
      <c r="Q228" s="50"/>
      <c r="R228" s="50"/>
      <c r="S228" s="50"/>
      <c r="T228" s="50"/>
      <c r="U228" s="50"/>
      <c r="V228" s="50"/>
      <c r="W228" s="50"/>
      <c r="X228" s="51"/>
      <c r="Y228" s="51"/>
      <c r="Z228" s="50"/>
      <c r="AA228" s="50"/>
      <c r="AB228" s="50"/>
      <c r="AC228" s="50"/>
    </row>
    <row r="229" spans="1:29" ht="22" hidden="1" customHeight="1" x14ac:dyDescent="0.2">
      <c r="A229" s="50"/>
      <c r="B229" s="50"/>
      <c r="C229" s="50"/>
      <c r="D229" s="50"/>
      <c r="E229" s="50"/>
      <c r="F229" s="50"/>
      <c r="G229" s="50"/>
      <c r="H229" s="50"/>
      <c r="I229" s="50"/>
      <c r="J229" s="50"/>
      <c r="K229" s="50"/>
      <c r="L229" s="50"/>
      <c r="M229" s="50"/>
      <c r="N229" s="50"/>
      <c r="O229" s="51"/>
      <c r="P229" s="51"/>
      <c r="Q229" s="50"/>
      <c r="R229" s="50"/>
      <c r="S229" s="50"/>
      <c r="T229" s="50"/>
      <c r="U229" s="50"/>
      <c r="V229" s="50"/>
      <c r="W229" s="50"/>
      <c r="X229" s="51"/>
      <c r="Y229" s="51"/>
      <c r="Z229" s="50"/>
      <c r="AA229" s="50"/>
      <c r="AB229" s="50"/>
      <c r="AC229" s="50"/>
    </row>
    <row r="230" spans="1:29" ht="22" hidden="1" customHeight="1" x14ac:dyDescent="0.2">
      <c r="A230" s="50"/>
      <c r="B230" s="50"/>
      <c r="C230" s="50"/>
      <c r="D230" s="50"/>
      <c r="E230" s="50"/>
      <c r="F230" s="50"/>
      <c r="G230" s="50"/>
      <c r="H230" s="50"/>
      <c r="I230" s="50"/>
      <c r="J230" s="50"/>
      <c r="K230" s="50"/>
      <c r="L230" s="50"/>
      <c r="M230" s="50"/>
      <c r="N230" s="50"/>
      <c r="O230" s="51"/>
      <c r="P230" s="51"/>
      <c r="Q230" s="50"/>
      <c r="R230" s="50"/>
      <c r="S230" s="50"/>
      <c r="T230" s="50"/>
      <c r="U230" s="50"/>
      <c r="V230" s="50"/>
      <c r="W230" s="50"/>
      <c r="X230" s="51"/>
      <c r="Y230" s="51"/>
      <c r="Z230" s="50"/>
      <c r="AA230" s="50"/>
      <c r="AB230" s="50"/>
      <c r="AC230" s="50"/>
    </row>
    <row r="231" spans="1:29" ht="22" hidden="1" customHeight="1" x14ac:dyDescent="0.2">
      <c r="A231" s="50"/>
      <c r="B231" s="50"/>
      <c r="C231" s="50"/>
      <c r="D231" s="50"/>
      <c r="E231" s="50"/>
      <c r="F231" s="50"/>
      <c r="G231" s="50"/>
      <c r="H231" s="50"/>
      <c r="I231" s="50"/>
      <c r="J231" s="50"/>
      <c r="K231" s="50"/>
      <c r="L231" s="50"/>
      <c r="M231" s="50"/>
      <c r="N231" s="50"/>
      <c r="O231" s="51"/>
      <c r="P231" s="51"/>
      <c r="Q231" s="50"/>
      <c r="R231" s="50"/>
      <c r="S231" s="50"/>
      <c r="T231" s="50"/>
      <c r="U231" s="50"/>
      <c r="V231" s="50"/>
      <c r="W231" s="50"/>
      <c r="X231" s="51"/>
      <c r="Y231" s="51"/>
      <c r="Z231" s="50"/>
      <c r="AA231" s="50"/>
      <c r="AB231" s="50"/>
      <c r="AC231" s="50"/>
    </row>
    <row r="232" spans="1:29" ht="22" hidden="1" customHeight="1" x14ac:dyDescent="0.2">
      <c r="A232" s="50"/>
      <c r="B232" s="50"/>
      <c r="C232" s="50"/>
      <c r="D232" s="50"/>
      <c r="E232" s="50"/>
      <c r="F232" s="50"/>
      <c r="G232" s="50"/>
      <c r="H232" s="50"/>
      <c r="I232" s="50"/>
      <c r="J232" s="50"/>
      <c r="K232" s="50"/>
      <c r="L232" s="50"/>
      <c r="M232" s="50"/>
      <c r="N232" s="50"/>
      <c r="O232" s="51"/>
      <c r="P232" s="51"/>
      <c r="Q232" s="50"/>
      <c r="R232" s="50"/>
      <c r="S232" s="50"/>
      <c r="T232" s="50"/>
      <c r="U232" s="50"/>
      <c r="V232" s="50"/>
      <c r="W232" s="50"/>
      <c r="X232" s="51"/>
      <c r="Y232" s="51"/>
      <c r="Z232" s="50"/>
      <c r="AA232" s="50"/>
      <c r="AB232" s="50"/>
      <c r="AC232" s="50"/>
    </row>
    <row r="233" spans="1:29" ht="22" hidden="1" customHeight="1" x14ac:dyDescent="0.2">
      <c r="A233" s="50"/>
      <c r="B233" s="50"/>
      <c r="C233" s="50"/>
      <c r="D233" s="50"/>
      <c r="E233" s="50"/>
      <c r="F233" s="50"/>
      <c r="G233" s="50"/>
      <c r="H233" s="50"/>
      <c r="I233" s="50"/>
      <c r="J233" s="50"/>
      <c r="K233" s="50"/>
      <c r="L233" s="50"/>
      <c r="M233" s="50"/>
      <c r="N233" s="50"/>
      <c r="O233" s="51"/>
      <c r="P233" s="51"/>
      <c r="Q233" s="50"/>
      <c r="R233" s="50"/>
      <c r="S233" s="50"/>
      <c r="T233" s="50"/>
      <c r="U233" s="50"/>
      <c r="V233" s="50"/>
      <c r="W233" s="50"/>
      <c r="X233" s="51"/>
      <c r="Y233" s="51"/>
      <c r="Z233" s="50"/>
      <c r="AA233" s="50"/>
      <c r="AB233" s="50"/>
      <c r="AC233" s="50"/>
    </row>
    <row r="234" spans="1:29" ht="22" hidden="1" customHeight="1" x14ac:dyDescent="0.2">
      <c r="A234" s="50"/>
      <c r="B234" s="50"/>
      <c r="C234" s="50"/>
      <c r="D234" s="50"/>
      <c r="E234" s="50"/>
      <c r="F234" s="50"/>
      <c r="G234" s="50"/>
      <c r="H234" s="50"/>
      <c r="I234" s="50"/>
      <c r="J234" s="50"/>
      <c r="K234" s="50"/>
      <c r="L234" s="50"/>
      <c r="M234" s="50"/>
      <c r="N234" s="50"/>
      <c r="O234" s="51"/>
      <c r="P234" s="51"/>
      <c r="Q234" s="50"/>
      <c r="R234" s="50"/>
      <c r="S234" s="50"/>
      <c r="T234" s="50"/>
      <c r="U234" s="50"/>
      <c r="V234" s="50"/>
      <c r="W234" s="50"/>
      <c r="X234" s="51"/>
      <c r="Y234" s="51"/>
      <c r="Z234" s="50"/>
      <c r="AA234" s="50"/>
      <c r="AB234" s="50"/>
      <c r="AC234" s="50"/>
    </row>
    <row r="235" spans="1:29" ht="22" hidden="1" customHeight="1" x14ac:dyDescent="0.2">
      <c r="A235" s="50"/>
      <c r="B235" s="50"/>
      <c r="C235" s="50"/>
      <c r="D235" s="50"/>
      <c r="E235" s="50"/>
      <c r="F235" s="50"/>
      <c r="G235" s="50"/>
      <c r="H235" s="50"/>
      <c r="I235" s="50"/>
      <c r="J235" s="50"/>
      <c r="K235" s="50"/>
      <c r="L235" s="50"/>
      <c r="M235" s="50"/>
      <c r="N235" s="50"/>
      <c r="O235" s="51"/>
      <c r="P235" s="51"/>
      <c r="Q235" s="50"/>
      <c r="R235" s="50"/>
      <c r="S235" s="50"/>
      <c r="T235" s="50"/>
      <c r="U235" s="50"/>
      <c r="V235" s="50"/>
      <c r="W235" s="50"/>
      <c r="X235" s="51"/>
      <c r="Y235" s="51"/>
      <c r="Z235" s="50"/>
      <c r="AA235" s="50"/>
      <c r="AB235" s="50"/>
      <c r="AC235" s="50"/>
    </row>
    <row r="236" spans="1:29" ht="22" hidden="1" customHeight="1" x14ac:dyDescent="0.2">
      <c r="A236" s="50"/>
      <c r="B236" s="50"/>
      <c r="C236" s="50"/>
      <c r="D236" s="50"/>
      <c r="E236" s="50"/>
      <c r="F236" s="50"/>
      <c r="G236" s="50"/>
      <c r="H236" s="50"/>
      <c r="I236" s="50"/>
      <c r="J236" s="50"/>
      <c r="K236" s="50"/>
      <c r="L236" s="50"/>
      <c r="M236" s="50"/>
      <c r="N236" s="50"/>
      <c r="O236" s="51"/>
      <c r="P236" s="51"/>
      <c r="Q236" s="50"/>
      <c r="R236" s="50"/>
      <c r="S236" s="50"/>
      <c r="T236" s="50"/>
      <c r="U236" s="50"/>
      <c r="V236" s="50"/>
      <c r="W236" s="50"/>
      <c r="X236" s="51"/>
      <c r="Y236" s="51"/>
      <c r="Z236" s="50"/>
      <c r="AA236" s="50"/>
      <c r="AB236" s="50"/>
      <c r="AC236" s="50"/>
    </row>
    <row r="237" spans="1:29" ht="22" hidden="1" customHeight="1" x14ac:dyDescent="0.2">
      <c r="A237" s="50"/>
      <c r="B237" s="50"/>
      <c r="C237" s="50"/>
      <c r="D237" s="50"/>
      <c r="E237" s="50"/>
      <c r="F237" s="50"/>
      <c r="G237" s="50"/>
      <c r="H237" s="50"/>
      <c r="I237" s="50"/>
      <c r="J237" s="50"/>
      <c r="K237" s="50"/>
      <c r="L237" s="50"/>
      <c r="M237" s="50"/>
      <c r="N237" s="50"/>
      <c r="O237" s="51"/>
      <c r="P237" s="51"/>
      <c r="Q237" s="50"/>
      <c r="R237" s="50"/>
      <c r="S237" s="50"/>
      <c r="T237" s="50"/>
      <c r="U237" s="50"/>
      <c r="V237" s="50"/>
      <c r="W237" s="50"/>
      <c r="X237" s="51"/>
      <c r="Y237" s="51"/>
      <c r="Z237" s="50"/>
      <c r="AA237" s="50"/>
      <c r="AB237" s="50"/>
      <c r="AC237" s="50"/>
    </row>
    <row r="238" spans="1:29" ht="22" hidden="1" customHeight="1" x14ac:dyDescent="0.2">
      <c r="A238" s="50"/>
      <c r="B238" s="50"/>
      <c r="C238" s="50"/>
      <c r="D238" s="50"/>
      <c r="E238" s="50"/>
      <c r="F238" s="50"/>
      <c r="G238" s="50"/>
      <c r="H238" s="50"/>
      <c r="I238" s="50"/>
      <c r="J238" s="50"/>
      <c r="K238" s="50"/>
      <c r="L238" s="50"/>
      <c r="M238" s="50"/>
      <c r="N238" s="50"/>
      <c r="O238" s="51"/>
      <c r="P238" s="51"/>
      <c r="Q238" s="50"/>
      <c r="R238" s="50"/>
      <c r="S238" s="50"/>
      <c r="T238" s="50"/>
      <c r="U238" s="50"/>
      <c r="V238" s="50"/>
      <c r="W238" s="50"/>
      <c r="X238" s="51"/>
      <c r="Y238" s="51"/>
      <c r="Z238" s="50"/>
      <c r="AA238" s="50"/>
      <c r="AB238" s="50"/>
      <c r="AC238" s="50"/>
    </row>
    <row r="239" spans="1:29" ht="22" hidden="1" customHeight="1" x14ac:dyDescent="0.2">
      <c r="A239" s="50"/>
      <c r="B239" s="50"/>
      <c r="C239" s="50"/>
      <c r="D239" s="50"/>
      <c r="E239" s="50"/>
      <c r="F239" s="50"/>
      <c r="G239" s="50"/>
      <c r="H239" s="50"/>
      <c r="I239" s="50"/>
      <c r="J239" s="50"/>
      <c r="K239" s="50"/>
      <c r="L239" s="50"/>
      <c r="M239" s="50"/>
      <c r="N239" s="50"/>
      <c r="O239" s="51"/>
      <c r="P239" s="51"/>
      <c r="Q239" s="50"/>
      <c r="R239" s="50"/>
      <c r="S239" s="50"/>
      <c r="T239" s="50"/>
      <c r="U239" s="50"/>
      <c r="V239" s="50"/>
      <c r="W239" s="50"/>
      <c r="X239" s="51"/>
      <c r="Y239" s="51"/>
      <c r="Z239" s="50"/>
      <c r="AA239" s="50"/>
      <c r="AB239" s="50"/>
      <c r="AC239" s="50"/>
    </row>
    <row r="240" spans="1:29" ht="22" hidden="1" customHeight="1" x14ac:dyDescent="0.2">
      <c r="A240" s="50"/>
      <c r="B240" s="50"/>
      <c r="C240" s="50"/>
      <c r="D240" s="50"/>
      <c r="E240" s="50"/>
      <c r="F240" s="50"/>
      <c r="G240" s="50"/>
      <c r="H240" s="50"/>
      <c r="I240" s="50"/>
      <c r="J240" s="50"/>
      <c r="K240" s="50"/>
      <c r="L240" s="50"/>
      <c r="M240" s="50"/>
      <c r="N240" s="50"/>
      <c r="O240" s="51"/>
      <c r="P240" s="51"/>
      <c r="Q240" s="50"/>
      <c r="R240" s="50"/>
      <c r="S240" s="50"/>
      <c r="T240" s="50"/>
      <c r="U240" s="50"/>
      <c r="V240" s="50"/>
      <c r="W240" s="50"/>
      <c r="X240" s="51"/>
      <c r="Y240" s="51"/>
      <c r="Z240" s="50"/>
      <c r="AA240" s="50"/>
      <c r="AB240" s="50"/>
      <c r="AC240" s="50"/>
    </row>
    <row r="241" spans="1:29" ht="22" hidden="1" customHeight="1" x14ac:dyDescent="0.2">
      <c r="A241" s="50"/>
      <c r="B241" s="50"/>
      <c r="C241" s="50"/>
      <c r="D241" s="50"/>
      <c r="E241" s="50"/>
      <c r="F241" s="50"/>
      <c r="G241" s="50"/>
      <c r="H241" s="50"/>
      <c r="I241" s="50"/>
      <c r="J241" s="50"/>
      <c r="K241" s="50"/>
      <c r="L241" s="50"/>
      <c r="M241" s="50"/>
      <c r="N241" s="50"/>
      <c r="O241" s="51"/>
      <c r="P241" s="51"/>
      <c r="Q241" s="50"/>
      <c r="R241" s="50"/>
      <c r="S241" s="50"/>
      <c r="T241" s="50"/>
      <c r="U241" s="50"/>
      <c r="V241" s="50"/>
      <c r="W241" s="50"/>
      <c r="X241" s="51"/>
      <c r="Y241" s="51"/>
      <c r="Z241" s="50"/>
      <c r="AA241" s="50"/>
      <c r="AB241" s="50"/>
      <c r="AC241" s="50"/>
    </row>
    <row r="242" spans="1:29" ht="22" hidden="1" customHeight="1" x14ac:dyDescent="0.2">
      <c r="A242" s="50"/>
      <c r="B242" s="50"/>
      <c r="C242" s="50"/>
      <c r="D242" s="50"/>
      <c r="E242" s="50"/>
      <c r="F242" s="50"/>
      <c r="G242" s="50"/>
      <c r="H242" s="50"/>
      <c r="I242" s="50"/>
      <c r="J242" s="50"/>
      <c r="K242" s="50"/>
      <c r="L242" s="50"/>
      <c r="M242" s="50"/>
      <c r="N242" s="50"/>
      <c r="O242" s="51"/>
      <c r="P242" s="51"/>
      <c r="Q242" s="50"/>
      <c r="R242" s="50"/>
      <c r="S242" s="50"/>
      <c r="T242" s="50"/>
      <c r="U242" s="50"/>
      <c r="V242" s="50"/>
      <c r="W242" s="50"/>
      <c r="X242" s="51"/>
      <c r="Y242" s="51"/>
      <c r="Z242" s="50"/>
      <c r="AA242" s="50"/>
      <c r="AB242" s="50"/>
      <c r="AC242" s="50"/>
    </row>
    <row r="243" spans="1:29" ht="22" hidden="1" customHeight="1" x14ac:dyDescent="0.2">
      <c r="A243" s="50"/>
      <c r="B243" s="50"/>
      <c r="C243" s="50"/>
      <c r="D243" s="50"/>
      <c r="E243" s="50"/>
      <c r="F243" s="50"/>
      <c r="G243" s="50"/>
      <c r="H243" s="50"/>
      <c r="I243" s="50"/>
      <c r="J243" s="50"/>
      <c r="K243" s="50"/>
      <c r="L243" s="50"/>
      <c r="M243" s="50"/>
      <c r="N243" s="50"/>
      <c r="O243" s="51"/>
      <c r="P243" s="51"/>
      <c r="Q243" s="50"/>
      <c r="R243" s="50"/>
      <c r="S243" s="50"/>
      <c r="T243" s="50"/>
      <c r="U243" s="50"/>
      <c r="V243" s="50"/>
      <c r="W243" s="50"/>
      <c r="X243" s="51"/>
      <c r="Y243" s="51"/>
      <c r="Z243" s="50"/>
      <c r="AA243" s="50"/>
      <c r="AB243" s="50"/>
      <c r="AC243" s="50"/>
    </row>
    <row r="244" spans="1:29" ht="22" hidden="1" customHeight="1" x14ac:dyDescent="0.2">
      <c r="A244" s="50"/>
      <c r="B244" s="50"/>
      <c r="C244" s="50"/>
      <c r="D244" s="50"/>
      <c r="E244" s="50"/>
      <c r="F244" s="50"/>
      <c r="G244" s="50"/>
      <c r="H244" s="50"/>
      <c r="I244" s="50"/>
      <c r="J244" s="50"/>
      <c r="K244" s="50"/>
      <c r="L244" s="50"/>
      <c r="M244" s="50"/>
      <c r="N244" s="50"/>
      <c r="O244" s="51"/>
      <c r="P244" s="51"/>
      <c r="Q244" s="50"/>
      <c r="R244" s="50"/>
      <c r="S244" s="50"/>
      <c r="T244" s="50"/>
      <c r="U244" s="50"/>
      <c r="V244" s="50"/>
      <c r="W244" s="50"/>
      <c r="X244" s="51"/>
      <c r="Y244" s="51"/>
      <c r="Z244" s="50"/>
      <c r="AA244" s="50"/>
      <c r="AB244" s="50"/>
      <c r="AC244" s="50"/>
    </row>
    <row r="245" spans="1:29" ht="22" hidden="1" customHeight="1" x14ac:dyDescent="0.2">
      <c r="A245" s="50"/>
      <c r="B245" s="50"/>
      <c r="C245" s="50"/>
      <c r="D245" s="50"/>
      <c r="E245" s="50"/>
      <c r="F245" s="50"/>
      <c r="G245" s="50"/>
      <c r="H245" s="50"/>
      <c r="I245" s="50"/>
      <c r="J245" s="50"/>
      <c r="K245" s="50"/>
      <c r="L245" s="50"/>
      <c r="M245" s="50"/>
      <c r="N245" s="50"/>
      <c r="O245" s="51"/>
      <c r="P245" s="51"/>
      <c r="Q245" s="50"/>
      <c r="R245" s="50"/>
      <c r="S245" s="50"/>
      <c r="T245" s="50"/>
      <c r="U245" s="50"/>
      <c r="V245" s="50"/>
      <c r="W245" s="50"/>
      <c r="X245" s="51"/>
      <c r="Y245" s="51"/>
      <c r="Z245" s="50"/>
      <c r="AA245" s="50"/>
      <c r="AB245" s="50"/>
      <c r="AC245" s="50"/>
    </row>
    <row r="246" spans="1:29" ht="22" hidden="1" customHeight="1" x14ac:dyDescent="0.2">
      <c r="A246" s="50"/>
      <c r="B246" s="50"/>
      <c r="C246" s="50"/>
      <c r="D246" s="50"/>
      <c r="E246" s="50"/>
      <c r="F246" s="50"/>
      <c r="G246" s="50"/>
      <c r="H246" s="50"/>
      <c r="I246" s="50"/>
      <c r="J246" s="50"/>
      <c r="K246" s="50"/>
      <c r="L246" s="50"/>
      <c r="M246" s="50"/>
      <c r="N246" s="50"/>
      <c r="O246" s="51"/>
      <c r="P246" s="51"/>
      <c r="Q246" s="50"/>
      <c r="R246" s="50"/>
      <c r="S246" s="50"/>
      <c r="T246" s="50"/>
      <c r="U246" s="50"/>
      <c r="V246" s="50"/>
      <c r="W246" s="50"/>
      <c r="X246" s="51"/>
      <c r="Y246" s="51"/>
      <c r="Z246" s="50"/>
      <c r="AA246" s="50"/>
      <c r="AB246" s="50"/>
      <c r="AC246" s="50"/>
    </row>
    <row r="247" spans="1:29" ht="22" hidden="1" customHeight="1" x14ac:dyDescent="0.2">
      <c r="A247" s="50"/>
      <c r="B247" s="50"/>
      <c r="C247" s="50"/>
      <c r="D247" s="50"/>
      <c r="E247" s="50"/>
      <c r="F247" s="50"/>
      <c r="G247" s="50"/>
      <c r="H247" s="50"/>
      <c r="I247" s="50"/>
      <c r="J247" s="50"/>
      <c r="K247" s="50"/>
      <c r="L247" s="50"/>
      <c r="M247" s="50"/>
      <c r="N247" s="50"/>
      <c r="O247" s="51"/>
      <c r="P247" s="51"/>
      <c r="Q247" s="50"/>
      <c r="R247" s="50"/>
      <c r="S247" s="50"/>
      <c r="T247" s="50"/>
      <c r="U247" s="50"/>
      <c r="V247" s="50"/>
      <c r="W247" s="50"/>
      <c r="X247" s="51"/>
      <c r="Y247" s="51"/>
      <c r="Z247" s="50"/>
      <c r="AA247" s="50"/>
      <c r="AB247" s="50"/>
      <c r="AC247" s="50"/>
    </row>
    <row r="248" spans="1:29" ht="22" hidden="1" customHeight="1" x14ac:dyDescent="0.2">
      <c r="A248" s="50"/>
      <c r="B248" s="50"/>
      <c r="C248" s="50"/>
      <c r="D248" s="50"/>
      <c r="E248" s="50"/>
      <c r="F248" s="50"/>
      <c r="G248" s="50"/>
      <c r="H248" s="50"/>
      <c r="I248" s="50"/>
      <c r="J248" s="50"/>
      <c r="K248" s="50"/>
      <c r="L248" s="50"/>
      <c r="M248" s="50"/>
      <c r="N248" s="50"/>
      <c r="O248" s="51"/>
      <c r="P248" s="51"/>
      <c r="Q248" s="50"/>
      <c r="R248" s="50"/>
      <c r="S248" s="50"/>
      <c r="T248" s="50"/>
      <c r="U248" s="50"/>
      <c r="V248" s="50"/>
      <c r="W248" s="50"/>
      <c r="X248" s="51"/>
      <c r="Y248" s="51"/>
      <c r="Z248" s="50"/>
      <c r="AA248" s="50"/>
      <c r="AB248" s="50"/>
      <c r="AC248" s="50"/>
    </row>
    <row r="249" spans="1:29" ht="22" hidden="1" customHeight="1" x14ac:dyDescent="0.2">
      <c r="A249" s="50"/>
      <c r="B249" s="50"/>
      <c r="C249" s="50"/>
      <c r="D249" s="50"/>
      <c r="E249" s="50"/>
      <c r="F249" s="50"/>
      <c r="G249" s="50"/>
      <c r="H249" s="50"/>
      <c r="I249" s="50"/>
      <c r="J249" s="50"/>
      <c r="K249" s="50"/>
      <c r="L249" s="50"/>
      <c r="M249" s="50"/>
      <c r="N249" s="50"/>
      <c r="O249" s="51"/>
      <c r="P249" s="51"/>
      <c r="Q249" s="50"/>
      <c r="R249" s="50"/>
      <c r="S249" s="50"/>
      <c r="T249" s="50"/>
      <c r="U249" s="50"/>
      <c r="V249" s="50"/>
      <c r="W249" s="50"/>
      <c r="X249" s="51"/>
      <c r="Y249" s="51"/>
      <c r="Z249" s="50"/>
      <c r="AA249" s="50"/>
      <c r="AB249" s="50"/>
      <c r="AC249" s="50"/>
    </row>
    <row r="250" spans="1:29" ht="22" hidden="1" customHeight="1" x14ac:dyDescent="0.2">
      <c r="A250" s="50"/>
      <c r="B250" s="50"/>
      <c r="C250" s="50"/>
      <c r="D250" s="50"/>
      <c r="E250" s="50"/>
      <c r="F250" s="50"/>
      <c r="G250" s="50"/>
      <c r="H250" s="50"/>
      <c r="I250" s="50"/>
      <c r="J250" s="50"/>
      <c r="K250" s="50"/>
      <c r="L250" s="50"/>
      <c r="M250" s="50"/>
      <c r="N250" s="50"/>
      <c r="O250" s="51"/>
      <c r="P250" s="51"/>
      <c r="Q250" s="50"/>
      <c r="R250" s="50"/>
      <c r="S250" s="50"/>
      <c r="T250" s="50"/>
      <c r="U250" s="50"/>
      <c r="V250" s="50"/>
      <c r="W250" s="50"/>
      <c r="X250" s="51"/>
      <c r="Y250" s="51"/>
      <c r="Z250" s="50"/>
      <c r="AA250" s="50"/>
      <c r="AB250" s="50"/>
      <c r="AC250" s="50"/>
    </row>
    <row r="251" spans="1:29" ht="22" hidden="1" customHeight="1" x14ac:dyDescent="0.2">
      <c r="A251" s="50"/>
      <c r="B251" s="50"/>
      <c r="C251" s="50"/>
      <c r="D251" s="50"/>
      <c r="E251" s="50"/>
      <c r="F251" s="50"/>
      <c r="G251" s="50"/>
      <c r="H251" s="50"/>
      <c r="I251" s="50"/>
      <c r="J251" s="50"/>
      <c r="K251" s="50"/>
      <c r="L251" s="50"/>
      <c r="M251" s="50"/>
      <c r="N251" s="50"/>
      <c r="O251" s="51"/>
      <c r="P251" s="51"/>
      <c r="Q251" s="50"/>
      <c r="R251" s="50"/>
      <c r="S251" s="50"/>
      <c r="T251" s="50"/>
      <c r="U251" s="50"/>
      <c r="V251" s="50"/>
      <c r="W251" s="50"/>
      <c r="X251" s="51"/>
      <c r="Y251" s="51"/>
      <c r="Z251" s="50"/>
      <c r="AA251" s="50"/>
      <c r="AB251" s="50"/>
      <c r="AC251" s="50"/>
    </row>
    <row r="252" spans="1:29" ht="22" hidden="1" customHeight="1" x14ac:dyDescent="0.2">
      <c r="A252" s="50"/>
      <c r="B252" s="50"/>
      <c r="C252" s="50"/>
      <c r="D252" s="50"/>
      <c r="E252" s="50"/>
      <c r="F252" s="50"/>
      <c r="G252" s="50"/>
      <c r="H252" s="50"/>
      <c r="I252" s="50"/>
      <c r="J252" s="50"/>
      <c r="K252" s="50"/>
      <c r="L252" s="50"/>
      <c r="M252" s="50"/>
      <c r="N252" s="50"/>
      <c r="O252" s="51"/>
      <c r="P252" s="51"/>
      <c r="Q252" s="50"/>
      <c r="R252" s="50"/>
      <c r="S252" s="50"/>
      <c r="T252" s="50"/>
      <c r="U252" s="50"/>
      <c r="V252" s="50"/>
      <c r="W252" s="50"/>
      <c r="X252" s="51"/>
      <c r="Y252" s="51"/>
      <c r="Z252" s="50"/>
      <c r="AA252" s="50"/>
      <c r="AB252" s="50"/>
      <c r="AC252" s="50"/>
    </row>
    <row r="253" spans="1:29" ht="22" hidden="1" customHeight="1" x14ac:dyDescent="0.2">
      <c r="A253" s="50"/>
      <c r="B253" s="50"/>
      <c r="C253" s="50"/>
      <c r="D253" s="50"/>
      <c r="E253" s="50"/>
      <c r="F253" s="50"/>
      <c r="G253" s="50"/>
      <c r="H253" s="50"/>
      <c r="I253" s="50"/>
      <c r="J253" s="50"/>
      <c r="K253" s="50"/>
      <c r="L253" s="50"/>
      <c r="M253" s="50"/>
      <c r="N253" s="50"/>
      <c r="O253" s="51"/>
      <c r="P253" s="51"/>
      <c r="Q253" s="50"/>
      <c r="R253" s="50"/>
      <c r="S253" s="50"/>
      <c r="T253" s="50"/>
      <c r="U253" s="50"/>
      <c r="V253" s="50"/>
      <c r="W253" s="50"/>
      <c r="X253" s="51"/>
      <c r="Y253" s="51"/>
      <c r="Z253" s="50"/>
      <c r="AA253" s="50"/>
      <c r="AB253" s="50"/>
      <c r="AC253" s="50"/>
    </row>
    <row r="254" spans="1:29" ht="22" hidden="1" customHeight="1" x14ac:dyDescent="0.2">
      <c r="A254" s="50"/>
      <c r="B254" s="50"/>
      <c r="C254" s="50"/>
      <c r="D254" s="50"/>
      <c r="E254" s="50"/>
      <c r="F254" s="50"/>
      <c r="G254" s="50"/>
      <c r="H254" s="50"/>
      <c r="I254" s="50"/>
      <c r="J254" s="50"/>
      <c r="K254" s="50"/>
      <c r="L254" s="50"/>
      <c r="M254" s="50"/>
      <c r="N254" s="50"/>
      <c r="O254" s="51"/>
      <c r="P254" s="51"/>
      <c r="Q254" s="50"/>
      <c r="R254" s="50"/>
      <c r="S254" s="50"/>
      <c r="T254" s="50"/>
      <c r="U254" s="50"/>
      <c r="V254" s="50"/>
      <c r="W254" s="50"/>
      <c r="X254" s="51"/>
      <c r="Y254" s="51"/>
      <c r="Z254" s="50"/>
      <c r="AA254" s="50"/>
      <c r="AB254" s="50"/>
      <c r="AC254" s="50"/>
    </row>
    <row r="255" spans="1:29" ht="22" hidden="1" customHeight="1" x14ac:dyDescent="0.2">
      <c r="A255" s="50"/>
      <c r="B255" s="50"/>
      <c r="C255" s="50"/>
      <c r="D255" s="50"/>
      <c r="E255" s="50"/>
      <c r="F255" s="50"/>
      <c r="G255" s="50"/>
      <c r="H255" s="50"/>
      <c r="I255" s="50"/>
      <c r="J255" s="50"/>
      <c r="K255" s="50"/>
      <c r="L255" s="50"/>
      <c r="M255" s="50"/>
      <c r="N255" s="50"/>
      <c r="O255" s="51"/>
      <c r="P255" s="51"/>
      <c r="Q255" s="50"/>
      <c r="R255" s="50"/>
      <c r="S255" s="50"/>
      <c r="T255" s="50"/>
      <c r="U255" s="50"/>
      <c r="V255" s="50"/>
      <c r="W255" s="50"/>
      <c r="X255" s="51"/>
      <c r="Y255" s="51"/>
      <c r="Z255" s="50"/>
      <c r="AA255" s="50"/>
      <c r="AB255" s="50"/>
      <c r="AC255" s="50"/>
    </row>
    <row r="256" spans="1:29" ht="22" hidden="1" customHeight="1" x14ac:dyDescent="0.2">
      <c r="A256" s="50"/>
      <c r="B256" s="50"/>
      <c r="C256" s="50"/>
      <c r="D256" s="50"/>
      <c r="E256" s="50"/>
      <c r="F256" s="50"/>
      <c r="G256" s="50"/>
      <c r="H256" s="50"/>
      <c r="I256" s="50"/>
      <c r="J256" s="50"/>
      <c r="K256" s="50"/>
      <c r="L256" s="50"/>
      <c r="M256" s="50"/>
      <c r="N256" s="50"/>
      <c r="O256" s="51"/>
      <c r="P256" s="51"/>
      <c r="Q256" s="50"/>
      <c r="R256" s="50"/>
      <c r="S256" s="50"/>
      <c r="T256" s="50"/>
      <c r="U256" s="50"/>
      <c r="V256" s="50"/>
      <c r="W256" s="50"/>
      <c r="X256" s="51"/>
      <c r="Y256" s="51"/>
      <c r="Z256" s="50"/>
      <c r="AA256" s="50"/>
      <c r="AB256" s="50"/>
      <c r="AC256" s="50"/>
    </row>
    <row r="257" spans="1:29" ht="22" hidden="1" customHeight="1" x14ac:dyDescent="0.2">
      <c r="A257" s="50"/>
      <c r="B257" s="50"/>
      <c r="C257" s="50"/>
      <c r="D257" s="50"/>
      <c r="E257" s="50"/>
      <c r="F257" s="50"/>
      <c r="G257" s="50"/>
      <c r="H257" s="50"/>
      <c r="I257" s="50"/>
      <c r="J257" s="50"/>
      <c r="K257" s="50"/>
      <c r="L257" s="50"/>
      <c r="M257" s="50"/>
      <c r="N257" s="50"/>
      <c r="O257" s="51"/>
      <c r="P257" s="51"/>
      <c r="Q257" s="50"/>
      <c r="R257" s="50"/>
      <c r="S257" s="50"/>
      <c r="T257" s="50"/>
      <c r="U257" s="50"/>
      <c r="V257" s="50"/>
      <c r="W257" s="50"/>
      <c r="X257" s="51"/>
      <c r="Y257" s="51"/>
      <c r="Z257" s="50"/>
      <c r="AA257" s="50"/>
      <c r="AB257" s="50"/>
      <c r="AC257" s="50"/>
    </row>
    <row r="258" spans="1:29" ht="22" hidden="1" customHeight="1" x14ac:dyDescent="0.2">
      <c r="A258" s="50"/>
      <c r="B258" s="50"/>
      <c r="C258" s="50"/>
      <c r="D258" s="50"/>
      <c r="E258" s="50"/>
      <c r="F258" s="50"/>
      <c r="G258" s="50"/>
      <c r="H258" s="50"/>
      <c r="I258" s="50"/>
      <c r="J258" s="50"/>
      <c r="K258" s="50"/>
      <c r="L258" s="50"/>
      <c r="M258" s="50"/>
      <c r="N258" s="50"/>
      <c r="O258" s="51"/>
      <c r="P258" s="51"/>
      <c r="Q258" s="50"/>
      <c r="R258" s="50"/>
      <c r="S258" s="50"/>
      <c r="T258" s="50"/>
      <c r="U258" s="50"/>
      <c r="V258" s="50"/>
      <c r="W258" s="50"/>
      <c r="X258" s="51"/>
      <c r="Y258" s="51"/>
      <c r="Z258" s="50"/>
      <c r="AA258" s="50"/>
      <c r="AB258" s="50"/>
      <c r="AC258" s="50"/>
    </row>
    <row r="259" spans="1:29" ht="22" hidden="1" customHeight="1" x14ac:dyDescent="0.2">
      <c r="A259" s="50"/>
      <c r="B259" s="50"/>
      <c r="C259" s="50"/>
      <c r="D259" s="50"/>
      <c r="E259" s="50"/>
      <c r="F259" s="50"/>
      <c r="G259" s="50"/>
      <c r="H259" s="50"/>
      <c r="I259" s="50"/>
      <c r="J259" s="50"/>
      <c r="K259" s="50"/>
      <c r="L259" s="50"/>
      <c r="M259" s="50"/>
      <c r="N259" s="50"/>
      <c r="O259" s="51"/>
      <c r="P259" s="51"/>
      <c r="Q259" s="50"/>
      <c r="R259" s="50"/>
      <c r="S259" s="50"/>
      <c r="T259" s="50"/>
      <c r="U259" s="50"/>
      <c r="V259" s="50"/>
      <c r="W259" s="50"/>
      <c r="X259" s="51"/>
      <c r="Y259" s="51"/>
      <c r="Z259" s="50"/>
      <c r="AA259" s="50"/>
      <c r="AB259" s="50"/>
      <c r="AC259" s="50"/>
    </row>
    <row r="260" spans="1:29" ht="22" hidden="1" customHeight="1" x14ac:dyDescent="0.2">
      <c r="A260" s="50"/>
      <c r="B260" s="50"/>
      <c r="C260" s="50"/>
      <c r="D260" s="50"/>
      <c r="E260" s="50"/>
      <c r="F260" s="50"/>
      <c r="G260" s="50"/>
      <c r="H260" s="50"/>
      <c r="I260" s="50"/>
      <c r="J260" s="50"/>
      <c r="K260" s="50"/>
      <c r="L260" s="50"/>
      <c r="M260" s="50"/>
      <c r="N260" s="50"/>
      <c r="O260" s="51"/>
      <c r="P260" s="51"/>
      <c r="Q260" s="50"/>
      <c r="R260" s="50"/>
      <c r="S260" s="50"/>
      <c r="T260" s="50"/>
      <c r="U260" s="50"/>
      <c r="V260" s="50"/>
      <c r="W260" s="50"/>
      <c r="X260" s="51"/>
      <c r="Y260" s="51"/>
      <c r="Z260" s="50"/>
      <c r="AA260" s="50"/>
      <c r="AB260" s="50"/>
      <c r="AC260" s="50"/>
    </row>
    <row r="261" spans="1:29" ht="22" hidden="1" customHeight="1" x14ac:dyDescent="0.2">
      <c r="A261" s="50"/>
      <c r="B261" s="50"/>
      <c r="C261" s="50"/>
      <c r="D261" s="50"/>
      <c r="E261" s="50"/>
      <c r="F261" s="50"/>
      <c r="G261" s="50"/>
      <c r="H261" s="50"/>
      <c r="I261" s="50"/>
      <c r="J261" s="50"/>
      <c r="K261" s="50"/>
      <c r="L261" s="50"/>
      <c r="M261" s="50"/>
      <c r="N261" s="50"/>
      <c r="O261" s="51"/>
      <c r="P261" s="51"/>
      <c r="Q261" s="50"/>
      <c r="R261" s="50"/>
      <c r="S261" s="50"/>
      <c r="T261" s="50"/>
      <c r="U261" s="50"/>
      <c r="V261" s="50"/>
      <c r="W261" s="50"/>
      <c r="X261" s="51"/>
      <c r="Y261" s="51"/>
      <c r="Z261" s="50"/>
      <c r="AA261" s="50"/>
      <c r="AB261" s="50"/>
      <c r="AC261" s="50"/>
    </row>
    <row r="262" spans="1:29" ht="22" hidden="1" customHeight="1" x14ac:dyDescent="0.2">
      <c r="A262" s="50"/>
      <c r="B262" s="50"/>
      <c r="C262" s="50"/>
      <c r="D262" s="50"/>
      <c r="E262" s="50"/>
      <c r="F262" s="50"/>
      <c r="G262" s="50"/>
      <c r="H262" s="50"/>
      <c r="I262" s="50"/>
      <c r="J262" s="50"/>
      <c r="K262" s="50"/>
      <c r="L262" s="50"/>
      <c r="M262" s="50"/>
      <c r="N262" s="50"/>
      <c r="O262" s="51"/>
      <c r="P262" s="51"/>
      <c r="Q262" s="50"/>
      <c r="R262" s="50"/>
      <c r="S262" s="50"/>
      <c r="T262" s="50"/>
      <c r="U262" s="50"/>
      <c r="V262" s="50"/>
      <c r="W262" s="50"/>
      <c r="X262" s="51"/>
      <c r="Y262" s="51"/>
      <c r="Z262" s="50"/>
      <c r="AA262" s="50"/>
      <c r="AB262" s="50"/>
      <c r="AC262" s="50"/>
    </row>
    <row r="263" spans="1:29" ht="22" hidden="1" customHeight="1" x14ac:dyDescent="0.2">
      <c r="A263" s="50"/>
      <c r="B263" s="50"/>
      <c r="C263" s="50"/>
      <c r="D263" s="50"/>
      <c r="E263" s="50"/>
      <c r="F263" s="50"/>
      <c r="G263" s="50"/>
      <c r="H263" s="50"/>
      <c r="I263" s="50"/>
      <c r="J263" s="50"/>
      <c r="K263" s="50"/>
      <c r="L263" s="50"/>
      <c r="M263" s="50"/>
      <c r="N263" s="50"/>
      <c r="O263" s="51"/>
      <c r="P263" s="51"/>
      <c r="Q263" s="50"/>
      <c r="R263" s="50"/>
      <c r="S263" s="50"/>
      <c r="T263" s="50"/>
      <c r="U263" s="50"/>
      <c r="V263" s="50"/>
      <c r="W263" s="50"/>
      <c r="X263" s="51"/>
      <c r="Y263" s="51"/>
      <c r="Z263" s="50"/>
      <c r="AA263" s="50"/>
      <c r="AB263" s="50"/>
      <c r="AC263" s="50"/>
    </row>
    <row r="264" spans="1:29" ht="22" hidden="1" customHeight="1" x14ac:dyDescent="0.2">
      <c r="A264" s="50"/>
      <c r="B264" s="50"/>
      <c r="C264" s="50"/>
      <c r="D264" s="50"/>
      <c r="E264" s="50"/>
      <c r="F264" s="50"/>
      <c r="G264" s="50"/>
      <c r="H264" s="50"/>
      <c r="I264" s="50"/>
      <c r="J264" s="50"/>
      <c r="K264" s="50"/>
      <c r="L264" s="50"/>
      <c r="M264" s="50"/>
      <c r="N264" s="50"/>
      <c r="O264" s="51"/>
      <c r="P264" s="51"/>
      <c r="Q264" s="50"/>
      <c r="R264" s="50"/>
      <c r="S264" s="50"/>
      <c r="T264" s="50"/>
      <c r="U264" s="50"/>
      <c r="V264" s="50"/>
      <c r="W264" s="50"/>
      <c r="X264" s="51"/>
      <c r="Y264" s="51"/>
      <c r="Z264" s="50"/>
      <c r="AA264" s="50"/>
      <c r="AB264" s="50"/>
      <c r="AC264" s="50"/>
    </row>
    <row r="265" spans="1:29" ht="22" hidden="1" customHeight="1" x14ac:dyDescent="0.2">
      <c r="A265" s="50"/>
      <c r="B265" s="50"/>
      <c r="C265" s="50"/>
      <c r="D265" s="50"/>
      <c r="E265" s="50"/>
      <c r="F265" s="50"/>
      <c r="G265" s="50"/>
      <c r="H265" s="50"/>
      <c r="I265" s="50"/>
      <c r="J265" s="50"/>
      <c r="K265" s="50"/>
      <c r="L265" s="50"/>
      <c r="M265" s="50"/>
      <c r="N265" s="50"/>
      <c r="O265" s="51"/>
      <c r="P265" s="51"/>
      <c r="Q265" s="50"/>
      <c r="R265" s="50"/>
      <c r="S265" s="50"/>
      <c r="T265" s="50"/>
      <c r="U265" s="50"/>
      <c r="V265" s="50"/>
      <c r="W265" s="50"/>
      <c r="X265" s="51"/>
      <c r="Y265" s="51"/>
      <c r="Z265" s="50"/>
      <c r="AA265" s="50"/>
      <c r="AB265" s="50"/>
      <c r="AC265" s="50"/>
    </row>
    <row r="266" spans="1:29" ht="22" hidden="1" customHeight="1" x14ac:dyDescent="0.2">
      <c r="A266" s="50"/>
      <c r="B266" s="50"/>
      <c r="C266" s="50"/>
      <c r="D266" s="50"/>
      <c r="E266" s="50"/>
      <c r="F266" s="50"/>
      <c r="G266" s="50"/>
      <c r="H266" s="50"/>
      <c r="I266" s="50"/>
      <c r="J266" s="50"/>
      <c r="K266" s="50"/>
      <c r="L266" s="50"/>
      <c r="M266" s="50"/>
      <c r="N266" s="50"/>
      <c r="O266" s="51"/>
      <c r="P266" s="51"/>
      <c r="Q266" s="50"/>
      <c r="R266" s="50"/>
      <c r="S266" s="50"/>
      <c r="T266" s="50"/>
      <c r="U266" s="50"/>
      <c r="V266" s="50"/>
      <c r="W266" s="50"/>
      <c r="X266" s="51"/>
      <c r="Y266" s="51"/>
      <c r="Z266" s="50"/>
      <c r="AA266" s="50"/>
      <c r="AB266" s="50"/>
      <c r="AC266" s="50"/>
    </row>
    <row r="267" spans="1:29" ht="22" hidden="1" customHeight="1" x14ac:dyDescent="0.2">
      <c r="A267" s="50"/>
      <c r="B267" s="50"/>
      <c r="C267" s="50"/>
      <c r="D267" s="50"/>
      <c r="E267" s="50"/>
      <c r="F267" s="50"/>
      <c r="G267" s="50"/>
      <c r="H267" s="50"/>
      <c r="I267" s="50"/>
      <c r="J267" s="50"/>
      <c r="K267" s="50"/>
      <c r="L267" s="50"/>
      <c r="M267" s="50"/>
      <c r="N267" s="50"/>
      <c r="O267" s="51"/>
      <c r="P267" s="51"/>
      <c r="Q267" s="50"/>
      <c r="R267" s="50"/>
      <c r="S267" s="50"/>
      <c r="T267" s="50"/>
      <c r="U267" s="50"/>
      <c r="V267" s="50"/>
      <c r="W267" s="50"/>
      <c r="X267" s="51"/>
      <c r="Y267" s="51"/>
      <c r="Z267" s="50"/>
      <c r="AA267" s="50"/>
      <c r="AB267" s="50"/>
      <c r="AC267" s="50"/>
    </row>
    <row r="268" spans="1:29" ht="22" hidden="1" customHeight="1" x14ac:dyDescent="0.2">
      <c r="A268" s="50"/>
      <c r="B268" s="50"/>
      <c r="C268" s="50"/>
      <c r="D268" s="50"/>
      <c r="E268" s="50"/>
      <c r="F268" s="50"/>
      <c r="G268" s="50"/>
      <c r="H268" s="50"/>
      <c r="I268" s="50"/>
      <c r="J268" s="50"/>
      <c r="K268" s="50"/>
      <c r="L268" s="50"/>
      <c r="M268" s="50"/>
      <c r="N268" s="50"/>
      <c r="O268" s="51"/>
      <c r="P268" s="51"/>
      <c r="Q268" s="50"/>
      <c r="R268" s="50"/>
      <c r="S268" s="50"/>
      <c r="T268" s="50"/>
      <c r="U268" s="50"/>
      <c r="V268" s="50"/>
      <c r="W268" s="50"/>
      <c r="X268" s="51"/>
      <c r="Y268" s="51"/>
      <c r="Z268" s="50"/>
      <c r="AA268" s="50"/>
      <c r="AB268" s="50"/>
      <c r="AC268" s="50"/>
    </row>
    <row r="269" spans="1:29" ht="22" hidden="1" customHeight="1" x14ac:dyDescent="0.2">
      <c r="A269" s="50"/>
      <c r="B269" s="50"/>
      <c r="C269" s="50"/>
      <c r="D269" s="50"/>
      <c r="E269" s="50"/>
      <c r="F269" s="50"/>
      <c r="G269" s="50"/>
      <c r="H269" s="50"/>
      <c r="I269" s="50"/>
      <c r="J269" s="50"/>
      <c r="K269" s="50"/>
      <c r="L269" s="50"/>
      <c r="M269" s="50"/>
      <c r="N269" s="50"/>
      <c r="O269" s="51"/>
      <c r="P269" s="51"/>
      <c r="Q269" s="50"/>
      <c r="R269" s="50"/>
      <c r="S269" s="50"/>
      <c r="T269" s="50"/>
      <c r="U269" s="50"/>
      <c r="V269" s="50"/>
      <c r="W269" s="50"/>
      <c r="X269" s="51"/>
      <c r="Y269" s="51"/>
      <c r="Z269" s="50"/>
      <c r="AA269" s="50"/>
      <c r="AB269" s="50"/>
      <c r="AC269" s="50"/>
    </row>
    <row r="270" spans="1:29" ht="22" hidden="1" customHeight="1" x14ac:dyDescent="0.2">
      <c r="A270" s="50"/>
      <c r="B270" s="50"/>
      <c r="C270" s="50"/>
      <c r="D270" s="50"/>
      <c r="E270" s="50"/>
      <c r="F270" s="50"/>
      <c r="G270" s="50"/>
      <c r="H270" s="50"/>
      <c r="I270" s="50"/>
      <c r="J270" s="50"/>
      <c r="K270" s="50"/>
      <c r="L270" s="50"/>
      <c r="M270" s="50"/>
      <c r="N270" s="50"/>
      <c r="O270" s="51"/>
      <c r="P270" s="51"/>
      <c r="Q270" s="50"/>
      <c r="R270" s="50"/>
      <c r="S270" s="50"/>
      <c r="T270" s="50"/>
      <c r="U270" s="50"/>
      <c r="V270" s="50"/>
      <c r="W270" s="50"/>
      <c r="X270" s="51"/>
      <c r="Y270" s="51"/>
      <c r="Z270" s="50"/>
      <c r="AA270" s="50"/>
      <c r="AB270" s="50"/>
      <c r="AC270" s="50"/>
    </row>
    <row r="271" spans="1:29" ht="22" hidden="1" customHeight="1" x14ac:dyDescent="0.2">
      <c r="A271" s="50"/>
      <c r="B271" s="50"/>
      <c r="C271" s="50"/>
      <c r="D271" s="50"/>
      <c r="E271" s="50"/>
      <c r="F271" s="50"/>
      <c r="G271" s="50"/>
      <c r="H271" s="50"/>
      <c r="I271" s="50"/>
      <c r="J271" s="50"/>
      <c r="K271" s="50"/>
      <c r="L271" s="50"/>
      <c r="M271" s="50"/>
      <c r="N271" s="50"/>
      <c r="O271" s="51"/>
      <c r="P271" s="51"/>
      <c r="Q271" s="50"/>
      <c r="R271" s="50"/>
      <c r="S271" s="50"/>
      <c r="T271" s="50"/>
      <c r="U271" s="50"/>
      <c r="V271" s="50"/>
      <c r="W271" s="50"/>
      <c r="X271" s="51"/>
      <c r="Y271" s="51"/>
      <c r="Z271" s="50"/>
      <c r="AA271" s="50"/>
      <c r="AB271" s="50"/>
      <c r="AC271" s="50"/>
    </row>
    <row r="272" spans="1:29" ht="22" hidden="1" customHeight="1" x14ac:dyDescent="0.2">
      <c r="A272" s="50"/>
      <c r="B272" s="50"/>
      <c r="C272" s="50"/>
      <c r="D272" s="50"/>
      <c r="E272" s="50"/>
      <c r="F272" s="50"/>
      <c r="G272" s="50"/>
      <c r="H272" s="50"/>
      <c r="I272" s="50"/>
      <c r="J272" s="50"/>
      <c r="K272" s="50"/>
      <c r="L272" s="50"/>
      <c r="M272" s="50"/>
      <c r="N272" s="50"/>
      <c r="O272" s="51"/>
      <c r="P272" s="51"/>
      <c r="Q272" s="50"/>
      <c r="R272" s="50"/>
      <c r="S272" s="50"/>
      <c r="T272" s="50"/>
      <c r="U272" s="50"/>
      <c r="V272" s="50"/>
      <c r="W272" s="50"/>
      <c r="X272" s="51"/>
      <c r="Y272" s="51"/>
      <c r="Z272" s="50"/>
      <c r="AA272" s="50"/>
      <c r="AB272" s="50"/>
      <c r="AC272" s="50"/>
    </row>
    <row r="273" spans="1:29" ht="22" hidden="1" customHeight="1" x14ac:dyDescent="0.2">
      <c r="A273" s="50"/>
      <c r="B273" s="50"/>
      <c r="C273" s="50"/>
      <c r="D273" s="50"/>
      <c r="E273" s="50"/>
      <c r="F273" s="50"/>
      <c r="G273" s="50"/>
      <c r="H273" s="50"/>
      <c r="I273" s="50"/>
      <c r="J273" s="50"/>
      <c r="K273" s="50"/>
      <c r="L273" s="50"/>
      <c r="M273" s="50"/>
      <c r="N273" s="50"/>
      <c r="O273" s="51"/>
      <c r="P273" s="51"/>
      <c r="Q273" s="50"/>
      <c r="R273" s="50"/>
      <c r="S273" s="50"/>
      <c r="T273" s="50"/>
      <c r="U273" s="50"/>
      <c r="V273" s="50"/>
      <c r="W273" s="50"/>
      <c r="X273" s="51"/>
      <c r="Y273" s="51"/>
      <c r="Z273" s="50"/>
      <c r="AA273" s="50"/>
      <c r="AB273" s="50"/>
      <c r="AC273" s="50"/>
    </row>
    <row r="274" spans="1:29" ht="22" hidden="1" customHeight="1" x14ac:dyDescent="0.2">
      <c r="A274" s="50"/>
      <c r="B274" s="50"/>
      <c r="C274" s="50"/>
      <c r="D274" s="50"/>
      <c r="E274" s="50"/>
      <c r="F274" s="50"/>
      <c r="G274" s="50"/>
      <c r="H274" s="50"/>
      <c r="I274" s="50"/>
      <c r="J274" s="50"/>
      <c r="K274" s="50"/>
      <c r="L274" s="50"/>
      <c r="M274" s="50"/>
      <c r="N274" s="50"/>
      <c r="O274" s="51"/>
      <c r="P274" s="51"/>
      <c r="Q274" s="50"/>
      <c r="R274" s="50"/>
      <c r="S274" s="50"/>
      <c r="T274" s="50"/>
      <c r="U274" s="50"/>
      <c r="V274" s="50"/>
      <c r="W274" s="50"/>
      <c r="X274" s="51"/>
      <c r="Y274" s="51"/>
      <c r="Z274" s="50"/>
      <c r="AA274" s="50"/>
      <c r="AB274" s="50"/>
      <c r="AC274" s="50"/>
    </row>
    <row r="275" spans="1:29" ht="22" hidden="1" customHeight="1" x14ac:dyDescent="0.2">
      <c r="A275" s="50"/>
      <c r="B275" s="50"/>
      <c r="C275" s="50"/>
      <c r="D275" s="50"/>
      <c r="E275" s="50"/>
      <c r="F275" s="50"/>
      <c r="G275" s="50"/>
      <c r="H275" s="50"/>
      <c r="I275" s="50"/>
      <c r="J275" s="50"/>
      <c r="K275" s="50"/>
      <c r="L275" s="50"/>
      <c r="M275" s="50"/>
      <c r="N275" s="50"/>
      <c r="O275" s="51"/>
      <c r="P275" s="51"/>
      <c r="Q275" s="50"/>
      <c r="R275" s="50"/>
      <c r="S275" s="50"/>
      <c r="T275" s="50"/>
      <c r="U275" s="50"/>
      <c r="V275" s="50"/>
      <c r="W275" s="50"/>
      <c r="X275" s="51"/>
      <c r="Y275" s="51"/>
      <c r="Z275" s="50"/>
      <c r="AA275" s="50"/>
      <c r="AB275" s="50"/>
      <c r="AC275" s="50"/>
    </row>
    <row r="276" spans="1:29" ht="22" hidden="1" customHeight="1" x14ac:dyDescent="0.2">
      <c r="A276" s="50"/>
      <c r="B276" s="50"/>
      <c r="C276" s="50"/>
      <c r="D276" s="50"/>
      <c r="E276" s="50"/>
      <c r="F276" s="50"/>
      <c r="G276" s="50"/>
      <c r="H276" s="50"/>
      <c r="I276" s="50"/>
      <c r="J276" s="50"/>
      <c r="K276" s="50"/>
      <c r="L276" s="50"/>
      <c r="M276" s="50"/>
      <c r="N276" s="50"/>
      <c r="O276" s="51"/>
      <c r="P276" s="51"/>
      <c r="Q276" s="50"/>
      <c r="R276" s="50"/>
      <c r="S276" s="50"/>
      <c r="T276" s="50"/>
      <c r="U276" s="50"/>
      <c r="V276" s="50"/>
      <c r="W276" s="50"/>
      <c r="X276" s="51"/>
      <c r="Y276" s="51"/>
      <c r="Z276" s="50"/>
      <c r="AA276" s="50"/>
      <c r="AB276" s="50"/>
      <c r="AC276" s="50"/>
    </row>
    <row r="277" spans="1:29" ht="22" hidden="1" customHeight="1" x14ac:dyDescent="0.2">
      <c r="A277" s="50"/>
      <c r="B277" s="50"/>
      <c r="C277" s="50"/>
      <c r="D277" s="50"/>
      <c r="E277" s="50"/>
      <c r="F277" s="50"/>
      <c r="G277" s="50"/>
      <c r="H277" s="50"/>
      <c r="I277" s="50"/>
      <c r="J277" s="50"/>
      <c r="K277" s="50"/>
      <c r="L277" s="50"/>
      <c r="M277" s="50"/>
      <c r="N277" s="50"/>
      <c r="O277" s="51"/>
      <c r="P277" s="51"/>
      <c r="Q277" s="50"/>
      <c r="R277" s="50"/>
      <c r="S277" s="50"/>
      <c r="T277" s="50"/>
      <c r="U277" s="50"/>
      <c r="V277" s="50"/>
      <c r="W277" s="50"/>
      <c r="X277" s="51"/>
      <c r="Y277" s="51"/>
      <c r="Z277" s="50"/>
      <c r="AA277" s="50"/>
      <c r="AB277" s="50"/>
      <c r="AC277" s="50"/>
    </row>
    <row r="278" spans="1:29" ht="22" hidden="1" customHeight="1" x14ac:dyDescent="0.2">
      <c r="A278" s="50"/>
      <c r="B278" s="50"/>
      <c r="C278" s="50"/>
      <c r="D278" s="50"/>
      <c r="E278" s="50"/>
      <c r="F278" s="50"/>
      <c r="G278" s="50"/>
      <c r="H278" s="50"/>
      <c r="I278" s="50"/>
      <c r="J278" s="50"/>
      <c r="K278" s="50"/>
      <c r="L278" s="50"/>
      <c r="M278" s="50"/>
      <c r="N278" s="50"/>
      <c r="O278" s="51"/>
      <c r="P278" s="51"/>
      <c r="Q278" s="50"/>
      <c r="R278" s="50"/>
      <c r="S278" s="50"/>
      <c r="T278" s="50"/>
      <c r="U278" s="50"/>
      <c r="V278" s="50"/>
      <c r="W278" s="50"/>
      <c r="X278" s="51"/>
      <c r="Y278" s="51"/>
      <c r="Z278" s="50"/>
      <c r="AA278" s="50"/>
      <c r="AB278" s="50"/>
      <c r="AC278" s="50"/>
    </row>
    <row r="279" spans="1:29" ht="22" hidden="1" customHeight="1" x14ac:dyDescent="0.2">
      <c r="A279" s="50"/>
      <c r="B279" s="50"/>
      <c r="C279" s="50"/>
      <c r="D279" s="50"/>
      <c r="E279" s="50"/>
      <c r="F279" s="50"/>
      <c r="G279" s="50"/>
      <c r="H279" s="50"/>
      <c r="I279" s="50"/>
      <c r="J279" s="50"/>
      <c r="K279" s="50"/>
      <c r="L279" s="50"/>
      <c r="M279" s="50"/>
      <c r="N279" s="50"/>
      <c r="O279" s="51"/>
      <c r="P279" s="51"/>
      <c r="Q279" s="50"/>
      <c r="R279" s="50"/>
      <c r="S279" s="50"/>
      <c r="T279" s="50"/>
      <c r="U279" s="50"/>
      <c r="V279" s="50"/>
      <c r="W279" s="50"/>
      <c r="X279" s="51"/>
      <c r="Y279" s="51"/>
      <c r="Z279" s="50"/>
      <c r="AA279" s="50"/>
      <c r="AB279" s="50"/>
      <c r="AC279" s="50"/>
    </row>
    <row r="280" spans="1:29" ht="22" hidden="1" customHeight="1" x14ac:dyDescent="0.2">
      <c r="A280" s="50"/>
      <c r="B280" s="50"/>
      <c r="C280" s="50"/>
      <c r="D280" s="50"/>
      <c r="E280" s="50"/>
      <c r="F280" s="50"/>
      <c r="G280" s="50"/>
      <c r="H280" s="50"/>
      <c r="I280" s="50"/>
      <c r="J280" s="50"/>
      <c r="K280" s="50"/>
      <c r="L280" s="50"/>
      <c r="M280" s="50"/>
      <c r="N280" s="50"/>
      <c r="O280" s="51"/>
      <c r="P280" s="51"/>
      <c r="Q280" s="50"/>
      <c r="R280" s="50"/>
      <c r="S280" s="50"/>
      <c r="T280" s="50"/>
      <c r="U280" s="50"/>
      <c r="V280" s="50"/>
      <c r="W280" s="50"/>
      <c r="X280" s="51"/>
      <c r="Y280" s="51"/>
      <c r="Z280" s="50"/>
      <c r="AA280" s="50"/>
      <c r="AB280" s="50"/>
      <c r="AC280" s="50"/>
    </row>
    <row r="281" spans="1:29" ht="22" hidden="1" customHeight="1" x14ac:dyDescent="0.2">
      <c r="A281" s="50"/>
      <c r="B281" s="50"/>
      <c r="C281" s="50"/>
      <c r="D281" s="50"/>
      <c r="E281" s="50"/>
      <c r="F281" s="50"/>
      <c r="G281" s="50"/>
      <c r="H281" s="50"/>
      <c r="I281" s="50"/>
      <c r="J281" s="50"/>
      <c r="K281" s="50"/>
      <c r="L281" s="50"/>
      <c r="M281" s="50"/>
      <c r="N281" s="50"/>
      <c r="O281" s="51"/>
      <c r="P281" s="51"/>
      <c r="Q281" s="50"/>
      <c r="R281" s="50"/>
      <c r="S281" s="50"/>
      <c r="T281" s="50"/>
      <c r="U281" s="50"/>
      <c r="V281" s="50"/>
      <c r="W281" s="50"/>
      <c r="X281" s="51"/>
      <c r="Y281" s="51"/>
      <c r="Z281" s="50"/>
      <c r="AA281" s="50"/>
      <c r="AB281" s="50"/>
      <c r="AC281" s="50"/>
    </row>
    <row r="282" spans="1:29" ht="22" hidden="1" customHeight="1" x14ac:dyDescent="0.2">
      <c r="A282" s="50"/>
      <c r="B282" s="50"/>
      <c r="C282" s="50"/>
      <c r="D282" s="50"/>
      <c r="E282" s="50"/>
      <c r="F282" s="50"/>
      <c r="G282" s="50"/>
      <c r="H282" s="50"/>
      <c r="I282" s="50"/>
      <c r="J282" s="50"/>
      <c r="K282" s="50"/>
      <c r="L282" s="50"/>
      <c r="M282" s="50"/>
      <c r="N282" s="50"/>
      <c r="O282" s="51"/>
      <c r="P282" s="51"/>
      <c r="Q282" s="50"/>
      <c r="R282" s="50"/>
      <c r="S282" s="50"/>
      <c r="T282" s="50"/>
      <c r="U282" s="50"/>
      <c r="V282" s="50"/>
      <c r="W282" s="50"/>
      <c r="X282" s="51"/>
      <c r="Y282" s="51"/>
      <c r="Z282" s="50"/>
      <c r="AA282" s="50"/>
      <c r="AB282" s="50"/>
      <c r="AC282" s="50"/>
    </row>
    <row r="283" spans="1:29" ht="22" hidden="1" customHeight="1" x14ac:dyDescent="0.2">
      <c r="A283" s="50"/>
      <c r="B283" s="50"/>
      <c r="C283" s="50"/>
      <c r="D283" s="50"/>
      <c r="E283" s="50"/>
      <c r="F283" s="50"/>
      <c r="G283" s="50"/>
      <c r="H283" s="50"/>
      <c r="I283" s="50"/>
      <c r="J283" s="50"/>
      <c r="K283" s="50"/>
      <c r="L283" s="50"/>
      <c r="M283" s="50"/>
      <c r="N283" s="50"/>
      <c r="O283" s="51"/>
      <c r="P283" s="51"/>
      <c r="Q283" s="50"/>
      <c r="R283" s="50"/>
      <c r="S283" s="50"/>
      <c r="T283" s="50"/>
      <c r="U283" s="50"/>
      <c r="V283" s="50"/>
      <c r="W283" s="50"/>
      <c r="X283" s="51"/>
      <c r="Y283" s="51"/>
      <c r="Z283" s="50"/>
      <c r="AA283" s="50"/>
      <c r="AB283" s="50"/>
      <c r="AC283" s="50"/>
    </row>
    <row r="284" spans="1:29" ht="22" hidden="1" customHeight="1" x14ac:dyDescent="0.2">
      <c r="A284" s="50"/>
      <c r="B284" s="50"/>
      <c r="C284" s="50"/>
      <c r="D284" s="50"/>
      <c r="E284" s="50"/>
      <c r="F284" s="50"/>
      <c r="G284" s="50"/>
      <c r="H284" s="50"/>
      <c r="I284" s="50"/>
      <c r="J284" s="50"/>
      <c r="K284" s="50"/>
      <c r="L284" s="50"/>
      <c r="M284" s="50"/>
      <c r="N284" s="50"/>
      <c r="O284" s="51"/>
      <c r="P284" s="51"/>
      <c r="Q284" s="50"/>
      <c r="R284" s="50"/>
      <c r="S284" s="50"/>
      <c r="T284" s="50"/>
      <c r="U284" s="50"/>
      <c r="V284" s="50"/>
      <c r="W284" s="50"/>
      <c r="X284" s="51"/>
      <c r="Y284" s="51"/>
      <c r="Z284" s="50"/>
      <c r="AA284" s="50"/>
      <c r="AB284" s="50"/>
      <c r="AC284" s="50"/>
    </row>
    <row r="285" spans="1:29" ht="22" hidden="1" customHeight="1" x14ac:dyDescent="0.2">
      <c r="A285" s="50"/>
      <c r="B285" s="50"/>
      <c r="C285" s="50"/>
      <c r="D285" s="50"/>
      <c r="E285" s="50"/>
      <c r="F285" s="50"/>
      <c r="G285" s="50"/>
      <c r="H285" s="50"/>
      <c r="I285" s="50"/>
      <c r="J285" s="50"/>
      <c r="K285" s="50"/>
      <c r="L285" s="50"/>
      <c r="M285" s="50"/>
      <c r="N285" s="50"/>
      <c r="O285" s="51"/>
      <c r="P285" s="51"/>
      <c r="Q285" s="50"/>
      <c r="R285" s="50"/>
      <c r="S285" s="50"/>
      <c r="T285" s="50"/>
      <c r="U285" s="50"/>
      <c r="V285" s="50"/>
      <c r="W285" s="50"/>
      <c r="X285" s="51"/>
      <c r="Y285" s="51"/>
      <c r="Z285" s="50"/>
      <c r="AA285" s="50"/>
      <c r="AB285" s="50"/>
      <c r="AC285" s="50"/>
    </row>
    <row r="286" spans="1:29" ht="22" hidden="1" customHeight="1" x14ac:dyDescent="0.2">
      <c r="A286" s="50"/>
      <c r="B286" s="50"/>
      <c r="C286" s="50"/>
      <c r="D286" s="50"/>
      <c r="E286" s="50"/>
      <c r="F286" s="50"/>
      <c r="G286" s="50"/>
      <c r="H286" s="50"/>
      <c r="I286" s="50"/>
      <c r="J286" s="50"/>
      <c r="K286" s="50"/>
      <c r="L286" s="50"/>
      <c r="M286" s="50"/>
      <c r="N286" s="50"/>
      <c r="O286" s="51"/>
      <c r="P286" s="51"/>
      <c r="Q286" s="50"/>
      <c r="R286" s="50"/>
      <c r="S286" s="50"/>
      <c r="T286" s="50"/>
      <c r="U286" s="50"/>
      <c r="V286" s="50"/>
      <c r="W286" s="50"/>
      <c r="X286" s="51"/>
      <c r="Y286" s="51"/>
      <c r="Z286" s="50"/>
      <c r="AA286" s="50"/>
      <c r="AB286" s="50"/>
      <c r="AC286" s="50"/>
    </row>
    <row r="287" spans="1:29" ht="22" hidden="1" customHeight="1" x14ac:dyDescent="0.2">
      <c r="A287" s="50"/>
      <c r="B287" s="50"/>
      <c r="C287" s="50"/>
      <c r="D287" s="50"/>
      <c r="E287" s="50"/>
      <c r="F287" s="50"/>
      <c r="G287" s="50"/>
      <c r="H287" s="50"/>
      <c r="I287" s="50"/>
      <c r="J287" s="50"/>
      <c r="K287" s="50"/>
      <c r="L287" s="50"/>
      <c r="M287" s="50"/>
      <c r="N287" s="50"/>
      <c r="O287" s="51"/>
      <c r="P287" s="51"/>
      <c r="Q287" s="50"/>
      <c r="R287" s="50"/>
      <c r="S287" s="50"/>
      <c r="T287" s="50"/>
      <c r="U287" s="50"/>
      <c r="V287" s="50"/>
      <c r="W287" s="50"/>
      <c r="X287" s="51"/>
      <c r="Y287" s="51"/>
      <c r="Z287" s="50"/>
      <c r="AA287" s="50"/>
      <c r="AB287" s="50"/>
      <c r="AC287" s="50"/>
    </row>
    <row r="288" spans="1:29" ht="22" hidden="1" customHeight="1" x14ac:dyDescent="0.2">
      <c r="A288" s="50"/>
      <c r="B288" s="50"/>
      <c r="C288" s="50"/>
      <c r="D288" s="50"/>
      <c r="E288" s="50"/>
      <c r="F288" s="50"/>
      <c r="G288" s="50"/>
      <c r="H288" s="50"/>
      <c r="I288" s="50"/>
      <c r="J288" s="50"/>
      <c r="K288" s="50"/>
      <c r="L288" s="50"/>
      <c r="M288" s="50"/>
      <c r="N288" s="50"/>
      <c r="O288" s="51"/>
      <c r="P288" s="51"/>
      <c r="Q288" s="50"/>
      <c r="R288" s="50"/>
      <c r="S288" s="50"/>
      <c r="T288" s="50"/>
      <c r="U288" s="50"/>
      <c r="V288" s="50"/>
      <c r="W288" s="50"/>
      <c r="X288" s="51"/>
      <c r="Y288" s="51"/>
      <c r="Z288" s="50"/>
      <c r="AA288" s="50"/>
      <c r="AB288" s="50"/>
      <c r="AC288" s="50"/>
    </row>
    <row r="289" spans="1:29" ht="22" hidden="1" customHeight="1" x14ac:dyDescent="0.2">
      <c r="A289" s="50"/>
      <c r="B289" s="50"/>
      <c r="C289" s="50"/>
      <c r="D289" s="50"/>
      <c r="E289" s="50"/>
      <c r="F289" s="50"/>
      <c r="G289" s="50"/>
      <c r="H289" s="50"/>
      <c r="I289" s="50"/>
      <c r="J289" s="50"/>
      <c r="K289" s="50"/>
      <c r="L289" s="50"/>
      <c r="M289" s="50"/>
      <c r="N289" s="50"/>
      <c r="O289" s="51"/>
      <c r="P289" s="51"/>
      <c r="Q289" s="50"/>
      <c r="R289" s="50"/>
      <c r="S289" s="50"/>
      <c r="T289" s="50"/>
      <c r="U289" s="50"/>
      <c r="V289" s="50"/>
      <c r="W289" s="50"/>
      <c r="X289" s="51"/>
      <c r="Y289" s="51"/>
      <c r="Z289" s="50"/>
      <c r="AA289" s="50"/>
      <c r="AB289" s="50"/>
      <c r="AC289" s="50"/>
    </row>
    <row r="290" spans="1:29" ht="22" hidden="1" customHeight="1" x14ac:dyDescent="0.2">
      <c r="A290" s="50"/>
      <c r="B290" s="50"/>
      <c r="C290" s="50"/>
      <c r="D290" s="50"/>
      <c r="E290" s="50"/>
      <c r="F290" s="50"/>
      <c r="G290" s="50"/>
      <c r="H290" s="50"/>
      <c r="I290" s="50"/>
      <c r="J290" s="50"/>
      <c r="K290" s="50"/>
      <c r="L290" s="50"/>
      <c r="M290" s="50"/>
      <c r="N290" s="50"/>
      <c r="O290" s="51"/>
      <c r="P290" s="51"/>
      <c r="Q290" s="50"/>
      <c r="R290" s="50"/>
      <c r="S290" s="50"/>
      <c r="T290" s="50"/>
      <c r="U290" s="50"/>
      <c r="V290" s="50"/>
      <c r="W290" s="50"/>
      <c r="X290" s="51"/>
      <c r="Y290" s="51"/>
      <c r="Z290" s="50"/>
      <c r="AA290" s="50"/>
      <c r="AB290" s="50"/>
      <c r="AC290" s="50"/>
    </row>
    <row r="291" spans="1:29" ht="22" hidden="1" customHeight="1" x14ac:dyDescent="0.2">
      <c r="A291" s="50"/>
      <c r="B291" s="50"/>
      <c r="C291" s="50"/>
      <c r="D291" s="50"/>
      <c r="E291" s="50"/>
      <c r="F291" s="50"/>
      <c r="G291" s="50"/>
      <c r="H291" s="50"/>
      <c r="I291" s="50"/>
      <c r="J291" s="50"/>
      <c r="K291" s="50"/>
      <c r="L291" s="50"/>
      <c r="M291" s="50"/>
      <c r="N291" s="50"/>
      <c r="O291" s="51"/>
      <c r="P291" s="51"/>
      <c r="Q291" s="50"/>
      <c r="R291" s="50"/>
      <c r="S291" s="50"/>
      <c r="T291" s="50"/>
      <c r="U291" s="50"/>
      <c r="V291" s="50"/>
      <c r="W291" s="50"/>
      <c r="X291" s="51"/>
      <c r="Y291" s="51"/>
      <c r="Z291" s="50"/>
      <c r="AA291" s="50"/>
      <c r="AB291" s="50"/>
      <c r="AC291" s="50"/>
    </row>
    <row r="292" spans="1:29" ht="22" hidden="1" customHeight="1" x14ac:dyDescent="0.2">
      <c r="A292" s="50"/>
      <c r="B292" s="50"/>
      <c r="C292" s="50"/>
      <c r="D292" s="50"/>
      <c r="E292" s="50"/>
      <c r="F292" s="50"/>
      <c r="G292" s="50"/>
      <c r="H292" s="50"/>
      <c r="I292" s="50"/>
      <c r="J292" s="50"/>
      <c r="K292" s="50"/>
      <c r="L292" s="50"/>
      <c r="M292" s="50"/>
      <c r="N292" s="50"/>
      <c r="O292" s="51"/>
      <c r="P292" s="51"/>
      <c r="Q292" s="50"/>
      <c r="R292" s="50"/>
      <c r="S292" s="50"/>
      <c r="T292" s="50"/>
      <c r="U292" s="50"/>
      <c r="V292" s="50"/>
      <c r="W292" s="50"/>
      <c r="X292" s="51"/>
      <c r="Y292" s="51"/>
      <c r="Z292" s="50"/>
      <c r="AA292" s="50"/>
      <c r="AB292" s="50"/>
      <c r="AC292" s="50"/>
    </row>
    <row r="293" spans="1:29" ht="22" hidden="1" customHeight="1" x14ac:dyDescent="0.2">
      <c r="A293" s="50"/>
      <c r="B293" s="50"/>
      <c r="C293" s="50"/>
      <c r="D293" s="50"/>
      <c r="E293" s="50"/>
      <c r="F293" s="50"/>
      <c r="G293" s="50"/>
      <c r="H293" s="50"/>
      <c r="I293" s="50"/>
      <c r="J293" s="50"/>
      <c r="K293" s="50"/>
      <c r="L293" s="50"/>
      <c r="M293" s="50"/>
      <c r="N293" s="50"/>
      <c r="O293" s="51"/>
      <c r="P293" s="51"/>
      <c r="Q293" s="50"/>
      <c r="R293" s="50"/>
      <c r="S293" s="50"/>
      <c r="T293" s="50"/>
      <c r="U293" s="50"/>
      <c r="V293" s="50"/>
      <c r="W293" s="50"/>
      <c r="X293" s="51"/>
      <c r="Y293" s="51"/>
      <c r="Z293" s="50"/>
      <c r="AA293" s="50"/>
      <c r="AB293" s="50"/>
      <c r="AC293" s="50"/>
    </row>
    <row r="294" spans="1:29" ht="22" hidden="1" customHeight="1" x14ac:dyDescent="0.2">
      <c r="A294" s="50"/>
      <c r="B294" s="50"/>
      <c r="C294" s="50"/>
      <c r="D294" s="50"/>
      <c r="E294" s="50"/>
      <c r="F294" s="50"/>
      <c r="G294" s="50"/>
      <c r="H294" s="50"/>
      <c r="I294" s="50"/>
      <c r="J294" s="50"/>
      <c r="K294" s="50"/>
      <c r="L294" s="50"/>
      <c r="M294" s="50"/>
      <c r="N294" s="50"/>
      <c r="O294" s="51"/>
      <c r="P294" s="51"/>
      <c r="Q294" s="50"/>
      <c r="R294" s="50"/>
      <c r="S294" s="50"/>
      <c r="T294" s="50"/>
      <c r="U294" s="50"/>
      <c r="V294" s="50"/>
      <c r="W294" s="50"/>
      <c r="X294" s="51"/>
      <c r="Y294" s="51"/>
      <c r="Z294" s="50"/>
      <c r="AA294" s="50"/>
      <c r="AB294" s="50"/>
      <c r="AC294" s="50"/>
    </row>
    <row r="295" spans="1:29" ht="22" hidden="1" customHeight="1" x14ac:dyDescent="0.2">
      <c r="A295" s="50"/>
      <c r="B295" s="50"/>
      <c r="C295" s="50"/>
      <c r="D295" s="50"/>
      <c r="E295" s="50"/>
      <c r="F295" s="50"/>
      <c r="G295" s="50"/>
      <c r="H295" s="50"/>
      <c r="I295" s="50"/>
      <c r="J295" s="50"/>
      <c r="K295" s="50"/>
      <c r="L295" s="50"/>
      <c r="M295" s="50"/>
      <c r="N295" s="50"/>
      <c r="O295" s="51"/>
      <c r="P295" s="51"/>
      <c r="Q295" s="50"/>
      <c r="R295" s="50"/>
      <c r="S295" s="50"/>
      <c r="T295" s="50"/>
      <c r="U295" s="50"/>
      <c r="V295" s="50"/>
      <c r="W295" s="50"/>
      <c r="X295" s="51"/>
      <c r="Y295" s="51"/>
      <c r="Z295" s="50"/>
      <c r="AA295" s="50"/>
      <c r="AB295" s="50"/>
      <c r="AC295" s="50"/>
    </row>
    <row r="296" spans="1:29" ht="22" hidden="1" customHeight="1" x14ac:dyDescent="0.2">
      <c r="A296" s="50"/>
      <c r="B296" s="50"/>
      <c r="C296" s="50"/>
      <c r="D296" s="50"/>
      <c r="E296" s="50"/>
      <c r="F296" s="50"/>
      <c r="G296" s="50"/>
      <c r="H296" s="50"/>
      <c r="I296" s="50"/>
      <c r="J296" s="50"/>
      <c r="K296" s="50"/>
      <c r="L296" s="50"/>
      <c r="M296" s="50"/>
      <c r="N296" s="50"/>
      <c r="O296" s="51"/>
      <c r="P296" s="51"/>
      <c r="Q296" s="50"/>
      <c r="R296" s="50"/>
      <c r="S296" s="50"/>
      <c r="T296" s="50"/>
      <c r="U296" s="50"/>
      <c r="V296" s="50"/>
      <c r="W296" s="50"/>
      <c r="X296" s="51"/>
      <c r="Y296" s="51"/>
      <c r="Z296" s="50"/>
      <c r="AA296" s="50"/>
      <c r="AB296" s="50"/>
      <c r="AC296" s="50"/>
    </row>
    <row r="297" spans="1:29" ht="22" hidden="1" customHeight="1" x14ac:dyDescent="0.2">
      <c r="A297" s="50"/>
      <c r="B297" s="50"/>
      <c r="C297" s="50"/>
      <c r="D297" s="50"/>
      <c r="E297" s="50"/>
      <c r="F297" s="50"/>
      <c r="G297" s="50"/>
      <c r="H297" s="50"/>
      <c r="I297" s="50"/>
      <c r="J297" s="50"/>
      <c r="K297" s="50"/>
      <c r="L297" s="50"/>
      <c r="M297" s="50"/>
      <c r="N297" s="50"/>
      <c r="O297" s="51"/>
      <c r="P297" s="51"/>
      <c r="Q297" s="50"/>
      <c r="R297" s="50"/>
      <c r="S297" s="50"/>
      <c r="T297" s="50"/>
      <c r="U297" s="50"/>
      <c r="V297" s="50"/>
      <c r="W297" s="50"/>
      <c r="X297" s="51"/>
      <c r="Y297" s="51"/>
      <c r="Z297" s="50"/>
      <c r="AA297" s="50"/>
      <c r="AB297" s="50"/>
      <c r="AC297" s="50"/>
    </row>
    <row r="298" spans="1:29" ht="22" hidden="1" customHeight="1" x14ac:dyDescent="0.2">
      <c r="A298" s="50"/>
      <c r="B298" s="50"/>
      <c r="C298" s="50"/>
      <c r="D298" s="50"/>
      <c r="E298" s="50"/>
      <c r="F298" s="50"/>
      <c r="G298" s="50"/>
      <c r="H298" s="50"/>
      <c r="I298" s="50"/>
      <c r="J298" s="50"/>
      <c r="K298" s="50"/>
      <c r="L298" s="50"/>
      <c r="M298" s="50"/>
      <c r="N298" s="50"/>
      <c r="O298" s="51"/>
      <c r="P298" s="51"/>
      <c r="Q298" s="50"/>
      <c r="R298" s="50"/>
      <c r="S298" s="50"/>
      <c r="T298" s="50"/>
      <c r="U298" s="50"/>
      <c r="V298" s="50"/>
      <c r="W298" s="50"/>
      <c r="X298" s="51"/>
      <c r="Y298" s="51"/>
      <c r="Z298" s="50"/>
      <c r="AA298" s="50"/>
      <c r="AB298" s="50"/>
      <c r="AC298" s="50"/>
    </row>
    <row r="299" spans="1:29" ht="22" hidden="1" customHeight="1" x14ac:dyDescent="0.2">
      <c r="A299" s="50"/>
      <c r="B299" s="50"/>
      <c r="C299" s="50"/>
      <c r="D299" s="50"/>
      <c r="E299" s="50"/>
      <c r="F299" s="50"/>
      <c r="G299" s="50"/>
      <c r="H299" s="50"/>
      <c r="I299" s="50"/>
      <c r="J299" s="50"/>
      <c r="K299" s="50"/>
      <c r="L299" s="50"/>
      <c r="M299" s="50"/>
      <c r="N299" s="50"/>
      <c r="O299" s="51"/>
      <c r="P299" s="51"/>
      <c r="Q299" s="50"/>
      <c r="R299" s="50"/>
      <c r="S299" s="50"/>
      <c r="T299" s="50"/>
      <c r="U299" s="50"/>
      <c r="V299" s="50"/>
      <c r="W299" s="50"/>
      <c r="X299" s="51"/>
      <c r="Y299" s="51"/>
      <c r="Z299" s="50"/>
      <c r="AA299" s="50"/>
      <c r="AB299" s="50"/>
      <c r="AC299" s="50"/>
    </row>
    <row r="300" spans="1:29" ht="22" hidden="1" customHeight="1" x14ac:dyDescent="0.2">
      <c r="A300" s="50"/>
      <c r="B300" s="50"/>
      <c r="C300" s="50"/>
      <c r="D300" s="50"/>
      <c r="E300" s="50"/>
      <c r="F300" s="50"/>
      <c r="G300" s="50"/>
      <c r="H300" s="50"/>
      <c r="I300" s="50"/>
      <c r="J300" s="50"/>
      <c r="K300" s="50"/>
      <c r="L300" s="50"/>
      <c r="M300" s="50"/>
      <c r="N300" s="50"/>
      <c r="O300" s="51"/>
      <c r="P300" s="51"/>
      <c r="Q300" s="50"/>
      <c r="R300" s="50"/>
      <c r="S300" s="50"/>
      <c r="T300" s="50"/>
      <c r="U300" s="50"/>
      <c r="V300" s="50"/>
      <c r="W300" s="50"/>
      <c r="X300" s="51"/>
      <c r="Y300" s="51"/>
      <c r="Z300" s="50"/>
      <c r="AA300" s="50"/>
      <c r="AB300" s="50"/>
      <c r="AC300" s="50"/>
    </row>
    <row r="301" spans="1:29" ht="22" hidden="1" customHeight="1" x14ac:dyDescent="0.2">
      <c r="A301" s="50"/>
      <c r="B301" s="50"/>
      <c r="C301" s="50"/>
      <c r="D301" s="50"/>
      <c r="E301" s="50"/>
      <c r="F301" s="50"/>
      <c r="G301" s="50"/>
      <c r="H301" s="50"/>
      <c r="I301" s="50"/>
      <c r="J301" s="50"/>
      <c r="K301" s="50"/>
      <c r="L301" s="50"/>
      <c r="M301" s="50"/>
      <c r="N301" s="50"/>
      <c r="O301" s="51"/>
      <c r="P301" s="51"/>
      <c r="Q301" s="50"/>
      <c r="R301" s="50"/>
      <c r="S301" s="50"/>
      <c r="T301" s="50"/>
      <c r="U301" s="50"/>
      <c r="V301" s="50"/>
      <c r="W301" s="50"/>
      <c r="X301" s="51"/>
      <c r="Y301" s="51"/>
      <c r="Z301" s="50"/>
      <c r="AA301" s="50"/>
      <c r="AB301" s="50"/>
      <c r="AC301" s="50"/>
    </row>
    <row r="302" spans="1:29" ht="22" hidden="1" customHeight="1" x14ac:dyDescent="0.2">
      <c r="A302" s="50"/>
      <c r="B302" s="50"/>
      <c r="C302" s="50"/>
      <c r="D302" s="50"/>
      <c r="E302" s="50"/>
      <c r="F302" s="50"/>
      <c r="G302" s="50"/>
      <c r="H302" s="50"/>
      <c r="I302" s="50"/>
      <c r="J302" s="50"/>
      <c r="K302" s="50"/>
      <c r="L302" s="50"/>
      <c r="M302" s="50"/>
      <c r="N302" s="50"/>
      <c r="O302" s="51"/>
      <c r="P302" s="51"/>
      <c r="Q302" s="50"/>
      <c r="R302" s="50"/>
      <c r="S302" s="50"/>
      <c r="T302" s="50"/>
      <c r="U302" s="50"/>
      <c r="V302" s="50"/>
      <c r="W302" s="50"/>
      <c r="X302" s="51"/>
      <c r="Y302" s="51"/>
      <c r="Z302" s="50"/>
      <c r="AA302" s="50"/>
      <c r="AB302" s="50"/>
      <c r="AC302" s="50"/>
    </row>
    <row r="303" spans="1:29" ht="22" hidden="1" customHeight="1" x14ac:dyDescent="0.2">
      <c r="A303" s="50"/>
      <c r="B303" s="50"/>
      <c r="C303" s="50"/>
      <c r="D303" s="50"/>
      <c r="E303" s="50"/>
      <c r="F303" s="50"/>
      <c r="G303" s="50"/>
      <c r="H303" s="50"/>
      <c r="I303" s="50"/>
      <c r="J303" s="50"/>
      <c r="K303" s="50"/>
      <c r="L303" s="50"/>
      <c r="M303" s="50"/>
      <c r="N303" s="50"/>
      <c r="O303" s="51"/>
      <c r="P303" s="51"/>
      <c r="Q303" s="50"/>
      <c r="R303" s="50"/>
      <c r="S303" s="50"/>
      <c r="T303" s="50"/>
      <c r="U303" s="50"/>
      <c r="V303" s="50"/>
      <c r="W303" s="50"/>
      <c r="X303" s="51"/>
      <c r="Y303" s="51"/>
      <c r="Z303" s="50"/>
      <c r="AA303" s="50"/>
      <c r="AB303" s="50"/>
      <c r="AC303" s="50"/>
    </row>
    <row r="304" spans="1:29" ht="22" hidden="1" customHeight="1" x14ac:dyDescent="0.2">
      <c r="A304" s="50"/>
      <c r="B304" s="50"/>
      <c r="C304" s="50"/>
      <c r="D304" s="50"/>
      <c r="E304" s="50"/>
      <c r="F304" s="50"/>
      <c r="G304" s="50"/>
      <c r="H304" s="50"/>
      <c r="I304" s="50"/>
      <c r="J304" s="50"/>
      <c r="K304" s="50"/>
      <c r="L304" s="50"/>
      <c r="M304" s="50"/>
      <c r="N304" s="50"/>
      <c r="O304" s="51"/>
      <c r="P304" s="51"/>
      <c r="Q304" s="50"/>
      <c r="R304" s="50"/>
      <c r="S304" s="50"/>
      <c r="T304" s="50"/>
      <c r="U304" s="50"/>
      <c r="V304" s="50"/>
      <c r="W304" s="50"/>
      <c r="X304" s="51"/>
      <c r="Y304" s="51"/>
      <c r="Z304" s="50"/>
      <c r="AA304" s="50"/>
      <c r="AB304" s="50"/>
      <c r="AC304" s="50"/>
    </row>
    <row r="305" spans="1:29" ht="22" hidden="1" customHeight="1" x14ac:dyDescent="0.2">
      <c r="A305" s="50"/>
      <c r="B305" s="50"/>
      <c r="C305" s="50"/>
      <c r="D305" s="50"/>
      <c r="E305" s="50"/>
      <c r="F305" s="50"/>
      <c r="G305" s="50"/>
      <c r="H305" s="50"/>
      <c r="I305" s="50"/>
      <c r="J305" s="50"/>
      <c r="K305" s="50"/>
      <c r="L305" s="50"/>
      <c r="M305" s="50"/>
      <c r="N305" s="50"/>
      <c r="O305" s="51"/>
      <c r="P305" s="51"/>
      <c r="Q305" s="50"/>
      <c r="R305" s="50"/>
      <c r="S305" s="50"/>
      <c r="T305" s="50"/>
      <c r="U305" s="50"/>
      <c r="V305" s="50"/>
      <c r="W305" s="50"/>
      <c r="X305" s="51"/>
      <c r="Y305" s="51"/>
      <c r="Z305" s="50"/>
      <c r="AA305" s="50"/>
      <c r="AB305" s="50"/>
      <c r="AC305" s="50"/>
    </row>
    <row r="306" spans="1:29" ht="22" hidden="1" customHeight="1" x14ac:dyDescent="0.2">
      <c r="A306" s="50"/>
      <c r="B306" s="50"/>
      <c r="C306" s="50"/>
      <c r="D306" s="50"/>
      <c r="E306" s="50"/>
      <c r="F306" s="50"/>
      <c r="G306" s="50"/>
      <c r="H306" s="50"/>
      <c r="I306" s="50"/>
      <c r="J306" s="50"/>
      <c r="K306" s="50"/>
      <c r="L306" s="50"/>
      <c r="M306" s="50"/>
      <c r="N306" s="50"/>
      <c r="O306" s="51"/>
      <c r="P306" s="51"/>
      <c r="Q306" s="50"/>
      <c r="R306" s="50"/>
      <c r="S306" s="50"/>
      <c r="T306" s="50"/>
      <c r="U306" s="50"/>
      <c r="V306" s="50"/>
      <c r="W306" s="50"/>
      <c r="X306" s="51"/>
      <c r="Y306" s="51"/>
      <c r="Z306" s="50"/>
      <c r="AA306" s="50"/>
      <c r="AB306" s="50"/>
      <c r="AC306" s="50"/>
    </row>
    <row r="307" spans="1:29" ht="22" hidden="1" customHeight="1" x14ac:dyDescent="0.2">
      <c r="A307" s="50"/>
      <c r="B307" s="50"/>
      <c r="C307" s="50"/>
      <c r="D307" s="50"/>
      <c r="E307" s="50"/>
      <c r="F307" s="50"/>
      <c r="G307" s="50"/>
      <c r="H307" s="50"/>
      <c r="I307" s="50"/>
      <c r="J307" s="50"/>
      <c r="K307" s="50"/>
      <c r="L307" s="50"/>
      <c r="M307" s="50"/>
      <c r="N307" s="50"/>
      <c r="O307" s="51"/>
      <c r="P307" s="51"/>
      <c r="Q307" s="50"/>
      <c r="R307" s="50"/>
      <c r="S307" s="50"/>
      <c r="T307" s="50"/>
      <c r="U307" s="50"/>
      <c r="V307" s="50"/>
      <c r="W307" s="50"/>
      <c r="X307" s="51"/>
      <c r="Y307" s="51"/>
      <c r="Z307" s="50"/>
      <c r="AA307" s="50"/>
      <c r="AB307" s="50"/>
      <c r="AC307" s="50"/>
    </row>
    <row r="308" spans="1:29" ht="22" hidden="1" customHeight="1" x14ac:dyDescent="0.2">
      <c r="A308" s="50"/>
      <c r="B308" s="50"/>
      <c r="C308" s="50"/>
      <c r="D308" s="50"/>
      <c r="E308" s="50"/>
      <c r="F308" s="50"/>
      <c r="G308" s="50"/>
      <c r="H308" s="50"/>
      <c r="I308" s="50"/>
      <c r="J308" s="50"/>
      <c r="K308" s="50"/>
      <c r="L308" s="50"/>
      <c r="M308" s="50"/>
      <c r="N308" s="50"/>
      <c r="O308" s="51"/>
      <c r="P308" s="51"/>
      <c r="Q308" s="50"/>
      <c r="R308" s="50"/>
      <c r="S308" s="50"/>
      <c r="T308" s="50"/>
      <c r="U308" s="50"/>
      <c r="V308" s="50"/>
      <c r="W308" s="50"/>
      <c r="X308" s="51"/>
      <c r="Y308" s="51"/>
      <c r="Z308" s="50"/>
      <c r="AA308" s="50"/>
      <c r="AB308" s="50"/>
      <c r="AC308" s="50"/>
    </row>
    <row r="309" spans="1:29" ht="22" hidden="1" customHeight="1" x14ac:dyDescent="0.2">
      <c r="A309" s="50"/>
      <c r="B309" s="50"/>
      <c r="C309" s="50"/>
      <c r="D309" s="50"/>
      <c r="E309" s="50"/>
      <c r="F309" s="50"/>
      <c r="G309" s="50"/>
      <c r="H309" s="50"/>
      <c r="I309" s="50"/>
      <c r="J309" s="50"/>
      <c r="K309" s="50"/>
      <c r="L309" s="50"/>
      <c r="M309" s="50"/>
      <c r="N309" s="50"/>
      <c r="O309" s="51"/>
      <c r="P309" s="51"/>
      <c r="Q309" s="50"/>
      <c r="R309" s="50"/>
      <c r="S309" s="50"/>
      <c r="T309" s="50"/>
      <c r="U309" s="50"/>
      <c r="V309" s="50"/>
      <c r="W309" s="50"/>
      <c r="X309" s="51"/>
      <c r="Y309" s="51"/>
      <c r="Z309" s="50"/>
      <c r="AA309" s="50"/>
      <c r="AB309" s="50"/>
      <c r="AC309" s="50"/>
    </row>
    <row r="310" spans="1:29" ht="22" hidden="1" customHeight="1" x14ac:dyDescent="0.2">
      <c r="A310" s="50"/>
      <c r="B310" s="50"/>
      <c r="C310" s="50"/>
      <c r="D310" s="50"/>
      <c r="E310" s="50"/>
      <c r="F310" s="50"/>
      <c r="G310" s="50"/>
      <c r="H310" s="50"/>
      <c r="I310" s="50"/>
      <c r="J310" s="50"/>
      <c r="K310" s="50"/>
      <c r="L310" s="50"/>
      <c r="M310" s="50"/>
      <c r="N310" s="50"/>
      <c r="O310" s="51"/>
      <c r="P310" s="51"/>
      <c r="Q310" s="50"/>
      <c r="R310" s="50"/>
      <c r="S310" s="50"/>
      <c r="T310" s="50"/>
      <c r="U310" s="50"/>
      <c r="V310" s="50"/>
      <c r="W310" s="50"/>
      <c r="X310" s="51"/>
      <c r="Y310" s="51"/>
      <c r="Z310" s="50"/>
      <c r="AA310" s="50"/>
      <c r="AB310" s="50"/>
      <c r="AC310" s="50"/>
    </row>
    <row r="311" spans="1:29" ht="22" hidden="1" customHeight="1" x14ac:dyDescent="0.2">
      <c r="A311" s="50"/>
      <c r="B311" s="50"/>
      <c r="C311" s="50"/>
      <c r="D311" s="50"/>
      <c r="E311" s="50"/>
      <c r="F311" s="50"/>
      <c r="G311" s="50"/>
      <c r="H311" s="50"/>
      <c r="I311" s="50"/>
      <c r="J311" s="50"/>
      <c r="K311" s="50"/>
      <c r="L311" s="50"/>
      <c r="M311" s="50"/>
      <c r="N311" s="50"/>
      <c r="O311" s="51"/>
      <c r="P311" s="51"/>
      <c r="Q311" s="50"/>
      <c r="R311" s="50"/>
      <c r="S311" s="50"/>
      <c r="T311" s="50"/>
      <c r="U311" s="50"/>
      <c r="V311" s="50"/>
      <c r="W311" s="50"/>
      <c r="X311" s="51"/>
      <c r="Y311" s="51"/>
      <c r="Z311" s="50"/>
      <c r="AA311" s="50"/>
      <c r="AB311" s="50"/>
      <c r="AC311" s="50"/>
    </row>
    <row r="312" spans="1:29" ht="22" hidden="1" customHeight="1" x14ac:dyDescent="0.2">
      <c r="A312" s="50"/>
      <c r="B312" s="50"/>
      <c r="C312" s="50"/>
      <c r="D312" s="50"/>
      <c r="E312" s="50"/>
      <c r="F312" s="50"/>
      <c r="G312" s="50"/>
      <c r="H312" s="50"/>
      <c r="I312" s="50"/>
      <c r="J312" s="50"/>
      <c r="K312" s="50"/>
      <c r="L312" s="50"/>
      <c r="M312" s="50"/>
      <c r="N312" s="50"/>
      <c r="O312" s="51"/>
      <c r="P312" s="51"/>
      <c r="Q312" s="50"/>
      <c r="R312" s="50"/>
      <c r="S312" s="50"/>
      <c r="T312" s="50"/>
      <c r="U312" s="50"/>
      <c r="V312" s="50"/>
      <c r="W312" s="50"/>
      <c r="X312" s="51"/>
      <c r="Y312" s="51"/>
      <c r="Z312" s="50"/>
      <c r="AA312" s="50"/>
      <c r="AB312" s="50"/>
      <c r="AC312" s="50"/>
    </row>
    <row r="313" spans="1:29" ht="22" hidden="1" customHeight="1" x14ac:dyDescent="0.2">
      <c r="A313" s="50"/>
      <c r="B313" s="50"/>
      <c r="C313" s="50"/>
      <c r="D313" s="50"/>
      <c r="E313" s="50"/>
      <c r="F313" s="50"/>
      <c r="G313" s="50"/>
      <c r="H313" s="50"/>
      <c r="I313" s="50"/>
      <c r="J313" s="50"/>
      <c r="K313" s="50"/>
      <c r="L313" s="50"/>
      <c r="M313" s="50"/>
      <c r="N313" s="50"/>
      <c r="O313" s="51"/>
      <c r="P313" s="51"/>
      <c r="Q313" s="50"/>
      <c r="R313" s="50"/>
      <c r="S313" s="50"/>
      <c r="T313" s="50"/>
      <c r="U313" s="50"/>
      <c r="V313" s="50"/>
      <c r="W313" s="50"/>
      <c r="X313" s="51"/>
      <c r="Y313" s="51"/>
      <c r="Z313" s="50"/>
      <c r="AA313" s="50"/>
      <c r="AB313" s="50"/>
      <c r="AC313" s="50"/>
    </row>
    <row r="314" spans="1:29" ht="22" hidden="1" customHeight="1" x14ac:dyDescent="0.2">
      <c r="A314" s="50"/>
      <c r="B314" s="50"/>
      <c r="C314" s="50"/>
      <c r="D314" s="50"/>
      <c r="E314" s="50"/>
      <c r="F314" s="50"/>
      <c r="G314" s="50"/>
      <c r="H314" s="50"/>
      <c r="I314" s="50"/>
      <c r="J314" s="50"/>
      <c r="K314" s="50"/>
      <c r="L314" s="50"/>
      <c r="M314" s="50"/>
      <c r="N314" s="50"/>
      <c r="O314" s="51"/>
      <c r="P314" s="51"/>
      <c r="Q314" s="50"/>
      <c r="R314" s="50"/>
      <c r="S314" s="50"/>
      <c r="T314" s="50"/>
      <c r="U314" s="50"/>
      <c r="V314" s="50"/>
      <c r="W314" s="50"/>
      <c r="X314" s="51"/>
      <c r="Y314" s="51"/>
      <c r="Z314" s="50"/>
      <c r="AA314" s="50"/>
      <c r="AB314" s="50"/>
      <c r="AC314" s="50"/>
    </row>
    <row r="315" spans="1:29" ht="22" hidden="1" customHeight="1" x14ac:dyDescent="0.2">
      <c r="A315" s="50"/>
      <c r="B315" s="50"/>
      <c r="C315" s="50"/>
      <c r="D315" s="50"/>
      <c r="E315" s="50"/>
      <c r="F315" s="50"/>
      <c r="G315" s="50"/>
      <c r="H315" s="50"/>
      <c r="I315" s="50"/>
      <c r="J315" s="50"/>
      <c r="K315" s="50"/>
      <c r="L315" s="50"/>
      <c r="M315" s="50"/>
      <c r="N315" s="50"/>
      <c r="O315" s="51"/>
      <c r="P315" s="51"/>
      <c r="Q315" s="50"/>
      <c r="R315" s="50"/>
      <c r="S315" s="50"/>
      <c r="T315" s="50"/>
      <c r="U315" s="50"/>
      <c r="V315" s="50"/>
      <c r="W315" s="50"/>
      <c r="X315" s="51"/>
      <c r="Y315" s="51"/>
      <c r="Z315" s="50"/>
      <c r="AA315" s="50"/>
      <c r="AB315" s="50"/>
      <c r="AC315" s="50"/>
    </row>
    <row r="316" spans="1:29" ht="22" hidden="1" customHeight="1" x14ac:dyDescent="0.2">
      <c r="A316" s="50"/>
      <c r="B316" s="50"/>
      <c r="C316" s="50"/>
      <c r="D316" s="50"/>
      <c r="E316" s="50"/>
      <c r="F316" s="50"/>
      <c r="G316" s="50"/>
      <c r="H316" s="50"/>
      <c r="I316" s="50"/>
      <c r="J316" s="50"/>
      <c r="K316" s="50"/>
      <c r="L316" s="50"/>
      <c r="M316" s="50"/>
      <c r="N316" s="50"/>
      <c r="O316" s="51"/>
      <c r="P316" s="51"/>
      <c r="Q316" s="50"/>
      <c r="R316" s="50"/>
      <c r="S316" s="50"/>
      <c r="T316" s="50"/>
      <c r="U316" s="50"/>
      <c r="V316" s="50"/>
      <c r="W316" s="50"/>
      <c r="X316" s="51"/>
      <c r="Y316" s="51"/>
      <c r="Z316" s="50"/>
      <c r="AA316" s="50"/>
      <c r="AB316" s="50"/>
      <c r="AC316" s="50"/>
    </row>
    <row r="317" spans="1:29" ht="22" hidden="1" customHeight="1" x14ac:dyDescent="0.2">
      <c r="A317" s="50"/>
      <c r="B317" s="50"/>
      <c r="C317" s="50"/>
      <c r="D317" s="50"/>
      <c r="E317" s="50"/>
      <c r="F317" s="50"/>
      <c r="G317" s="50"/>
      <c r="H317" s="50"/>
      <c r="I317" s="50"/>
      <c r="J317" s="50"/>
      <c r="K317" s="50"/>
      <c r="L317" s="50"/>
      <c r="M317" s="50"/>
      <c r="N317" s="50"/>
      <c r="O317" s="51"/>
      <c r="P317" s="51"/>
      <c r="Q317" s="50"/>
      <c r="R317" s="50"/>
      <c r="S317" s="50"/>
      <c r="T317" s="50"/>
      <c r="U317" s="50"/>
      <c r="V317" s="50"/>
      <c r="W317" s="50"/>
      <c r="X317" s="51"/>
      <c r="Y317" s="51"/>
      <c r="Z317" s="50"/>
      <c r="AA317" s="50"/>
      <c r="AB317" s="50"/>
      <c r="AC317" s="50"/>
    </row>
    <row r="318" spans="1:29" ht="22" hidden="1" customHeight="1" x14ac:dyDescent="0.2">
      <c r="A318" s="50"/>
      <c r="B318" s="50"/>
      <c r="C318" s="50"/>
      <c r="D318" s="50"/>
      <c r="E318" s="50"/>
      <c r="F318" s="50"/>
      <c r="G318" s="50"/>
      <c r="H318" s="50"/>
      <c r="I318" s="50"/>
      <c r="J318" s="50"/>
      <c r="K318" s="50"/>
      <c r="L318" s="50"/>
      <c r="M318" s="50"/>
      <c r="N318" s="50"/>
      <c r="O318" s="51"/>
      <c r="P318" s="51"/>
      <c r="Q318" s="50"/>
      <c r="R318" s="50"/>
      <c r="S318" s="50"/>
      <c r="T318" s="50"/>
      <c r="U318" s="50"/>
      <c r="V318" s="50"/>
      <c r="W318" s="50"/>
      <c r="X318" s="51"/>
      <c r="Y318" s="51"/>
      <c r="Z318" s="50"/>
      <c r="AA318" s="50"/>
      <c r="AB318" s="50"/>
      <c r="AC318" s="50"/>
    </row>
    <row r="319" spans="1:29" ht="22" hidden="1" customHeight="1" x14ac:dyDescent="0.2">
      <c r="A319" s="50"/>
      <c r="B319" s="50"/>
      <c r="C319" s="50"/>
      <c r="D319" s="50"/>
      <c r="E319" s="50"/>
      <c r="F319" s="50"/>
      <c r="G319" s="50"/>
      <c r="H319" s="50"/>
      <c r="I319" s="50"/>
      <c r="J319" s="50"/>
      <c r="K319" s="50"/>
      <c r="L319" s="50"/>
      <c r="M319" s="50"/>
      <c r="N319" s="50"/>
      <c r="O319" s="51"/>
      <c r="P319" s="51"/>
      <c r="Q319" s="50"/>
      <c r="R319" s="50"/>
      <c r="S319" s="50"/>
      <c r="T319" s="50"/>
      <c r="U319" s="50"/>
      <c r="V319" s="50"/>
      <c r="W319" s="50"/>
      <c r="X319" s="51"/>
      <c r="Y319" s="51"/>
      <c r="Z319" s="50"/>
      <c r="AA319" s="50"/>
      <c r="AB319" s="50"/>
      <c r="AC319" s="50"/>
    </row>
    <row r="320" spans="1:29" ht="22" hidden="1" customHeight="1" x14ac:dyDescent="0.2">
      <c r="A320" s="50"/>
      <c r="B320" s="50"/>
      <c r="C320" s="50"/>
      <c r="D320" s="50"/>
      <c r="E320" s="50"/>
      <c r="F320" s="50"/>
      <c r="G320" s="50"/>
      <c r="H320" s="50"/>
      <c r="I320" s="50"/>
      <c r="J320" s="50"/>
      <c r="K320" s="50"/>
      <c r="L320" s="50"/>
      <c r="M320" s="50"/>
      <c r="N320" s="50"/>
      <c r="O320" s="51"/>
      <c r="P320" s="51"/>
      <c r="Q320" s="50"/>
      <c r="R320" s="50"/>
      <c r="S320" s="50"/>
      <c r="T320" s="50"/>
      <c r="U320" s="50"/>
      <c r="V320" s="50"/>
      <c r="W320" s="50"/>
      <c r="X320" s="51"/>
      <c r="Y320" s="51"/>
      <c r="Z320" s="50"/>
      <c r="AA320" s="50"/>
      <c r="AB320" s="50"/>
      <c r="AC320" s="50"/>
    </row>
    <row r="321" spans="1:29" ht="22" hidden="1" customHeight="1" x14ac:dyDescent="0.2">
      <c r="A321" s="50"/>
      <c r="B321" s="50"/>
      <c r="C321" s="50"/>
      <c r="D321" s="50"/>
      <c r="E321" s="50"/>
      <c r="F321" s="50"/>
      <c r="G321" s="50"/>
      <c r="H321" s="50"/>
      <c r="I321" s="50"/>
      <c r="J321" s="50"/>
      <c r="K321" s="50"/>
      <c r="L321" s="50"/>
      <c r="M321" s="50"/>
      <c r="N321" s="50"/>
      <c r="O321" s="51"/>
      <c r="P321" s="51"/>
      <c r="Q321" s="50"/>
      <c r="R321" s="50"/>
      <c r="S321" s="50"/>
      <c r="T321" s="50"/>
      <c r="U321" s="50"/>
      <c r="V321" s="50"/>
      <c r="W321" s="50"/>
      <c r="X321" s="51"/>
      <c r="Y321" s="51"/>
      <c r="Z321" s="50"/>
      <c r="AA321" s="50"/>
      <c r="AB321" s="50"/>
      <c r="AC321" s="50"/>
    </row>
    <row r="322" spans="1:29" ht="22" hidden="1" customHeight="1" x14ac:dyDescent="0.2">
      <c r="A322" s="50"/>
      <c r="B322" s="50"/>
      <c r="C322" s="50"/>
      <c r="D322" s="50"/>
      <c r="E322" s="50"/>
      <c r="F322" s="50"/>
      <c r="G322" s="50"/>
      <c r="H322" s="50"/>
      <c r="I322" s="50"/>
      <c r="J322" s="50"/>
      <c r="K322" s="50"/>
      <c r="L322" s="50"/>
      <c r="M322" s="50"/>
      <c r="N322" s="50"/>
      <c r="O322" s="51"/>
      <c r="P322" s="51"/>
      <c r="Q322" s="50"/>
      <c r="R322" s="50"/>
      <c r="S322" s="50"/>
      <c r="T322" s="50"/>
      <c r="U322" s="50"/>
      <c r="V322" s="50"/>
      <c r="W322" s="50"/>
      <c r="X322" s="51"/>
      <c r="Y322" s="51"/>
      <c r="Z322" s="50"/>
      <c r="AA322" s="50"/>
      <c r="AB322" s="50"/>
      <c r="AC322" s="50"/>
    </row>
    <row r="323" spans="1:29" ht="22" hidden="1" customHeight="1" x14ac:dyDescent="0.2">
      <c r="A323" s="50"/>
      <c r="B323" s="50"/>
      <c r="C323" s="50"/>
      <c r="D323" s="50"/>
      <c r="E323" s="50"/>
      <c r="F323" s="50"/>
      <c r="G323" s="50"/>
      <c r="H323" s="50"/>
      <c r="I323" s="50"/>
      <c r="J323" s="50"/>
      <c r="K323" s="50"/>
      <c r="L323" s="50"/>
      <c r="M323" s="50"/>
      <c r="N323" s="50"/>
      <c r="O323" s="51"/>
      <c r="P323" s="51"/>
      <c r="Q323" s="50"/>
      <c r="R323" s="50"/>
      <c r="S323" s="50"/>
      <c r="T323" s="50"/>
      <c r="U323" s="50"/>
      <c r="V323" s="50"/>
      <c r="W323" s="50"/>
      <c r="X323" s="51"/>
      <c r="Y323" s="51"/>
      <c r="Z323" s="50"/>
      <c r="AA323" s="50"/>
      <c r="AB323" s="50"/>
      <c r="AC323" s="50"/>
    </row>
    <row r="324" spans="1:29" ht="22" hidden="1" customHeight="1" x14ac:dyDescent="0.2">
      <c r="A324" s="50"/>
      <c r="B324" s="50"/>
      <c r="C324" s="50"/>
      <c r="D324" s="50"/>
      <c r="E324" s="50"/>
      <c r="F324" s="50"/>
      <c r="G324" s="50"/>
      <c r="H324" s="50"/>
      <c r="I324" s="50"/>
      <c r="J324" s="50"/>
      <c r="K324" s="50"/>
      <c r="L324" s="50"/>
      <c r="M324" s="50"/>
      <c r="N324" s="50"/>
      <c r="O324" s="51"/>
      <c r="P324" s="51"/>
      <c r="Q324" s="50"/>
      <c r="R324" s="50"/>
      <c r="S324" s="50"/>
      <c r="T324" s="50"/>
      <c r="U324" s="50"/>
      <c r="V324" s="50"/>
      <c r="W324" s="50"/>
      <c r="X324" s="51"/>
      <c r="Y324" s="51"/>
      <c r="Z324" s="50"/>
      <c r="AA324" s="50"/>
      <c r="AB324" s="50"/>
      <c r="AC324" s="50"/>
    </row>
    <row r="325" spans="1:29" ht="22" hidden="1" customHeight="1" x14ac:dyDescent="0.2">
      <c r="A325" s="50"/>
      <c r="B325" s="50"/>
      <c r="C325" s="50"/>
      <c r="D325" s="50"/>
      <c r="E325" s="50"/>
      <c r="F325" s="50"/>
      <c r="G325" s="50"/>
      <c r="H325" s="50"/>
      <c r="I325" s="50"/>
      <c r="J325" s="50"/>
      <c r="K325" s="50"/>
      <c r="L325" s="50"/>
      <c r="M325" s="50"/>
      <c r="N325" s="50"/>
      <c r="O325" s="51"/>
      <c r="P325" s="51"/>
      <c r="Q325" s="50"/>
      <c r="R325" s="50"/>
      <c r="S325" s="50"/>
      <c r="T325" s="50"/>
      <c r="U325" s="50"/>
      <c r="V325" s="50"/>
      <c r="W325" s="50"/>
      <c r="X325" s="51"/>
      <c r="Y325" s="51"/>
      <c r="Z325" s="50"/>
      <c r="AA325" s="50"/>
      <c r="AB325" s="50"/>
      <c r="AC325" s="50"/>
    </row>
    <row r="326" spans="1:29" ht="22" hidden="1" customHeight="1" x14ac:dyDescent="0.2">
      <c r="A326" s="50"/>
      <c r="B326" s="50"/>
      <c r="C326" s="50"/>
      <c r="D326" s="50"/>
      <c r="E326" s="50"/>
      <c r="F326" s="50"/>
      <c r="G326" s="50"/>
      <c r="H326" s="50"/>
      <c r="I326" s="50"/>
      <c r="J326" s="50"/>
      <c r="K326" s="50"/>
      <c r="L326" s="50"/>
      <c r="M326" s="50"/>
      <c r="N326" s="50"/>
      <c r="O326" s="51"/>
      <c r="P326" s="51"/>
      <c r="Q326" s="50"/>
      <c r="R326" s="50"/>
      <c r="S326" s="50"/>
      <c r="T326" s="50"/>
      <c r="U326" s="50"/>
      <c r="V326" s="50"/>
      <c r="W326" s="50"/>
      <c r="X326" s="51"/>
      <c r="Y326" s="51"/>
      <c r="Z326" s="50"/>
      <c r="AA326" s="50"/>
      <c r="AB326" s="50"/>
      <c r="AC326" s="50"/>
    </row>
    <row r="327" spans="1:29" ht="22" hidden="1" customHeight="1" x14ac:dyDescent="0.2">
      <c r="A327" s="50"/>
      <c r="B327" s="50"/>
      <c r="C327" s="50"/>
      <c r="D327" s="50"/>
      <c r="E327" s="50"/>
      <c r="F327" s="50"/>
      <c r="G327" s="50"/>
      <c r="H327" s="50"/>
      <c r="I327" s="50"/>
      <c r="J327" s="50"/>
      <c r="K327" s="50"/>
      <c r="L327" s="50"/>
      <c r="M327" s="50"/>
      <c r="N327" s="50"/>
      <c r="O327" s="51"/>
      <c r="P327" s="51"/>
      <c r="Q327" s="50"/>
      <c r="R327" s="50"/>
      <c r="S327" s="50"/>
      <c r="T327" s="50"/>
      <c r="U327" s="50"/>
      <c r="V327" s="50"/>
      <c r="W327" s="50"/>
      <c r="X327" s="51"/>
      <c r="Y327" s="51"/>
      <c r="Z327" s="50"/>
      <c r="AA327" s="50"/>
      <c r="AB327" s="50"/>
      <c r="AC327" s="50"/>
    </row>
    <row r="328" spans="1:29" ht="22" hidden="1" customHeight="1" x14ac:dyDescent="0.2">
      <c r="A328" s="50"/>
      <c r="B328" s="50"/>
      <c r="C328" s="50"/>
      <c r="D328" s="50"/>
      <c r="E328" s="50"/>
      <c r="F328" s="50"/>
      <c r="G328" s="50"/>
      <c r="H328" s="50"/>
      <c r="I328" s="50"/>
      <c r="J328" s="50"/>
      <c r="K328" s="50"/>
      <c r="L328" s="50"/>
      <c r="M328" s="50"/>
      <c r="N328" s="50"/>
      <c r="O328" s="51"/>
      <c r="P328" s="51"/>
      <c r="Q328" s="50"/>
      <c r="R328" s="50"/>
      <c r="S328" s="50"/>
      <c r="T328" s="50"/>
      <c r="U328" s="50"/>
      <c r="V328" s="50"/>
      <c r="W328" s="50"/>
      <c r="X328" s="51"/>
      <c r="Y328" s="51"/>
      <c r="Z328" s="50"/>
      <c r="AA328" s="50"/>
      <c r="AB328" s="50"/>
      <c r="AC328" s="50"/>
    </row>
    <row r="329" spans="1:29" ht="22" hidden="1" customHeight="1" x14ac:dyDescent="0.2">
      <c r="A329" s="50"/>
      <c r="B329" s="50"/>
      <c r="C329" s="50"/>
      <c r="D329" s="50"/>
      <c r="E329" s="50"/>
      <c r="F329" s="50"/>
      <c r="G329" s="50"/>
      <c r="H329" s="50"/>
      <c r="I329" s="50"/>
      <c r="J329" s="50"/>
      <c r="K329" s="50"/>
      <c r="L329" s="50"/>
      <c r="M329" s="50"/>
      <c r="N329" s="50"/>
      <c r="O329" s="51"/>
      <c r="P329" s="51"/>
      <c r="Q329" s="50"/>
      <c r="R329" s="50"/>
      <c r="S329" s="50"/>
      <c r="T329" s="50"/>
      <c r="U329" s="50"/>
      <c r="V329" s="50"/>
      <c r="W329" s="50"/>
      <c r="X329" s="51"/>
      <c r="Y329" s="51"/>
      <c r="Z329" s="50"/>
      <c r="AA329" s="50"/>
      <c r="AB329" s="50"/>
      <c r="AC329" s="50"/>
    </row>
    <row r="330" spans="1:29" ht="22" hidden="1" customHeight="1" x14ac:dyDescent="0.2">
      <c r="A330" s="50"/>
      <c r="B330" s="50"/>
      <c r="C330" s="50"/>
      <c r="D330" s="50"/>
      <c r="E330" s="50"/>
      <c r="F330" s="50"/>
      <c r="G330" s="50"/>
      <c r="H330" s="50"/>
      <c r="I330" s="50"/>
      <c r="J330" s="50"/>
      <c r="K330" s="50"/>
      <c r="L330" s="50"/>
      <c r="M330" s="50"/>
      <c r="N330" s="50"/>
      <c r="O330" s="51"/>
      <c r="P330" s="51"/>
      <c r="Q330" s="50"/>
      <c r="R330" s="50"/>
      <c r="S330" s="50"/>
      <c r="T330" s="50"/>
      <c r="U330" s="50"/>
      <c r="V330" s="50"/>
      <c r="W330" s="50"/>
      <c r="X330" s="51"/>
      <c r="Y330" s="51"/>
      <c r="Z330" s="50"/>
      <c r="AA330" s="50"/>
      <c r="AB330" s="50"/>
      <c r="AC330" s="50"/>
    </row>
    <row r="331" spans="1:29" ht="22" hidden="1" customHeight="1" x14ac:dyDescent="0.2">
      <c r="A331" s="50"/>
      <c r="B331" s="50"/>
      <c r="C331" s="50"/>
      <c r="D331" s="50"/>
      <c r="E331" s="50"/>
      <c r="F331" s="50"/>
      <c r="G331" s="50"/>
      <c r="H331" s="50"/>
      <c r="I331" s="50"/>
      <c r="J331" s="50"/>
      <c r="K331" s="50"/>
      <c r="L331" s="50"/>
      <c r="M331" s="50"/>
      <c r="N331" s="50"/>
      <c r="O331" s="51"/>
      <c r="P331" s="51"/>
      <c r="Q331" s="50"/>
      <c r="R331" s="50"/>
      <c r="S331" s="50"/>
      <c r="T331" s="50"/>
      <c r="U331" s="50"/>
      <c r="V331" s="50"/>
      <c r="W331" s="50"/>
      <c r="X331" s="51"/>
      <c r="Y331" s="51"/>
      <c r="Z331" s="50"/>
      <c r="AA331" s="50"/>
      <c r="AB331" s="50"/>
      <c r="AC331" s="50"/>
    </row>
    <row r="332" spans="1:29" ht="22" hidden="1" customHeight="1" x14ac:dyDescent="0.2">
      <c r="A332" s="50"/>
      <c r="B332" s="50"/>
      <c r="C332" s="50"/>
      <c r="D332" s="50"/>
      <c r="E332" s="50"/>
      <c r="F332" s="50"/>
      <c r="G332" s="50"/>
      <c r="H332" s="50"/>
      <c r="I332" s="50"/>
      <c r="J332" s="50"/>
      <c r="K332" s="50"/>
      <c r="L332" s="50"/>
      <c r="M332" s="50"/>
      <c r="N332" s="50"/>
      <c r="O332" s="51"/>
      <c r="P332" s="51"/>
      <c r="Q332" s="50"/>
      <c r="R332" s="50"/>
      <c r="S332" s="50"/>
      <c r="T332" s="50"/>
      <c r="U332" s="50"/>
      <c r="V332" s="50"/>
      <c r="W332" s="50"/>
      <c r="X332" s="51"/>
      <c r="Y332" s="51"/>
      <c r="Z332" s="50"/>
      <c r="AA332" s="50"/>
      <c r="AB332" s="50"/>
      <c r="AC332" s="50"/>
    </row>
    <row r="333" spans="1:29" ht="22" hidden="1" customHeight="1" x14ac:dyDescent="0.2">
      <c r="A333" s="50"/>
      <c r="B333" s="50"/>
      <c r="C333" s="50"/>
      <c r="D333" s="50"/>
      <c r="E333" s="50"/>
      <c r="F333" s="50"/>
      <c r="G333" s="50"/>
      <c r="H333" s="50"/>
      <c r="I333" s="50"/>
      <c r="J333" s="50"/>
      <c r="K333" s="50"/>
      <c r="L333" s="50"/>
      <c r="M333" s="50"/>
      <c r="N333" s="50"/>
      <c r="O333" s="51"/>
      <c r="P333" s="51"/>
      <c r="Q333" s="50"/>
      <c r="R333" s="50"/>
      <c r="S333" s="50"/>
      <c r="T333" s="50"/>
      <c r="U333" s="50"/>
      <c r="V333" s="50"/>
      <c r="W333" s="50"/>
      <c r="X333" s="51"/>
      <c r="Y333" s="51"/>
      <c r="Z333" s="50"/>
      <c r="AA333" s="50"/>
      <c r="AB333" s="50"/>
      <c r="AC333" s="50"/>
    </row>
    <row r="334" spans="1:29" ht="22" hidden="1" customHeight="1" x14ac:dyDescent="0.2">
      <c r="A334" s="50"/>
      <c r="B334" s="50"/>
      <c r="C334" s="50"/>
      <c r="D334" s="50"/>
      <c r="E334" s="50"/>
      <c r="F334" s="50"/>
      <c r="G334" s="50"/>
      <c r="H334" s="50"/>
      <c r="I334" s="50"/>
      <c r="J334" s="50"/>
      <c r="K334" s="50"/>
      <c r="L334" s="50"/>
      <c r="M334" s="50"/>
      <c r="N334" s="50"/>
      <c r="O334" s="51"/>
      <c r="P334" s="51"/>
      <c r="Q334" s="50"/>
      <c r="R334" s="50"/>
      <c r="S334" s="50"/>
      <c r="T334" s="50"/>
      <c r="U334" s="50"/>
      <c r="V334" s="50"/>
      <c r="W334" s="50"/>
      <c r="X334" s="51"/>
      <c r="Y334" s="51"/>
      <c r="Z334" s="50"/>
      <c r="AA334" s="50"/>
      <c r="AB334" s="50"/>
      <c r="AC334" s="50"/>
    </row>
    <row r="335" spans="1:29" ht="22" hidden="1" customHeight="1" x14ac:dyDescent="0.2">
      <c r="A335" s="50"/>
      <c r="B335" s="50"/>
      <c r="C335" s="50"/>
      <c r="D335" s="50"/>
      <c r="E335" s="50"/>
      <c r="F335" s="50"/>
      <c r="G335" s="50"/>
      <c r="H335" s="50"/>
      <c r="I335" s="50"/>
      <c r="J335" s="50"/>
      <c r="K335" s="50"/>
      <c r="L335" s="50"/>
      <c r="M335" s="50"/>
      <c r="N335" s="50"/>
      <c r="O335" s="51"/>
      <c r="P335" s="51"/>
      <c r="Q335" s="50"/>
      <c r="R335" s="50"/>
      <c r="S335" s="50"/>
      <c r="T335" s="50"/>
      <c r="U335" s="50"/>
      <c r="V335" s="50"/>
      <c r="W335" s="50"/>
      <c r="X335" s="51"/>
      <c r="Y335" s="51"/>
      <c r="Z335" s="50"/>
      <c r="AA335" s="50"/>
      <c r="AB335" s="50"/>
      <c r="AC335" s="50"/>
    </row>
    <row r="336" spans="1:29" ht="22" hidden="1" customHeight="1" x14ac:dyDescent="0.2">
      <c r="A336" s="50"/>
      <c r="B336" s="50"/>
      <c r="C336" s="50"/>
      <c r="D336" s="50"/>
      <c r="E336" s="50"/>
      <c r="F336" s="50"/>
      <c r="G336" s="50"/>
      <c r="H336" s="50"/>
      <c r="I336" s="50"/>
      <c r="J336" s="50"/>
      <c r="K336" s="50"/>
      <c r="L336" s="50"/>
      <c r="M336" s="50"/>
      <c r="N336" s="50"/>
      <c r="O336" s="51"/>
      <c r="P336" s="51"/>
      <c r="Q336" s="50"/>
      <c r="R336" s="50"/>
      <c r="S336" s="50"/>
      <c r="T336" s="50"/>
      <c r="U336" s="50"/>
      <c r="V336" s="50"/>
      <c r="W336" s="50"/>
      <c r="X336" s="51"/>
      <c r="Y336" s="51"/>
      <c r="Z336" s="50"/>
      <c r="AA336" s="50"/>
      <c r="AB336" s="50"/>
      <c r="AC336" s="50"/>
    </row>
    <row r="337" spans="1:29" ht="22" hidden="1" customHeight="1" x14ac:dyDescent="0.2">
      <c r="A337" s="50"/>
      <c r="B337" s="50"/>
      <c r="C337" s="50"/>
      <c r="D337" s="50"/>
      <c r="E337" s="50"/>
      <c r="F337" s="50"/>
      <c r="G337" s="50"/>
      <c r="H337" s="50"/>
      <c r="I337" s="50"/>
      <c r="J337" s="50"/>
      <c r="K337" s="50"/>
      <c r="L337" s="50"/>
      <c r="M337" s="50"/>
      <c r="N337" s="50"/>
      <c r="O337" s="51"/>
      <c r="P337" s="51"/>
      <c r="Q337" s="50"/>
      <c r="R337" s="50"/>
      <c r="S337" s="50"/>
      <c r="T337" s="50"/>
      <c r="U337" s="50"/>
      <c r="V337" s="50"/>
      <c r="W337" s="50"/>
      <c r="X337" s="51"/>
      <c r="Y337" s="51"/>
      <c r="Z337" s="50"/>
      <c r="AA337" s="50"/>
      <c r="AB337" s="50"/>
      <c r="AC337" s="50"/>
    </row>
    <row r="338" spans="1:29" ht="22" hidden="1" customHeight="1" x14ac:dyDescent="0.2">
      <c r="A338" s="50"/>
      <c r="B338" s="50"/>
      <c r="C338" s="50"/>
      <c r="D338" s="50"/>
      <c r="E338" s="50"/>
      <c r="F338" s="50"/>
      <c r="G338" s="50"/>
      <c r="H338" s="50"/>
      <c r="I338" s="50"/>
      <c r="J338" s="50"/>
      <c r="K338" s="50"/>
      <c r="L338" s="50"/>
      <c r="M338" s="50"/>
      <c r="N338" s="50"/>
      <c r="O338" s="51"/>
      <c r="P338" s="51"/>
      <c r="Q338" s="50"/>
      <c r="R338" s="50"/>
      <c r="S338" s="50"/>
      <c r="T338" s="50"/>
      <c r="U338" s="50"/>
      <c r="V338" s="50"/>
      <c r="W338" s="50"/>
      <c r="X338" s="51"/>
      <c r="Y338" s="51"/>
      <c r="Z338" s="50"/>
      <c r="AA338" s="50"/>
      <c r="AB338" s="50"/>
      <c r="AC338" s="50"/>
    </row>
    <row r="339" spans="1:29" ht="22" hidden="1" customHeight="1" x14ac:dyDescent="0.2">
      <c r="A339" s="50"/>
      <c r="B339" s="50"/>
      <c r="C339" s="50"/>
      <c r="D339" s="50"/>
      <c r="E339" s="50"/>
      <c r="F339" s="50"/>
      <c r="G339" s="50"/>
      <c r="H339" s="50"/>
      <c r="I339" s="50"/>
      <c r="J339" s="50"/>
      <c r="K339" s="50"/>
      <c r="L339" s="50"/>
      <c r="M339" s="50"/>
      <c r="N339" s="50"/>
      <c r="O339" s="51"/>
      <c r="P339" s="51"/>
      <c r="Q339" s="50"/>
      <c r="R339" s="50"/>
      <c r="S339" s="50"/>
      <c r="T339" s="50"/>
      <c r="U339" s="50"/>
      <c r="V339" s="50"/>
      <c r="W339" s="50"/>
      <c r="X339" s="51"/>
      <c r="Y339" s="51"/>
      <c r="Z339" s="50"/>
      <c r="AA339" s="50"/>
      <c r="AB339" s="50"/>
      <c r="AC339" s="50"/>
    </row>
    <row r="340" spans="1:29" ht="22" hidden="1" customHeight="1" x14ac:dyDescent="0.2">
      <c r="A340" s="50"/>
      <c r="B340" s="50"/>
      <c r="C340" s="50"/>
      <c r="D340" s="50"/>
      <c r="E340" s="50"/>
      <c r="F340" s="50"/>
      <c r="G340" s="50"/>
      <c r="H340" s="50"/>
      <c r="I340" s="50"/>
      <c r="J340" s="50"/>
      <c r="K340" s="50"/>
      <c r="L340" s="50"/>
      <c r="M340" s="50"/>
      <c r="N340" s="50"/>
      <c r="O340" s="51"/>
      <c r="P340" s="51"/>
      <c r="Q340" s="50"/>
      <c r="R340" s="50"/>
      <c r="S340" s="50"/>
      <c r="T340" s="50"/>
      <c r="U340" s="50"/>
      <c r="V340" s="50"/>
      <c r="W340" s="50"/>
      <c r="X340" s="51"/>
      <c r="Y340" s="51"/>
      <c r="Z340" s="50"/>
      <c r="AA340" s="50"/>
      <c r="AB340" s="50"/>
      <c r="AC340" s="50"/>
    </row>
    <row r="341" spans="1:29" ht="22" hidden="1" customHeight="1" x14ac:dyDescent="0.2">
      <c r="A341" s="50"/>
      <c r="B341" s="50"/>
      <c r="C341" s="50"/>
      <c r="D341" s="50"/>
      <c r="E341" s="50"/>
      <c r="F341" s="50"/>
      <c r="G341" s="50"/>
      <c r="H341" s="50"/>
      <c r="I341" s="50"/>
      <c r="J341" s="50"/>
      <c r="K341" s="50"/>
      <c r="L341" s="50"/>
      <c r="M341" s="50"/>
      <c r="N341" s="50"/>
      <c r="O341" s="51"/>
      <c r="P341" s="51"/>
      <c r="Q341" s="50"/>
      <c r="R341" s="50"/>
      <c r="S341" s="50"/>
      <c r="T341" s="50"/>
      <c r="U341" s="50"/>
      <c r="V341" s="50"/>
      <c r="W341" s="50"/>
      <c r="X341" s="51"/>
      <c r="Y341" s="51"/>
      <c r="Z341" s="50"/>
      <c r="AA341" s="50"/>
      <c r="AB341" s="50"/>
      <c r="AC341" s="50"/>
    </row>
    <row r="342" spans="1:29" ht="22" hidden="1" customHeight="1" x14ac:dyDescent="0.2">
      <c r="A342" s="50"/>
      <c r="B342" s="50"/>
      <c r="C342" s="50"/>
      <c r="D342" s="50"/>
      <c r="E342" s="50"/>
      <c r="F342" s="50"/>
      <c r="G342" s="50"/>
      <c r="H342" s="50"/>
      <c r="I342" s="50"/>
      <c r="J342" s="50"/>
      <c r="K342" s="50"/>
      <c r="L342" s="50"/>
      <c r="M342" s="50"/>
      <c r="N342" s="50"/>
      <c r="O342" s="51"/>
      <c r="P342" s="51"/>
      <c r="Q342" s="50"/>
      <c r="R342" s="50"/>
      <c r="S342" s="50"/>
      <c r="T342" s="50"/>
      <c r="U342" s="50"/>
      <c r="V342" s="50"/>
      <c r="W342" s="50"/>
      <c r="X342" s="51"/>
      <c r="Y342" s="51"/>
      <c r="Z342" s="50"/>
      <c r="AA342" s="50"/>
      <c r="AB342" s="50"/>
      <c r="AC342" s="50"/>
    </row>
    <row r="343" spans="1:29" ht="22" hidden="1" customHeight="1" x14ac:dyDescent="0.2">
      <c r="A343" s="50"/>
      <c r="B343" s="50"/>
      <c r="C343" s="50"/>
      <c r="D343" s="50"/>
      <c r="E343" s="50"/>
      <c r="F343" s="50"/>
      <c r="G343" s="50"/>
      <c r="H343" s="50"/>
      <c r="I343" s="50"/>
      <c r="J343" s="50"/>
      <c r="K343" s="50"/>
      <c r="L343" s="50"/>
      <c r="M343" s="50"/>
      <c r="N343" s="50"/>
      <c r="O343" s="51"/>
      <c r="P343" s="51"/>
      <c r="Q343" s="50"/>
      <c r="R343" s="50"/>
      <c r="S343" s="50"/>
      <c r="T343" s="50"/>
      <c r="U343" s="50"/>
      <c r="V343" s="50"/>
      <c r="W343" s="50"/>
      <c r="X343" s="51"/>
      <c r="Y343" s="51"/>
      <c r="Z343" s="50"/>
      <c r="AA343" s="50"/>
      <c r="AB343" s="50"/>
      <c r="AC343" s="50"/>
    </row>
    <row r="344" spans="1:29" ht="22" hidden="1" customHeight="1" x14ac:dyDescent="0.2">
      <c r="A344" s="50"/>
      <c r="B344" s="50"/>
      <c r="C344" s="50"/>
      <c r="D344" s="50"/>
      <c r="E344" s="50"/>
      <c r="F344" s="50"/>
      <c r="G344" s="50"/>
      <c r="H344" s="50"/>
      <c r="I344" s="50"/>
      <c r="J344" s="50"/>
      <c r="K344" s="50"/>
      <c r="L344" s="50"/>
      <c r="M344" s="50"/>
      <c r="N344" s="50"/>
      <c r="O344" s="51"/>
      <c r="P344" s="51"/>
      <c r="Q344" s="50"/>
      <c r="R344" s="50"/>
      <c r="S344" s="50"/>
      <c r="T344" s="50"/>
      <c r="U344" s="50"/>
      <c r="V344" s="50"/>
      <c r="W344" s="50"/>
      <c r="X344" s="51"/>
      <c r="Y344" s="51"/>
      <c r="Z344" s="50"/>
      <c r="AA344" s="50"/>
      <c r="AB344" s="50"/>
      <c r="AC344" s="50"/>
    </row>
    <row r="345" spans="1:29" ht="22" hidden="1" customHeight="1" x14ac:dyDescent="0.2">
      <c r="A345" s="50"/>
      <c r="B345" s="50"/>
      <c r="C345" s="50"/>
      <c r="D345" s="50"/>
      <c r="E345" s="50"/>
      <c r="F345" s="50"/>
      <c r="G345" s="50"/>
      <c r="H345" s="50"/>
      <c r="I345" s="50"/>
      <c r="J345" s="50"/>
      <c r="K345" s="50"/>
      <c r="L345" s="50"/>
      <c r="M345" s="50"/>
      <c r="N345" s="50"/>
      <c r="O345" s="51"/>
      <c r="P345" s="51"/>
      <c r="Q345" s="50"/>
      <c r="R345" s="50"/>
      <c r="S345" s="50"/>
      <c r="T345" s="50"/>
      <c r="U345" s="50"/>
      <c r="V345" s="50"/>
      <c r="W345" s="50"/>
      <c r="X345" s="51"/>
      <c r="Y345" s="51"/>
      <c r="Z345" s="50"/>
      <c r="AA345" s="50"/>
      <c r="AB345" s="50"/>
      <c r="AC345" s="50"/>
    </row>
    <row r="346" spans="1:29" ht="22" hidden="1" customHeight="1" x14ac:dyDescent="0.2">
      <c r="A346" s="50"/>
      <c r="B346" s="50"/>
      <c r="C346" s="50"/>
      <c r="D346" s="50"/>
      <c r="E346" s="50"/>
      <c r="F346" s="50"/>
      <c r="G346" s="50"/>
      <c r="H346" s="50"/>
      <c r="I346" s="50"/>
      <c r="J346" s="50"/>
      <c r="K346" s="50"/>
      <c r="L346" s="50"/>
      <c r="M346" s="50"/>
      <c r="N346" s="50"/>
      <c r="O346" s="51"/>
      <c r="P346" s="51"/>
      <c r="Q346" s="50"/>
      <c r="R346" s="50"/>
      <c r="S346" s="50"/>
      <c r="T346" s="50"/>
      <c r="U346" s="50"/>
      <c r="V346" s="50"/>
      <c r="W346" s="50"/>
      <c r="X346" s="51"/>
      <c r="Y346" s="51"/>
      <c r="Z346" s="50"/>
      <c r="AA346" s="50"/>
      <c r="AB346" s="50"/>
      <c r="AC346" s="50"/>
    </row>
    <row r="347" spans="1:29" ht="22" hidden="1" customHeight="1" x14ac:dyDescent="0.2">
      <c r="A347" s="50"/>
      <c r="B347" s="50"/>
      <c r="C347" s="50"/>
      <c r="D347" s="50"/>
      <c r="E347" s="50"/>
      <c r="F347" s="50"/>
      <c r="G347" s="50"/>
      <c r="H347" s="50"/>
      <c r="I347" s="50"/>
      <c r="J347" s="50"/>
      <c r="K347" s="50"/>
      <c r="L347" s="50"/>
      <c r="M347" s="50"/>
      <c r="N347" s="50"/>
      <c r="O347" s="51"/>
      <c r="P347" s="51"/>
      <c r="Q347" s="50"/>
      <c r="R347" s="50"/>
      <c r="S347" s="50"/>
      <c r="T347" s="50"/>
      <c r="U347" s="50"/>
      <c r="V347" s="50"/>
      <c r="W347" s="50"/>
      <c r="X347" s="51"/>
      <c r="Y347" s="51"/>
      <c r="Z347" s="50"/>
      <c r="AA347" s="50"/>
      <c r="AB347" s="50"/>
      <c r="AC347" s="50"/>
    </row>
    <row r="348" spans="1:29" ht="22" hidden="1" customHeight="1" x14ac:dyDescent="0.2">
      <c r="A348" s="50"/>
      <c r="B348" s="50"/>
      <c r="C348" s="50"/>
      <c r="D348" s="50"/>
      <c r="E348" s="50"/>
      <c r="F348" s="50"/>
      <c r="G348" s="50"/>
      <c r="H348" s="50"/>
      <c r="I348" s="50"/>
      <c r="J348" s="50"/>
      <c r="K348" s="50"/>
      <c r="L348" s="50"/>
      <c r="M348" s="50"/>
      <c r="N348" s="50"/>
      <c r="O348" s="51"/>
      <c r="P348" s="51"/>
      <c r="Q348" s="50"/>
      <c r="R348" s="50"/>
      <c r="S348" s="50"/>
      <c r="T348" s="50"/>
      <c r="U348" s="50"/>
      <c r="V348" s="50"/>
      <c r="W348" s="50"/>
      <c r="X348" s="51"/>
      <c r="Y348" s="51"/>
      <c r="Z348" s="50"/>
      <c r="AA348" s="50"/>
      <c r="AB348" s="50"/>
      <c r="AC348" s="50"/>
    </row>
    <row r="349" spans="1:29" ht="22" hidden="1" customHeight="1" x14ac:dyDescent="0.2">
      <c r="A349" s="50"/>
      <c r="B349" s="50"/>
      <c r="C349" s="50"/>
      <c r="D349" s="50"/>
      <c r="E349" s="50"/>
      <c r="F349" s="50"/>
      <c r="G349" s="50"/>
      <c r="H349" s="50"/>
      <c r="I349" s="50"/>
      <c r="J349" s="50"/>
      <c r="K349" s="50"/>
      <c r="L349" s="50"/>
      <c r="M349" s="50"/>
      <c r="N349" s="50"/>
      <c r="O349" s="51"/>
      <c r="P349" s="51"/>
      <c r="Q349" s="50"/>
      <c r="R349" s="50"/>
      <c r="S349" s="50"/>
      <c r="T349" s="50"/>
      <c r="U349" s="50"/>
      <c r="V349" s="50"/>
      <c r="W349" s="50"/>
      <c r="X349" s="51"/>
      <c r="Y349" s="51"/>
      <c r="Z349" s="50"/>
      <c r="AA349" s="50"/>
      <c r="AB349" s="50"/>
      <c r="AC349" s="50"/>
    </row>
    <row r="350" spans="1:29" ht="22" hidden="1" customHeight="1" x14ac:dyDescent="0.2">
      <c r="A350" s="50"/>
      <c r="B350" s="50"/>
      <c r="C350" s="50"/>
      <c r="D350" s="50"/>
      <c r="E350" s="50"/>
      <c r="F350" s="50"/>
      <c r="G350" s="50"/>
      <c r="H350" s="50"/>
      <c r="I350" s="50"/>
      <c r="J350" s="50"/>
      <c r="K350" s="50"/>
      <c r="L350" s="50"/>
      <c r="M350" s="50"/>
      <c r="N350" s="50"/>
      <c r="O350" s="51"/>
      <c r="P350" s="51"/>
      <c r="Q350" s="50"/>
      <c r="R350" s="50"/>
      <c r="S350" s="50"/>
      <c r="T350" s="50"/>
      <c r="U350" s="50"/>
      <c r="V350" s="50"/>
      <c r="W350" s="50"/>
      <c r="X350" s="51"/>
      <c r="Y350" s="51"/>
      <c r="Z350" s="50"/>
      <c r="AA350" s="50"/>
      <c r="AB350" s="50"/>
      <c r="AC350" s="50"/>
    </row>
    <row r="351" spans="1:29" ht="22" hidden="1" customHeight="1" x14ac:dyDescent="0.2">
      <c r="A351" s="50"/>
      <c r="B351" s="50"/>
      <c r="C351" s="50"/>
      <c r="D351" s="50"/>
      <c r="E351" s="50"/>
      <c r="F351" s="50"/>
      <c r="G351" s="50"/>
      <c r="H351" s="50"/>
      <c r="I351" s="50"/>
      <c r="J351" s="50"/>
      <c r="K351" s="50"/>
      <c r="L351" s="50"/>
      <c r="M351" s="50"/>
      <c r="N351" s="50"/>
      <c r="O351" s="51"/>
      <c r="P351" s="51"/>
      <c r="Q351" s="50"/>
      <c r="R351" s="50"/>
      <c r="S351" s="50"/>
      <c r="T351" s="50"/>
      <c r="U351" s="50"/>
      <c r="V351" s="50"/>
      <c r="W351" s="50"/>
      <c r="X351" s="51"/>
      <c r="Y351" s="51"/>
      <c r="Z351" s="50"/>
      <c r="AA351" s="50"/>
      <c r="AB351" s="50"/>
      <c r="AC351" s="50"/>
    </row>
    <row r="352" spans="1:29" ht="22" hidden="1" customHeight="1" x14ac:dyDescent="0.2">
      <c r="A352" s="50"/>
      <c r="B352" s="50"/>
      <c r="C352" s="50"/>
      <c r="D352" s="50"/>
      <c r="E352" s="50"/>
      <c r="F352" s="50"/>
      <c r="G352" s="50"/>
      <c r="H352" s="50"/>
      <c r="I352" s="50"/>
      <c r="J352" s="50"/>
      <c r="K352" s="50"/>
      <c r="L352" s="50"/>
      <c r="M352" s="50"/>
      <c r="N352" s="50"/>
      <c r="O352" s="51"/>
      <c r="P352" s="51"/>
      <c r="Q352" s="50"/>
      <c r="R352" s="50"/>
      <c r="S352" s="50"/>
      <c r="T352" s="50"/>
      <c r="U352" s="50"/>
      <c r="V352" s="50"/>
      <c r="W352" s="50"/>
      <c r="X352" s="51"/>
      <c r="Y352" s="51"/>
      <c r="Z352" s="50"/>
      <c r="AA352" s="50"/>
      <c r="AB352" s="50"/>
      <c r="AC352" s="50"/>
    </row>
    <row r="353" spans="1:29" ht="22" hidden="1" customHeight="1" x14ac:dyDescent="0.2">
      <c r="A353" s="50"/>
      <c r="B353" s="50"/>
      <c r="C353" s="50"/>
      <c r="D353" s="50"/>
      <c r="E353" s="50"/>
      <c r="F353" s="50"/>
      <c r="G353" s="50"/>
      <c r="H353" s="50"/>
      <c r="I353" s="50"/>
      <c r="J353" s="50"/>
      <c r="K353" s="50"/>
      <c r="L353" s="50"/>
      <c r="M353" s="50"/>
      <c r="N353" s="50"/>
      <c r="O353" s="51"/>
      <c r="P353" s="51"/>
      <c r="Q353" s="50"/>
      <c r="R353" s="50"/>
      <c r="S353" s="50"/>
      <c r="T353" s="50"/>
      <c r="U353" s="50"/>
      <c r="V353" s="50"/>
      <c r="W353" s="50"/>
      <c r="X353" s="51"/>
      <c r="Y353" s="51"/>
      <c r="Z353" s="50"/>
      <c r="AA353" s="50"/>
      <c r="AB353" s="50"/>
      <c r="AC353" s="50"/>
    </row>
    <row r="354" spans="1:29" ht="22" hidden="1" customHeight="1" x14ac:dyDescent="0.2">
      <c r="A354" s="50"/>
      <c r="B354" s="50"/>
      <c r="C354" s="50"/>
      <c r="D354" s="50"/>
      <c r="E354" s="50"/>
      <c r="F354" s="50"/>
      <c r="G354" s="50"/>
      <c r="H354" s="50"/>
      <c r="I354" s="50"/>
      <c r="J354" s="50"/>
      <c r="K354" s="50"/>
      <c r="L354" s="50"/>
      <c r="M354" s="50"/>
      <c r="N354" s="50"/>
      <c r="O354" s="51"/>
      <c r="P354" s="51"/>
      <c r="Q354" s="50"/>
      <c r="R354" s="50"/>
      <c r="S354" s="50"/>
      <c r="T354" s="50"/>
      <c r="U354" s="50"/>
      <c r="V354" s="50"/>
      <c r="W354" s="50"/>
      <c r="X354" s="51"/>
      <c r="Y354" s="51"/>
      <c r="Z354" s="50"/>
      <c r="AA354" s="50"/>
      <c r="AB354" s="50"/>
      <c r="AC354" s="50"/>
    </row>
    <row r="355" spans="1:29" ht="22" hidden="1" customHeight="1" x14ac:dyDescent="0.2">
      <c r="A355" s="50"/>
      <c r="B355" s="50"/>
      <c r="C355" s="50"/>
      <c r="D355" s="50"/>
      <c r="E355" s="50"/>
      <c r="F355" s="50"/>
      <c r="G355" s="50"/>
      <c r="H355" s="50"/>
      <c r="I355" s="50"/>
      <c r="J355" s="50"/>
      <c r="K355" s="50"/>
      <c r="L355" s="50"/>
      <c r="M355" s="50"/>
      <c r="N355" s="50"/>
      <c r="O355" s="51"/>
      <c r="P355" s="51"/>
      <c r="Q355" s="50"/>
      <c r="R355" s="50"/>
      <c r="S355" s="50"/>
      <c r="T355" s="50"/>
      <c r="U355" s="50"/>
      <c r="V355" s="50"/>
      <c r="W355" s="50"/>
      <c r="X355" s="51"/>
      <c r="Y355" s="51"/>
      <c r="Z355" s="50"/>
      <c r="AA355" s="50"/>
      <c r="AB355" s="50"/>
      <c r="AC355" s="50"/>
    </row>
    <row r="356" spans="1:29" ht="22" hidden="1" customHeight="1" x14ac:dyDescent="0.2">
      <c r="A356" s="50"/>
      <c r="B356" s="50"/>
      <c r="C356" s="50"/>
      <c r="D356" s="50"/>
      <c r="E356" s="50"/>
      <c r="F356" s="50"/>
      <c r="G356" s="50"/>
      <c r="H356" s="50"/>
      <c r="I356" s="50"/>
      <c r="J356" s="50"/>
      <c r="K356" s="50"/>
      <c r="L356" s="50"/>
      <c r="M356" s="50"/>
      <c r="N356" s="50"/>
      <c r="O356" s="51"/>
      <c r="P356" s="51"/>
      <c r="Q356" s="50"/>
      <c r="R356" s="50"/>
      <c r="S356" s="50"/>
      <c r="T356" s="50"/>
      <c r="U356" s="50"/>
      <c r="V356" s="50"/>
      <c r="W356" s="50"/>
      <c r="X356" s="51"/>
      <c r="Y356" s="51"/>
      <c r="Z356" s="50"/>
      <c r="AA356" s="50"/>
      <c r="AB356" s="50"/>
      <c r="AC356" s="50"/>
    </row>
    <row r="357" spans="1:29" ht="22" hidden="1" customHeight="1" x14ac:dyDescent="0.2">
      <c r="A357" s="50"/>
      <c r="B357" s="50"/>
      <c r="C357" s="50"/>
      <c r="D357" s="50"/>
      <c r="E357" s="50"/>
      <c r="F357" s="50"/>
      <c r="G357" s="50"/>
      <c r="H357" s="50"/>
      <c r="I357" s="50"/>
      <c r="J357" s="50"/>
      <c r="K357" s="50"/>
      <c r="L357" s="50"/>
      <c r="M357" s="50"/>
      <c r="N357" s="50"/>
      <c r="O357" s="51"/>
      <c r="P357" s="51"/>
      <c r="Q357" s="50"/>
      <c r="R357" s="50"/>
      <c r="S357" s="50"/>
      <c r="T357" s="50"/>
      <c r="U357" s="50"/>
      <c r="V357" s="50"/>
      <c r="W357" s="50"/>
      <c r="X357" s="51"/>
      <c r="Y357" s="51"/>
      <c r="Z357" s="50"/>
      <c r="AA357" s="50"/>
      <c r="AB357" s="50"/>
      <c r="AC357" s="50"/>
    </row>
    <row r="358" spans="1:29" ht="22" hidden="1" customHeight="1" x14ac:dyDescent="0.2">
      <c r="A358" s="50"/>
      <c r="B358" s="50"/>
      <c r="C358" s="50"/>
      <c r="D358" s="50"/>
      <c r="E358" s="50"/>
      <c r="F358" s="50"/>
      <c r="G358" s="50"/>
      <c r="H358" s="50"/>
      <c r="I358" s="50"/>
      <c r="J358" s="50"/>
      <c r="K358" s="50"/>
      <c r="L358" s="50"/>
      <c r="M358" s="50"/>
      <c r="N358" s="50"/>
      <c r="O358" s="51"/>
      <c r="P358" s="51"/>
      <c r="Q358" s="50"/>
      <c r="R358" s="50"/>
      <c r="S358" s="50"/>
      <c r="T358" s="50"/>
      <c r="U358" s="50"/>
      <c r="V358" s="50"/>
      <c r="W358" s="50"/>
      <c r="X358" s="51"/>
      <c r="Y358" s="51"/>
      <c r="Z358" s="50"/>
      <c r="AA358" s="50"/>
      <c r="AB358" s="50"/>
      <c r="AC358" s="50"/>
    </row>
    <row r="359" spans="1:29" ht="22" hidden="1" customHeight="1" x14ac:dyDescent="0.2">
      <c r="A359" s="50"/>
      <c r="B359" s="50"/>
      <c r="C359" s="50"/>
      <c r="D359" s="50"/>
      <c r="E359" s="50"/>
      <c r="F359" s="50"/>
      <c r="G359" s="50"/>
      <c r="H359" s="50"/>
      <c r="I359" s="50"/>
      <c r="J359" s="50"/>
      <c r="K359" s="50"/>
      <c r="L359" s="50"/>
      <c r="M359" s="50"/>
      <c r="N359" s="50"/>
      <c r="O359" s="51"/>
      <c r="P359" s="51"/>
      <c r="Q359" s="50"/>
      <c r="R359" s="50"/>
      <c r="S359" s="50"/>
      <c r="T359" s="50"/>
      <c r="U359" s="50"/>
      <c r="V359" s="50"/>
      <c r="W359" s="50"/>
      <c r="X359" s="51"/>
      <c r="Y359" s="51"/>
      <c r="Z359" s="50"/>
      <c r="AA359" s="50"/>
      <c r="AB359" s="50"/>
      <c r="AC359" s="50"/>
    </row>
    <row r="360" spans="1:29" ht="22" hidden="1" customHeight="1" x14ac:dyDescent="0.2">
      <c r="A360" s="50"/>
      <c r="B360" s="50"/>
      <c r="C360" s="50"/>
      <c r="D360" s="50"/>
      <c r="E360" s="50"/>
      <c r="F360" s="50"/>
      <c r="G360" s="50"/>
      <c r="H360" s="50"/>
      <c r="I360" s="50"/>
      <c r="J360" s="50"/>
      <c r="K360" s="50"/>
      <c r="L360" s="50"/>
      <c r="M360" s="50"/>
      <c r="N360" s="50"/>
      <c r="O360" s="51"/>
      <c r="P360" s="51"/>
      <c r="Q360" s="50"/>
      <c r="R360" s="50"/>
      <c r="S360" s="50"/>
      <c r="T360" s="50"/>
      <c r="U360" s="50"/>
      <c r="V360" s="50"/>
      <c r="W360" s="50"/>
      <c r="X360" s="51"/>
      <c r="Y360" s="51"/>
      <c r="Z360" s="50"/>
      <c r="AA360" s="50"/>
      <c r="AB360" s="50"/>
      <c r="AC360" s="50"/>
    </row>
    <row r="361" spans="1:29" ht="22" hidden="1" customHeight="1" x14ac:dyDescent="0.2">
      <c r="A361" s="50"/>
      <c r="B361" s="50"/>
      <c r="C361" s="50"/>
      <c r="D361" s="50"/>
      <c r="E361" s="50"/>
      <c r="F361" s="50"/>
      <c r="G361" s="50"/>
      <c r="H361" s="50"/>
      <c r="I361" s="50"/>
      <c r="J361" s="50"/>
      <c r="K361" s="50"/>
      <c r="L361" s="50"/>
      <c r="M361" s="50"/>
      <c r="N361" s="50"/>
      <c r="O361" s="51"/>
      <c r="P361" s="51"/>
      <c r="Q361" s="50"/>
      <c r="R361" s="50"/>
      <c r="S361" s="50"/>
      <c r="T361" s="50"/>
      <c r="U361" s="50"/>
      <c r="V361" s="50"/>
      <c r="W361" s="50"/>
      <c r="X361" s="51"/>
      <c r="Y361" s="51"/>
      <c r="Z361" s="50"/>
      <c r="AA361" s="50"/>
      <c r="AB361" s="50"/>
      <c r="AC361" s="50"/>
    </row>
    <row r="362" spans="1:29" ht="22" hidden="1" customHeight="1" x14ac:dyDescent="0.2">
      <c r="A362" s="50"/>
      <c r="B362" s="50"/>
      <c r="C362" s="50"/>
      <c r="D362" s="50"/>
      <c r="E362" s="50"/>
      <c r="F362" s="50"/>
      <c r="G362" s="50"/>
      <c r="H362" s="50"/>
      <c r="I362" s="50"/>
      <c r="J362" s="50"/>
      <c r="K362" s="50"/>
      <c r="L362" s="50"/>
      <c r="M362" s="50"/>
      <c r="N362" s="50"/>
      <c r="O362" s="51"/>
      <c r="P362" s="51"/>
      <c r="Q362" s="50"/>
      <c r="R362" s="50"/>
      <c r="S362" s="50"/>
      <c r="T362" s="50"/>
      <c r="U362" s="50"/>
      <c r="V362" s="50"/>
      <c r="W362" s="50"/>
      <c r="X362" s="51"/>
      <c r="Y362" s="51"/>
      <c r="Z362" s="50"/>
      <c r="AA362" s="50"/>
      <c r="AB362" s="50"/>
      <c r="AC362" s="50"/>
    </row>
    <row r="363" spans="1:29" ht="22" hidden="1" customHeight="1" x14ac:dyDescent="0.2">
      <c r="A363" s="50"/>
      <c r="B363" s="50"/>
      <c r="C363" s="50"/>
      <c r="D363" s="50"/>
      <c r="E363" s="50"/>
      <c r="F363" s="50"/>
      <c r="G363" s="50"/>
      <c r="H363" s="50"/>
      <c r="I363" s="50"/>
      <c r="J363" s="50"/>
      <c r="K363" s="50"/>
      <c r="L363" s="50"/>
      <c r="M363" s="50"/>
      <c r="N363" s="50"/>
      <c r="O363" s="51"/>
      <c r="P363" s="51"/>
      <c r="Q363" s="50"/>
      <c r="R363" s="50"/>
      <c r="S363" s="50"/>
      <c r="T363" s="50"/>
      <c r="U363" s="50"/>
      <c r="V363" s="50"/>
      <c r="W363" s="50"/>
      <c r="X363" s="51"/>
      <c r="Y363" s="51"/>
      <c r="Z363" s="50"/>
      <c r="AA363" s="50"/>
      <c r="AB363" s="50"/>
      <c r="AC363" s="50"/>
    </row>
    <row r="364" spans="1:29" ht="22" hidden="1" customHeight="1" x14ac:dyDescent="0.2">
      <c r="A364" s="50"/>
      <c r="B364" s="50"/>
      <c r="C364" s="50"/>
      <c r="D364" s="50"/>
      <c r="E364" s="50"/>
      <c r="F364" s="50"/>
      <c r="G364" s="50"/>
      <c r="H364" s="50"/>
      <c r="I364" s="50"/>
      <c r="J364" s="50"/>
      <c r="K364" s="50"/>
      <c r="L364" s="50"/>
      <c r="M364" s="50"/>
      <c r="N364" s="50"/>
      <c r="O364" s="51"/>
      <c r="P364" s="51"/>
      <c r="Q364" s="50"/>
      <c r="R364" s="50"/>
      <c r="S364" s="50"/>
      <c r="T364" s="50"/>
      <c r="U364" s="50"/>
      <c r="V364" s="50"/>
      <c r="W364" s="50"/>
      <c r="X364" s="51"/>
      <c r="Y364" s="51"/>
      <c r="Z364" s="50"/>
      <c r="AA364" s="50"/>
      <c r="AB364" s="50"/>
      <c r="AC364" s="50"/>
    </row>
    <row r="365" spans="1:29" ht="22" hidden="1" customHeight="1" x14ac:dyDescent="0.2">
      <c r="A365" s="50"/>
      <c r="B365" s="50"/>
      <c r="C365" s="50"/>
      <c r="D365" s="50"/>
      <c r="E365" s="50"/>
      <c r="F365" s="50"/>
      <c r="G365" s="50"/>
      <c r="H365" s="50"/>
      <c r="I365" s="50"/>
      <c r="J365" s="50"/>
      <c r="K365" s="50"/>
      <c r="L365" s="50"/>
      <c r="M365" s="50"/>
      <c r="N365" s="50"/>
      <c r="O365" s="51"/>
      <c r="P365" s="51"/>
      <c r="Q365" s="50"/>
      <c r="R365" s="50"/>
      <c r="S365" s="50"/>
      <c r="T365" s="50"/>
      <c r="U365" s="50"/>
      <c r="V365" s="50"/>
      <c r="W365" s="50"/>
      <c r="X365" s="51"/>
      <c r="Y365" s="51"/>
      <c r="Z365" s="50"/>
      <c r="AA365" s="50"/>
      <c r="AB365" s="50"/>
      <c r="AC365" s="50"/>
    </row>
    <row r="366" spans="1:29" ht="22" hidden="1" customHeight="1" x14ac:dyDescent="0.2">
      <c r="A366" s="50"/>
      <c r="B366" s="50"/>
      <c r="C366" s="50"/>
      <c r="D366" s="50"/>
      <c r="E366" s="50"/>
      <c r="F366" s="50"/>
      <c r="G366" s="50"/>
      <c r="H366" s="50"/>
      <c r="I366" s="50"/>
      <c r="J366" s="50"/>
      <c r="K366" s="50"/>
      <c r="L366" s="50"/>
      <c r="M366" s="50"/>
      <c r="N366" s="50"/>
      <c r="O366" s="51"/>
      <c r="P366" s="51"/>
      <c r="Q366" s="50"/>
      <c r="R366" s="50"/>
      <c r="S366" s="50"/>
      <c r="T366" s="50"/>
      <c r="U366" s="50"/>
      <c r="V366" s="50"/>
      <c r="W366" s="50"/>
      <c r="X366" s="51"/>
      <c r="Y366" s="51"/>
      <c r="Z366" s="50"/>
      <c r="AA366" s="50"/>
      <c r="AB366" s="50"/>
      <c r="AC366" s="50"/>
    </row>
    <row r="367" spans="1:29" ht="22" hidden="1" customHeight="1" x14ac:dyDescent="0.2">
      <c r="A367" s="50"/>
      <c r="B367" s="50"/>
      <c r="C367" s="50"/>
      <c r="D367" s="50"/>
      <c r="E367" s="50"/>
      <c r="F367" s="50"/>
      <c r="G367" s="50"/>
      <c r="H367" s="50"/>
      <c r="I367" s="50"/>
      <c r="J367" s="50"/>
      <c r="K367" s="50"/>
      <c r="L367" s="50"/>
      <c r="M367" s="50"/>
      <c r="N367" s="50"/>
      <c r="O367" s="51"/>
      <c r="P367" s="51"/>
      <c r="Q367" s="50"/>
      <c r="R367" s="50"/>
      <c r="S367" s="50"/>
      <c r="T367" s="50"/>
      <c r="U367" s="50"/>
      <c r="V367" s="50"/>
      <c r="W367" s="50"/>
      <c r="X367" s="51"/>
      <c r="Y367" s="51"/>
      <c r="Z367" s="50"/>
      <c r="AA367" s="50"/>
      <c r="AB367" s="50"/>
      <c r="AC367" s="50"/>
    </row>
    <row r="368" spans="1:29" ht="22" hidden="1" customHeight="1" x14ac:dyDescent="0.2">
      <c r="A368" s="50"/>
      <c r="B368" s="50"/>
      <c r="C368" s="50"/>
      <c r="D368" s="50"/>
      <c r="E368" s="50"/>
      <c r="F368" s="50"/>
      <c r="G368" s="50"/>
      <c r="H368" s="50"/>
      <c r="I368" s="50"/>
      <c r="J368" s="50"/>
      <c r="K368" s="50"/>
      <c r="L368" s="50"/>
      <c r="M368" s="50"/>
      <c r="N368" s="50"/>
      <c r="O368" s="51"/>
      <c r="P368" s="51"/>
      <c r="Q368" s="50"/>
      <c r="R368" s="50"/>
      <c r="S368" s="50"/>
      <c r="T368" s="50"/>
      <c r="U368" s="50"/>
      <c r="V368" s="50"/>
      <c r="W368" s="50"/>
      <c r="X368" s="51"/>
      <c r="Y368" s="51"/>
      <c r="Z368" s="50"/>
      <c r="AA368" s="50"/>
      <c r="AB368" s="50"/>
      <c r="AC368" s="50"/>
    </row>
    <row r="369" spans="1:29" ht="22" hidden="1" customHeight="1" x14ac:dyDescent="0.2">
      <c r="A369" s="50"/>
      <c r="B369" s="50"/>
      <c r="C369" s="50"/>
      <c r="D369" s="50"/>
      <c r="E369" s="50"/>
      <c r="F369" s="50"/>
      <c r="G369" s="50"/>
      <c r="H369" s="50"/>
      <c r="I369" s="50"/>
      <c r="J369" s="50"/>
      <c r="K369" s="50"/>
      <c r="L369" s="50"/>
      <c r="M369" s="50"/>
      <c r="N369" s="50"/>
      <c r="O369" s="51"/>
      <c r="P369" s="51"/>
      <c r="Q369" s="50"/>
      <c r="R369" s="50"/>
      <c r="S369" s="50"/>
      <c r="T369" s="50"/>
      <c r="U369" s="50"/>
      <c r="V369" s="50"/>
      <c r="W369" s="50"/>
      <c r="X369" s="51"/>
      <c r="Y369" s="51"/>
      <c r="Z369" s="50"/>
      <c r="AA369" s="50"/>
      <c r="AB369" s="50"/>
      <c r="AC369" s="50"/>
    </row>
    <row r="370" spans="1:29" ht="22" hidden="1" customHeight="1" x14ac:dyDescent="0.2">
      <c r="A370" s="50"/>
      <c r="B370" s="50"/>
      <c r="C370" s="50"/>
      <c r="D370" s="50"/>
      <c r="E370" s="50"/>
      <c r="F370" s="50"/>
      <c r="G370" s="50"/>
      <c r="H370" s="50"/>
      <c r="I370" s="50"/>
      <c r="J370" s="50"/>
      <c r="K370" s="50"/>
      <c r="L370" s="50"/>
      <c r="M370" s="50"/>
      <c r="N370" s="50"/>
      <c r="O370" s="51"/>
      <c r="P370" s="51"/>
      <c r="Q370" s="50"/>
      <c r="R370" s="50"/>
      <c r="S370" s="50"/>
      <c r="T370" s="50"/>
      <c r="U370" s="50"/>
      <c r="V370" s="50"/>
      <c r="W370" s="50"/>
      <c r="X370" s="51"/>
      <c r="Y370" s="51"/>
      <c r="Z370" s="50"/>
      <c r="AA370" s="50"/>
      <c r="AB370" s="50"/>
      <c r="AC370" s="50"/>
    </row>
    <row r="371" spans="1:29" ht="22" hidden="1" customHeight="1" x14ac:dyDescent="0.2">
      <c r="A371" s="50"/>
      <c r="B371" s="50"/>
      <c r="C371" s="50"/>
      <c r="D371" s="50"/>
      <c r="E371" s="50"/>
      <c r="F371" s="50"/>
      <c r="G371" s="50"/>
      <c r="H371" s="50"/>
      <c r="I371" s="50"/>
      <c r="J371" s="50"/>
      <c r="K371" s="50"/>
      <c r="L371" s="50"/>
      <c r="M371" s="50"/>
      <c r="N371" s="50"/>
      <c r="O371" s="51"/>
      <c r="P371" s="51"/>
      <c r="Q371" s="50"/>
      <c r="R371" s="50"/>
      <c r="S371" s="50"/>
      <c r="T371" s="50"/>
      <c r="U371" s="50"/>
      <c r="V371" s="50"/>
      <c r="W371" s="50"/>
      <c r="X371" s="51"/>
      <c r="Y371" s="51"/>
      <c r="Z371" s="50"/>
      <c r="AA371" s="50"/>
      <c r="AB371" s="50"/>
      <c r="AC371" s="50"/>
    </row>
    <row r="372" spans="1:29" ht="22" hidden="1" customHeight="1" x14ac:dyDescent="0.2">
      <c r="A372" s="50"/>
      <c r="B372" s="50"/>
      <c r="C372" s="50"/>
      <c r="D372" s="50"/>
      <c r="E372" s="50"/>
      <c r="F372" s="50"/>
      <c r="G372" s="50"/>
      <c r="H372" s="50"/>
      <c r="I372" s="50"/>
      <c r="J372" s="50"/>
      <c r="K372" s="50"/>
      <c r="L372" s="50"/>
      <c r="M372" s="50"/>
      <c r="N372" s="50"/>
      <c r="O372" s="51"/>
      <c r="P372" s="51"/>
      <c r="Q372" s="50"/>
      <c r="R372" s="50"/>
      <c r="S372" s="50"/>
      <c r="T372" s="50"/>
      <c r="U372" s="50"/>
      <c r="V372" s="50"/>
      <c r="W372" s="50"/>
      <c r="X372" s="51"/>
      <c r="Y372" s="51"/>
      <c r="Z372" s="50"/>
      <c r="AA372" s="50"/>
      <c r="AB372" s="50"/>
      <c r="AC372" s="50"/>
    </row>
    <row r="373" spans="1:29" ht="22" hidden="1" customHeight="1" x14ac:dyDescent="0.2">
      <c r="A373" s="50"/>
      <c r="B373" s="50"/>
      <c r="C373" s="50"/>
      <c r="D373" s="50"/>
      <c r="E373" s="50"/>
      <c r="F373" s="50"/>
      <c r="G373" s="50"/>
      <c r="H373" s="50"/>
      <c r="I373" s="50"/>
      <c r="J373" s="50"/>
      <c r="K373" s="50"/>
      <c r="L373" s="50"/>
      <c r="M373" s="50"/>
      <c r="N373" s="50"/>
      <c r="O373" s="51"/>
      <c r="P373" s="51"/>
      <c r="Q373" s="50"/>
      <c r="R373" s="50"/>
      <c r="S373" s="50"/>
      <c r="T373" s="50"/>
      <c r="U373" s="50"/>
      <c r="V373" s="50"/>
      <c r="W373" s="50"/>
      <c r="X373" s="51"/>
      <c r="Y373" s="51"/>
      <c r="Z373" s="50"/>
      <c r="AA373" s="50"/>
      <c r="AB373" s="50"/>
      <c r="AC373" s="50"/>
    </row>
    <row r="374" spans="1:29" ht="22" hidden="1" customHeight="1" x14ac:dyDescent="0.2">
      <c r="A374" s="50"/>
      <c r="B374" s="50"/>
      <c r="C374" s="50"/>
      <c r="D374" s="50"/>
      <c r="E374" s="50"/>
      <c r="F374" s="50"/>
      <c r="G374" s="50"/>
      <c r="H374" s="50"/>
      <c r="I374" s="50"/>
      <c r="J374" s="50"/>
      <c r="K374" s="50"/>
      <c r="L374" s="50"/>
      <c r="M374" s="50"/>
      <c r="N374" s="50"/>
      <c r="O374" s="51"/>
      <c r="P374" s="51"/>
      <c r="Q374" s="50"/>
      <c r="R374" s="50"/>
      <c r="S374" s="50"/>
      <c r="T374" s="50"/>
      <c r="U374" s="50"/>
      <c r="V374" s="50"/>
      <c r="W374" s="50"/>
      <c r="X374" s="51"/>
      <c r="Y374" s="51"/>
      <c r="Z374" s="50"/>
      <c r="AA374" s="50"/>
      <c r="AB374" s="50"/>
      <c r="AC374" s="50"/>
    </row>
    <row r="375" spans="1:29" ht="22" hidden="1" customHeight="1" x14ac:dyDescent="0.2">
      <c r="A375" s="50"/>
      <c r="B375" s="50"/>
      <c r="C375" s="50"/>
      <c r="D375" s="50"/>
      <c r="E375" s="50"/>
      <c r="F375" s="50"/>
      <c r="G375" s="50"/>
      <c r="H375" s="50"/>
      <c r="I375" s="50"/>
      <c r="J375" s="50"/>
      <c r="K375" s="50"/>
      <c r="L375" s="50"/>
      <c r="M375" s="50"/>
      <c r="N375" s="50"/>
      <c r="O375" s="51"/>
      <c r="P375" s="51"/>
      <c r="Q375" s="50"/>
      <c r="R375" s="50"/>
      <c r="S375" s="50"/>
      <c r="T375" s="50"/>
      <c r="U375" s="50"/>
      <c r="V375" s="50"/>
      <c r="W375" s="50"/>
      <c r="X375" s="51"/>
      <c r="Y375" s="51"/>
      <c r="Z375" s="50"/>
      <c r="AA375" s="50"/>
      <c r="AB375" s="50"/>
      <c r="AC375" s="50"/>
    </row>
    <row r="376" spans="1:29" ht="22" hidden="1" customHeight="1" x14ac:dyDescent="0.2">
      <c r="A376" s="50"/>
      <c r="B376" s="50"/>
      <c r="C376" s="50"/>
      <c r="D376" s="50"/>
      <c r="E376" s="50"/>
      <c r="F376" s="50"/>
      <c r="G376" s="50"/>
      <c r="H376" s="50"/>
      <c r="I376" s="50"/>
      <c r="J376" s="50"/>
      <c r="K376" s="50"/>
      <c r="L376" s="50"/>
      <c r="M376" s="50"/>
      <c r="N376" s="50"/>
      <c r="O376" s="51"/>
      <c r="P376" s="51"/>
      <c r="Q376" s="50"/>
      <c r="R376" s="50"/>
      <c r="S376" s="50"/>
      <c r="T376" s="50"/>
      <c r="U376" s="50"/>
      <c r="V376" s="50"/>
      <c r="W376" s="50"/>
      <c r="X376" s="51"/>
      <c r="Y376" s="51"/>
      <c r="Z376" s="50"/>
      <c r="AA376" s="50"/>
      <c r="AB376" s="50"/>
      <c r="AC376" s="50"/>
    </row>
    <row r="377" spans="1:29" ht="22" hidden="1" customHeight="1" x14ac:dyDescent="0.2">
      <c r="A377" s="50"/>
      <c r="B377" s="50"/>
      <c r="C377" s="50"/>
      <c r="D377" s="50"/>
      <c r="E377" s="50"/>
      <c r="F377" s="50"/>
      <c r="G377" s="50"/>
      <c r="H377" s="50"/>
      <c r="I377" s="50"/>
      <c r="J377" s="50"/>
      <c r="K377" s="50"/>
      <c r="L377" s="50"/>
      <c r="M377" s="50"/>
      <c r="N377" s="50"/>
      <c r="O377" s="51"/>
      <c r="P377" s="51"/>
      <c r="Q377" s="50"/>
      <c r="R377" s="50"/>
      <c r="S377" s="50"/>
      <c r="T377" s="50"/>
      <c r="U377" s="50"/>
      <c r="V377" s="50"/>
      <c r="W377" s="50"/>
      <c r="X377" s="51"/>
      <c r="Y377" s="51"/>
      <c r="Z377" s="50"/>
      <c r="AA377" s="50"/>
      <c r="AB377" s="50"/>
      <c r="AC377" s="50"/>
    </row>
    <row r="378" spans="1:29" ht="22" hidden="1" customHeight="1" x14ac:dyDescent="0.2">
      <c r="A378" s="50"/>
      <c r="B378" s="50"/>
      <c r="C378" s="50"/>
      <c r="D378" s="50"/>
      <c r="E378" s="50"/>
      <c r="F378" s="50"/>
      <c r="G378" s="50"/>
      <c r="H378" s="50"/>
      <c r="I378" s="50"/>
      <c r="J378" s="50"/>
      <c r="K378" s="50"/>
      <c r="L378" s="50"/>
      <c r="M378" s="50"/>
      <c r="N378" s="50"/>
      <c r="O378" s="51"/>
      <c r="P378" s="51"/>
      <c r="Q378" s="50"/>
      <c r="R378" s="50"/>
      <c r="S378" s="50"/>
      <c r="T378" s="50"/>
      <c r="U378" s="50"/>
      <c r="V378" s="50"/>
      <c r="W378" s="50"/>
      <c r="X378" s="51"/>
      <c r="Y378" s="51"/>
      <c r="Z378" s="50"/>
      <c r="AA378" s="50"/>
      <c r="AB378" s="50"/>
      <c r="AC378" s="50"/>
    </row>
    <row r="379" spans="1:29" ht="22" hidden="1" customHeight="1" x14ac:dyDescent="0.2">
      <c r="A379" s="50"/>
      <c r="B379" s="50"/>
      <c r="C379" s="50"/>
      <c r="D379" s="50"/>
      <c r="E379" s="50"/>
      <c r="F379" s="50"/>
      <c r="G379" s="50"/>
      <c r="H379" s="50"/>
      <c r="I379" s="50"/>
      <c r="J379" s="50"/>
      <c r="K379" s="50"/>
      <c r="L379" s="50"/>
      <c r="M379" s="50"/>
      <c r="N379" s="50"/>
      <c r="O379" s="51"/>
      <c r="P379" s="51"/>
      <c r="Q379" s="50"/>
      <c r="R379" s="50"/>
      <c r="S379" s="50"/>
      <c r="T379" s="50"/>
      <c r="U379" s="50"/>
      <c r="V379" s="50"/>
      <c r="W379" s="50"/>
      <c r="X379" s="51"/>
      <c r="Y379" s="51"/>
      <c r="Z379" s="50"/>
      <c r="AA379" s="50"/>
      <c r="AB379" s="50"/>
      <c r="AC379" s="50"/>
    </row>
    <row r="380" spans="1:29" ht="22" hidden="1" customHeight="1" x14ac:dyDescent="0.2">
      <c r="A380" s="50"/>
      <c r="B380" s="50"/>
      <c r="C380" s="50"/>
      <c r="D380" s="50"/>
      <c r="E380" s="50"/>
      <c r="F380" s="50"/>
      <c r="G380" s="50"/>
      <c r="H380" s="50"/>
      <c r="I380" s="50"/>
      <c r="J380" s="50"/>
      <c r="K380" s="50"/>
      <c r="L380" s="50"/>
      <c r="M380" s="50"/>
      <c r="N380" s="50"/>
      <c r="O380" s="51"/>
      <c r="P380" s="51"/>
      <c r="Q380" s="50"/>
      <c r="R380" s="50"/>
      <c r="S380" s="50"/>
      <c r="T380" s="50"/>
      <c r="U380" s="50"/>
      <c r="V380" s="50"/>
      <c r="W380" s="50"/>
      <c r="X380" s="51"/>
      <c r="Y380" s="51"/>
      <c r="Z380" s="50"/>
      <c r="AA380" s="50"/>
      <c r="AB380" s="50"/>
      <c r="AC380" s="50"/>
    </row>
    <row r="381" spans="1:29" ht="22" hidden="1" customHeight="1" x14ac:dyDescent="0.2">
      <c r="A381" s="50"/>
      <c r="B381" s="50"/>
      <c r="C381" s="50"/>
      <c r="D381" s="50"/>
      <c r="E381" s="50"/>
      <c r="F381" s="50"/>
      <c r="G381" s="50"/>
      <c r="H381" s="50"/>
      <c r="I381" s="50"/>
      <c r="J381" s="50"/>
      <c r="K381" s="50"/>
      <c r="L381" s="50"/>
      <c r="M381" s="50"/>
      <c r="N381" s="50"/>
      <c r="O381" s="51"/>
      <c r="P381" s="51"/>
      <c r="Q381" s="50"/>
      <c r="R381" s="50"/>
      <c r="S381" s="50"/>
      <c r="T381" s="50"/>
      <c r="U381" s="50"/>
      <c r="V381" s="50"/>
      <c r="W381" s="50"/>
      <c r="X381" s="51"/>
      <c r="Y381" s="51"/>
      <c r="Z381" s="50"/>
      <c r="AA381" s="50"/>
      <c r="AB381" s="50"/>
      <c r="AC381" s="50"/>
    </row>
    <row r="382" spans="1:29" ht="22" hidden="1" customHeight="1" x14ac:dyDescent="0.2">
      <c r="A382" s="50"/>
      <c r="B382" s="50"/>
      <c r="C382" s="50"/>
      <c r="D382" s="50"/>
      <c r="E382" s="50"/>
      <c r="F382" s="50"/>
      <c r="G382" s="50"/>
      <c r="H382" s="50"/>
      <c r="I382" s="50"/>
      <c r="J382" s="50"/>
      <c r="K382" s="50"/>
      <c r="L382" s="50"/>
      <c r="M382" s="50"/>
      <c r="N382" s="50"/>
      <c r="O382" s="51"/>
      <c r="P382" s="51"/>
      <c r="Q382" s="50"/>
      <c r="R382" s="50"/>
      <c r="S382" s="50"/>
      <c r="T382" s="50"/>
      <c r="U382" s="50"/>
      <c r="V382" s="50"/>
      <c r="W382" s="50"/>
      <c r="X382" s="51"/>
      <c r="Y382" s="51"/>
      <c r="Z382" s="50"/>
      <c r="AA382" s="50"/>
      <c r="AB382" s="50"/>
      <c r="AC382" s="50"/>
    </row>
    <row r="383" spans="1:29" ht="22" hidden="1" customHeight="1" x14ac:dyDescent="0.2">
      <c r="A383" s="50"/>
      <c r="B383" s="50"/>
      <c r="C383" s="50"/>
      <c r="D383" s="50"/>
      <c r="E383" s="50"/>
      <c r="F383" s="50"/>
      <c r="G383" s="50"/>
      <c r="H383" s="50"/>
      <c r="I383" s="50"/>
      <c r="J383" s="50"/>
      <c r="K383" s="50"/>
      <c r="L383" s="50"/>
      <c r="M383" s="50"/>
      <c r="N383" s="50"/>
      <c r="O383" s="51"/>
      <c r="P383" s="51"/>
      <c r="Q383" s="50"/>
      <c r="R383" s="50"/>
      <c r="S383" s="50"/>
      <c r="T383" s="50"/>
      <c r="U383" s="50"/>
      <c r="V383" s="50"/>
      <c r="W383" s="50"/>
      <c r="X383" s="51"/>
      <c r="Y383" s="51"/>
      <c r="Z383" s="50"/>
      <c r="AA383" s="50"/>
      <c r="AB383" s="50"/>
      <c r="AC383" s="50"/>
    </row>
    <row r="384" spans="1:29" ht="22" hidden="1" customHeight="1" x14ac:dyDescent="0.2">
      <c r="A384" s="50"/>
      <c r="B384" s="50"/>
      <c r="C384" s="50"/>
      <c r="D384" s="50"/>
      <c r="E384" s="50"/>
      <c r="F384" s="50"/>
      <c r="G384" s="50"/>
      <c r="H384" s="50"/>
      <c r="I384" s="50"/>
      <c r="J384" s="50"/>
      <c r="K384" s="50"/>
      <c r="L384" s="50"/>
      <c r="M384" s="50"/>
      <c r="N384" s="50"/>
      <c r="O384" s="51"/>
      <c r="P384" s="51"/>
      <c r="Q384" s="50"/>
      <c r="R384" s="50"/>
      <c r="S384" s="50"/>
      <c r="T384" s="50"/>
      <c r="U384" s="50"/>
      <c r="V384" s="50"/>
      <c r="W384" s="50"/>
      <c r="X384" s="51"/>
      <c r="Y384" s="51"/>
      <c r="Z384" s="50"/>
      <c r="AA384" s="50"/>
      <c r="AB384" s="50"/>
      <c r="AC384" s="50"/>
    </row>
    <row r="385" spans="1:29" ht="22" hidden="1" customHeight="1" x14ac:dyDescent="0.2">
      <c r="A385" s="50"/>
      <c r="B385" s="50"/>
      <c r="C385" s="50"/>
      <c r="D385" s="50"/>
      <c r="E385" s="50"/>
      <c r="F385" s="50"/>
      <c r="G385" s="50"/>
      <c r="H385" s="50"/>
      <c r="I385" s="50"/>
      <c r="J385" s="50"/>
      <c r="K385" s="50"/>
      <c r="L385" s="50"/>
      <c r="M385" s="50"/>
      <c r="N385" s="50"/>
      <c r="O385" s="51"/>
      <c r="P385" s="51"/>
      <c r="Q385" s="50"/>
      <c r="R385" s="50"/>
      <c r="S385" s="50"/>
      <c r="T385" s="50"/>
      <c r="U385" s="50"/>
      <c r="V385" s="50"/>
      <c r="W385" s="50"/>
      <c r="X385" s="51"/>
      <c r="Y385" s="51"/>
      <c r="Z385" s="50"/>
      <c r="AA385" s="50"/>
      <c r="AB385" s="50"/>
      <c r="AC385" s="50"/>
    </row>
    <row r="386" spans="1:29" ht="22" hidden="1" customHeight="1" x14ac:dyDescent="0.2">
      <c r="A386" s="50"/>
      <c r="B386" s="50"/>
      <c r="C386" s="50"/>
      <c r="D386" s="50"/>
      <c r="E386" s="50"/>
      <c r="F386" s="50"/>
      <c r="G386" s="50"/>
      <c r="H386" s="50"/>
      <c r="I386" s="50"/>
      <c r="J386" s="50"/>
      <c r="K386" s="50"/>
      <c r="L386" s="50"/>
      <c r="M386" s="50"/>
      <c r="N386" s="50"/>
      <c r="O386" s="51"/>
      <c r="P386" s="51"/>
      <c r="Q386" s="50"/>
      <c r="R386" s="50"/>
      <c r="S386" s="50"/>
      <c r="T386" s="50"/>
      <c r="U386" s="50"/>
      <c r="V386" s="50"/>
      <c r="W386" s="50"/>
      <c r="X386" s="51"/>
      <c r="Y386" s="51"/>
      <c r="Z386" s="50"/>
      <c r="AA386" s="50"/>
      <c r="AB386" s="50"/>
      <c r="AC386" s="50"/>
    </row>
    <row r="387" spans="1:29" ht="22" hidden="1" customHeight="1" x14ac:dyDescent="0.2">
      <c r="A387" s="50"/>
      <c r="B387" s="50"/>
      <c r="C387" s="50"/>
      <c r="D387" s="50"/>
      <c r="E387" s="50"/>
      <c r="F387" s="50"/>
      <c r="G387" s="50"/>
      <c r="H387" s="50"/>
      <c r="I387" s="50"/>
      <c r="J387" s="50"/>
      <c r="K387" s="50"/>
      <c r="L387" s="50"/>
      <c r="M387" s="50"/>
      <c r="N387" s="50"/>
      <c r="O387" s="51"/>
      <c r="P387" s="51"/>
      <c r="Q387" s="50"/>
      <c r="R387" s="50"/>
      <c r="S387" s="50"/>
      <c r="T387" s="50"/>
      <c r="U387" s="50"/>
      <c r="V387" s="50"/>
      <c r="W387" s="50"/>
      <c r="X387" s="51"/>
      <c r="Y387" s="51"/>
      <c r="Z387" s="50"/>
      <c r="AA387" s="50"/>
      <c r="AB387" s="50"/>
      <c r="AC387" s="50"/>
    </row>
    <row r="388" spans="1:29" ht="22" hidden="1" customHeight="1" x14ac:dyDescent="0.2">
      <c r="A388" s="50"/>
      <c r="B388" s="50"/>
      <c r="C388" s="50"/>
      <c r="D388" s="50"/>
      <c r="E388" s="50"/>
      <c r="F388" s="50"/>
      <c r="G388" s="50"/>
      <c r="H388" s="50"/>
      <c r="I388" s="50"/>
      <c r="J388" s="50"/>
      <c r="K388" s="50"/>
      <c r="L388" s="50"/>
      <c r="M388" s="50"/>
      <c r="N388" s="50"/>
      <c r="O388" s="51"/>
      <c r="P388" s="51"/>
      <c r="Q388" s="50"/>
      <c r="R388" s="50"/>
      <c r="S388" s="50"/>
      <c r="T388" s="50"/>
      <c r="U388" s="50"/>
      <c r="V388" s="50"/>
      <c r="W388" s="50"/>
      <c r="X388" s="51"/>
      <c r="Y388" s="51"/>
      <c r="Z388" s="50"/>
      <c r="AA388" s="50"/>
      <c r="AB388" s="50"/>
      <c r="AC388" s="50"/>
    </row>
    <row r="389" spans="1:29" ht="22" hidden="1" customHeight="1" x14ac:dyDescent="0.2">
      <c r="A389" s="50"/>
      <c r="B389" s="50"/>
      <c r="C389" s="50"/>
      <c r="D389" s="50"/>
      <c r="E389" s="50"/>
      <c r="F389" s="50"/>
      <c r="G389" s="50"/>
      <c r="H389" s="50"/>
      <c r="I389" s="50"/>
      <c r="J389" s="50"/>
      <c r="K389" s="50"/>
      <c r="L389" s="50"/>
      <c r="M389" s="50"/>
      <c r="N389" s="50"/>
      <c r="O389" s="51"/>
      <c r="P389" s="51"/>
      <c r="Q389" s="50"/>
      <c r="R389" s="50"/>
      <c r="S389" s="50"/>
      <c r="T389" s="50"/>
      <c r="U389" s="50"/>
      <c r="V389" s="50"/>
      <c r="W389" s="50"/>
      <c r="X389" s="51"/>
      <c r="Y389" s="51"/>
      <c r="Z389" s="50"/>
      <c r="AA389" s="50"/>
      <c r="AB389" s="50"/>
      <c r="AC389" s="50"/>
    </row>
    <row r="390" spans="1:29" ht="22" hidden="1" customHeight="1" x14ac:dyDescent="0.2">
      <c r="A390" s="50"/>
      <c r="B390" s="50"/>
      <c r="C390" s="50"/>
      <c r="D390" s="50"/>
      <c r="E390" s="50"/>
      <c r="F390" s="50"/>
      <c r="G390" s="50"/>
      <c r="H390" s="50"/>
      <c r="I390" s="50"/>
      <c r="J390" s="50"/>
      <c r="K390" s="50"/>
      <c r="L390" s="50"/>
      <c r="M390" s="50"/>
      <c r="N390" s="50"/>
      <c r="O390" s="51"/>
      <c r="P390" s="51"/>
      <c r="Q390" s="50"/>
      <c r="R390" s="50"/>
      <c r="S390" s="50"/>
      <c r="T390" s="50"/>
      <c r="U390" s="50"/>
      <c r="V390" s="50"/>
      <c r="W390" s="50"/>
      <c r="X390" s="51"/>
      <c r="Y390" s="51"/>
      <c r="Z390" s="50"/>
      <c r="AA390" s="50"/>
      <c r="AB390" s="50"/>
      <c r="AC390" s="50"/>
    </row>
    <row r="391" spans="1:29" ht="22" hidden="1" customHeight="1" x14ac:dyDescent="0.2">
      <c r="A391" s="50"/>
      <c r="B391" s="50"/>
      <c r="C391" s="50"/>
      <c r="D391" s="50"/>
      <c r="E391" s="50"/>
      <c r="F391" s="50"/>
      <c r="G391" s="50"/>
      <c r="H391" s="50"/>
      <c r="I391" s="50"/>
      <c r="J391" s="50"/>
      <c r="K391" s="50"/>
      <c r="L391" s="50"/>
      <c r="M391" s="50"/>
      <c r="N391" s="50"/>
      <c r="O391" s="51"/>
      <c r="P391" s="51"/>
      <c r="Q391" s="50"/>
      <c r="R391" s="50"/>
      <c r="S391" s="50"/>
      <c r="T391" s="50"/>
      <c r="U391" s="50"/>
      <c r="V391" s="50"/>
      <c r="W391" s="50"/>
      <c r="X391" s="51"/>
      <c r="Y391" s="51"/>
      <c r="Z391" s="50"/>
      <c r="AA391" s="50"/>
      <c r="AB391" s="50"/>
      <c r="AC391" s="50"/>
    </row>
    <row r="392" spans="1:29" ht="22" hidden="1" customHeight="1" x14ac:dyDescent="0.2">
      <c r="A392" s="50"/>
      <c r="B392" s="50"/>
      <c r="C392" s="50"/>
      <c r="D392" s="50"/>
      <c r="E392" s="50"/>
      <c r="F392" s="50"/>
      <c r="G392" s="50"/>
      <c r="H392" s="50"/>
      <c r="I392" s="50"/>
      <c r="J392" s="50"/>
      <c r="K392" s="50"/>
      <c r="L392" s="50"/>
      <c r="M392" s="50"/>
      <c r="N392" s="50"/>
      <c r="O392" s="51"/>
      <c r="P392" s="51"/>
      <c r="Q392" s="50"/>
      <c r="R392" s="50"/>
      <c r="S392" s="50"/>
      <c r="T392" s="50"/>
      <c r="U392" s="50"/>
      <c r="V392" s="50"/>
      <c r="W392" s="50"/>
      <c r="X392" s="51"/>
      <c r="Y392" s="51"/>
      <c r="Z392" s="50"/>
      <c r="AA392" s="50"/>
      <c r="AB392" s="50"/>
      <c r="AC392" s="50"/>
    </row>
    <row r="393" spans="1:29" ht="22" hidden="1" customHeight="1" x14ac:dyDescent="0.2">
      <c r="A393" s="50"/>
      <c r="B393" s="50"/>
      <c r="C393" s="50"/>
      <c r="D393" s="50"/>
      <c r="E393" s="50"/>
      <c r="F393" s="50"/>
      <c r="G393" s="50"/>
      <c r="H393" s="50"/>
      <c r="I393" s="50"/>
      <c r="J393" s="50"/>
      <c r="K393" s="50"/>
      <c r="L393" s="50"/>
      <c r="M393" s="50"/>
      <c r="N393" s="50"/>
      <c r="O393" s="51"/>
      <c r="P393" s="51"/>
      <c r="Q393" s="50"/>
      <c r="R393" s="50"/>
      <c r="S393" s="50"/>
      <c r="T393" s="50"/>
      <c r="U393" s="50"/>
      <c r="V393" s="50"/>
      <c r="W393" s="50"/>
      <c r="X393" s="51"/>
      <c r="Y393" s="51"/>
      <c r="Z393" s="50"/>
      <c r="AA393" s="50"/>
      <c r="AB393" s="50"/>
      <c r="AC393" s="50"/>
    </row>
    <row r="394" spans="1:29" ht="22" hidden="1" customHeight="1" x14ac:dyDescent="0.2">
      <c r="A394" s="50"/>
      <c r="B394" s="50"/>
      <c r="C394" s="50"/>
      <c r="D394" s="50"/>
      <c r="E394" s="50"/>
      <c r="F394" s="50"/>
      <c r="G394" s="50"/>
      <c r="H394" s="50"/>
      <c r="I394" s="50"/>
      <c r="J394" s="50"/>
      <c r="K394" s="50"/>
      <c r="L394" s="50"/>
      <c r="M394" s="50"/>
      <c r="N394" s="50"/>
      <c r="O394" s="51"/>
      <c r="P394" s="51"/>
      <c r="Q394" s="50"/>
      <c r="R394" s="50"/>
      <c r="S394" s="50"/>
      <c r="T394" s="50"/>
      <c r="U394" s="50"/>
      <c r="V394" s="50"/>
      <c r="W394" s="50"/>
      <c r="X394" s="51"/>
      <c r="Y394" s="51"/>
      <c r="Z394" s="50"/>
      <c r="AA394" s="50"/>
      <c r="AB394" s="50"/>
      <c r="AC394" s="50"/>
    </row>
    <row r="395" spans="1:29" ht="22" hidden="1" customHeight="1" x14ac:dyDescent="0.2">
      <c r="A395" s="50"/>
      <c r="B395" s="50"/>
      <c r="C395" s="50"/>
      <c r="D395" s="50"/>
      <c r="E395" s="50"/>
      <c r="F395" s="50"/>
      <c r="G395" s="50"/>
      <c r="H395" s="50"/>
      <c r="I395" s="50"/>
      <c r="J395" s="50"/>
      <c r="K395" s="50"/>
      <c r="L395" s="50"/>
      <c r="M395" s="50"/>
      <c r="N395" s="50"/>
      <c r="O395" s="51"/>
      <c r="P395" s="51"/>
      <c r="Q395" s="50"/>
      <c r="R395" s="50"/>
      <c r="S395" s="50"/>
      <c r="T395" s="50"/>
      <c r="U395" s="50"/>
      <c r="V395" s="50"/>
      <c r="W395" s="50"/>
      <c r="X395" s="51"/>
      <c r="Y395" s="51"/>
      <c r="Z395" s="50"/>
      <c r="AA395" s="50"/>
      <c r="AB395" s="50"/>
      <c r="AC395" s="50"/>
    </row>
    <row r="396" spans="1:29" ht="22" hidden="1" customHeight="1" x14ac:dyDescent="0.2">
      <c r="A396" s="50"/>
      <c r="B396" s="50"/>
      <c r="C396" s="50"/>
      <c r="D396" s="50"/>
      <c r="E396" s="50"/>
      <c r="F396" s="50"/>
      <c r="G396" s="50"/>
      <c r="H396" s="50"/>
      <c r="I396" s="50"/>
      <c r="J396" s="50"/>
      <c r="K396" s="50"/>
      <c r="L396" s="50"/>
      <c r="M396" s="50"/>
      <c r="N396" s="50"/>
      <c r="O396" s="51"/>
      <c r="P396" s="51"/>
      <c r="Q396" s="50"/>
      <c r="R396" s="50"/>
      <c r="S396" s="50"/>
      <c r="T396" s="50"/>
      <c r="U396" s="50"/>
      <c r="V396" s="50"/>
      <c r="W396" s="50"/>
      <c r="X396" s="51"/>
      <c r="Y396" s="51"/>
      <c r="Z396" s="50"/>
      <c r="AA396" s="50"/>
      <c r="AB396" s="50"/>
      <c r="AC396" s="50"/>
    </row>
    <row r="397" spans="1:29" ht="22" hidden="1" customHeight="1" x14ac:dyDescent="0.2">
      <c r="A397" s="50"/>
      <c r="B397" s="50"/>
      <c r="C397" s="50"/>
      <c r="D397" s="50"/>
      <c r="E397" s="50"/>
      <c r="F397" s="50"/>
      <c r="G397" s="50"/>
      <c r="H397" s="50"/>
      <c r="I397" s="50"/>
      <c r="J397" s="50"/>
      <c r="K397" s="50"/>
      <c r="L397" s="50"/>
      <c r="M397" s="50"/>
      <c r="N397" s="50"/>
      <c r="O397" s="51"/>
      <c r="P397" s="51"/>
      <c r="Q397" s="50"/>
      <c r="R397" s="50"/>
      <c r="S397" s="50"/>
      <c r="T397" s="50"/>
      <c r="U397" s="50"/>
      <c r="V397" s="50"/>
      <c r="W397" s="50"/>
      <c r="X397" s="51"/>
      <c r="Y397" s="51"/>
      <c r="Z397" s="50"/>
      <c r="AA397" s="50"/>
      <c r="AB397" s="50"/>
      <c r="AC397" s="50"/>
    </row>
    <row r="398" spans="1:29" ht="22" hidden="1" customHeight="1" x14ac:dyDescent="0.2">
      <c r="A398" s="50"/>
      <c r="B398" s="50"/>
      <c r="C398" s="50"/>
      <c r="D398" s="50"/>
      <c r="E398" s="50"/>
      <c r="F398" s="50"/>
      <c r="G398" s="50"/>
      <c r="H398" s="50"/>
      <c r="I398" s="50"/>
      <c r="J398" s="50"/>
      <c r="K398" s="50"/>
      <c r="L398" s="50"/>
      <c r="M398" s="50"/>
      <c r="N398" s="50"/>
      <c r="O398" s="51"/>
      <c r="P398" s="51"/>
      <c r="Q398" s="50"/>
      <c r="R398" s="50"/>
      <c r="S398" s="50"/>
      <c r="T398" s="50"/>
      <c r="U398" s="50"/>
      <c r="V398" s="50"/>
      <c r="W398" s="50"/>
      <c r="X398" s="51"/>
      <c r="Y398" s="51"/>
      <c r="Z398" s="50"/>
      <c r="AA398" s="50"/>
      <c r="AB398" s="50"/>
      <c r="AC398" s="50"/>
    </row>
    <row r="399" spans="1:29" ht="22" hidden="1" customHeight="1" x14ac:dyDescent="0.2">
      <c r="A399" s="50"/>
      <c r="B399" s="50"/>
      <c r="C399" s="50"/>
      <c r="D399" s="50"/>
      <c r="E399" s="50"/>
      <c r="F399" s="50"/>
      <c r="G399" s="50"/>
      <c r="H399" s="50"/>
      <c r="I399" s="50"/>
      <c r="J399" s="50"/>
      <c r="K399" s="50"/>
      <c r="L399" s="50"/>
      <c r="M399" s="50"/>
      <c r="N399" s="50"/>
      <c r="O399" s="51"/>
      <c r="P399" s="51"/>
      <c r="Q399" s="50"/>
      <c r="R399" s="50"/>
      <c r="S399" s="50"/>
      <c r="T399" s="50"/>
      <c r="U399" s="50"/>
      <c r="V399" s="50"/>
      <c r="W399" s="50"/>
      <c r="X399" s="51"/>
      <c r="Y399" s="51"/>
      <c r="Z399" s="50"/>
      <c r="AA399" s="50"/>
      <c r="AB399" s="50"/>
      <c r="AC399" s="50"/>
    </row>
    <row r="400" spans="1:29" ht="22" hidden="1" customHeight="1" x14ac:dyDescent="0.2">
      <c r="A400" s="50"/>
      <c r="B400" s="50"/>
      <c r="C400" s="50"/>
      <c r="D400" s="50"/>
      <c r="E400" s="50"/>
      <c r="F400" s="50"/>
      <c r="G400" s="50"/>
      <c r="H400" s="50"/>
      <c r="I400" s="50"/>
      <c r="J400" s="50"/>
      <c r="K400" s="50"/>
      <c r="L400" s="50"/>
      <c r="M400" s="50"/>
      <c r="N400" s="50"/>
      <c r="O400" s="51"/>
      <c r="P400" s="51"/>
      <c r="Q400" s="50"/>
      <c r="R400" s="50"/>
      <c r="S400" s="50"/>
      <c r="T400" s="50"/>
      <c r="U400" s="50"/>
      <c r="V400" s="50"/>
      <c r="W400" s="50"/>
      <c r="X400" s="51"/>
      <c r="Y400" s="51"/>
      <c r="Z400" s="50"/>
      <c r="AA400" s="50"/>
      <c r="AB400" s="50"/>
      <c r="AC400" s="50"/>
    </row>
    <row r="401" spans="1:29" ht="22" hidden="1" customHeight="1" x14ac:dyDescent="0.2">
      <c r="A401" s="50"/>
      <c r="B401" s="50"/>
      <c r="C401" s="50"/>
      <c r="D401" s="50"/>
      <c r="E401" s="50"/>
      <c r="F401" s="50"/>
      <c r="G401" s="50"/>
      <c r="H401" s="50"/>
      <c r="I401" s="50"/>
      <c r="J401" s="50"/>
      <c r="K401" s="50"/>
      <c r="L401" s="50"/>
      <c r="M401" s="50"/>
      <c r="N401" s="50"/>
      <c r="O401" s="51"/>
      <c r="P401" s="51"/>
      <c r="Q401" s="50"/>
      <c r="R401" s="50"/>
      <c r="S401" s="50"/>
      <c r="T401" s="50"/>
      <c r="U401" s="50"/>
      <c r="V401" s="50"/>
      <c r="W401" s="50"/>
      <c r="X401" s="51"/>
      <c r="Y401" s="51"/>
      <c r="Z401" s="50"/>
      <c r="AA401" s="50"/>
      <c r="AB401" s="50"/>
      <c r="AC401" s="50"/>
    </row>
    <row r="402" spans="1:29" ht="22" hidden="1" customHeight="1" x14ac:dyDescent="0.2">
      <c r="A402" s="50"/>
      <c r="B402" s="50"/>
      <c r="C402" s="50"/>
      <c r="D402" s="50"/>
      <c r="E402" s="50"/>
      <c r="F402" s="50"/>
      <c r="G402" s="50"/>
      <c r="H402" s="50"/>
      <c r="I402" s="50"/>
      <c r="J402" s="50"/>
      <c r="K402" s="50"/>
      <c r="L402" s="50"/>
      <c r="M402" s="50"/>
      <c r="N402" s="50"/>
      <c r="O402" s="51"/>
      <c r="P402" s="51"/>
      <c r="Q402" s="50"/>
      <c r="R402" s="50"/>
      <c r="S402" s="50"/>
      <c r="T402" s="50"/>
      <c r="U402" s="50"/>
      <c r="V402" s="50"/>
      <c r="W402" s="50"/>
      <c r="X402" s="51"/>
      <c r="Y402" s="51"/>
      <c r="Z402" s="50"/>
      <c r="AA402" s="50"/>
      <c r="AB402" s="50"/>
      <c r="AC402" s="50"/>
    </row>
    <row r="403" spans="1:29" ht="22" hidden="1" customHeight="1" x14ac:dyDescent="0.2">
      <c r="A403" s="50"/>
      <c r="B403" s="50"/>
      <c r="C403" s="50"/>
      <c r="D403" s="50"/>
      <c r="E403" s="50"/>
      <c r="F403" s="50"/>
      <c r="G403" s="50"/>
      <c r="H403" s="50"/>
      <c r="I403" s="50"/>
      <c r="J403" s="50"/>
      <c r="K403" s="50"/>
      <c r="L403" s="50"/>
      <c r="M403" s="50"/>
      <c r="N403" s="50"/>
      <c r="O403" s="51"/>
      <c r="P403" s="51"/>
      <c r="Q403" s="50"/>
      <c r="R403" s="50"/>
      <c r="S403" s="50"/>
      <c r="T403" s="50"/>
      <c r="U403" s="50"/>
      <c r="V403" s="50"/>
      <c r="W403" s="50"/>
      <c r="X403" s="51"/>
      <c r="Y403" s="51"/>
      <c r="Z403" s="50"/>
      <c r="AA403" s="50"/>
      <c r="AB403" s="50"/>
      <c r="AC403" s="50"/>
    </row>
    <row r="404" spans="1:29" ht="22" hidden="1" customHeight="1" x14ac:dyDescent="0.2">
      <c r="A404" s="50"/>
      <c r="B404" s="50"/>
      <c r="C404" s="50"/>
      <c r="D404" s="50"/>
      <c r="E404" s="50"/>
      <c r="F404" s="50"/>
      <c r="G404" s="50"/>
      <c r="H404" s="50"/>
      <c r="I404" s="50"/>
      <c r="J404" s="50"/>
      <c r="K404" s="50"/>
      <c r="L404" s="50"/>
      <c r="M404" s="50"/>
      <c r="N404" s="50"/>
      <c r="O404" s="51"/>
      <c r="P404" s="51"/>
      <c r="Q404" s="50"/>
      <c r="R404" s="50"/>
      <c r="S404" s="50"/>
      <c r="T404" s="50"/>
      <c r="U404" s="50"/>
      <c r="V404" s="50"/>
      <c r="W404" s="50"/>
      <c r="X404" s="51"/>
      <c r="Y404" s="51"/>
      <c r="Z404" s="50"/>
      <c r="AA404" s="50"/>
      <c r="AB404" s="50"/>
      <c r="AC404" s="50"/>
    </row>
    <row r="405" spans="1:29" ht="22" hidden="1" customHeight="1" x14ac:dyDescent="0.2">
      <c r="A405" s="50"/>
      <c r="B405" s="50"/>
      <c r="C405" s="50"/>
      <c r="D405" s="50"/>
      <c r="E405" s="50"/>
      <c r="F405" s="50"/>
      <c r="G405" s="50"/>
      <c r="H405" s="50"/>
      <c r="I405" s="50"/>
      <c r="J405" s="50"/>
      <c r="K405" s="50"/>
      <c r="L405" s="50"/>
      <c r="M405" s="50"/>
      <c r="N405" s="50"/>
      <c r="O405" s="51"/>
      <c r="P405" s="51"/>
      <c r="Q405" s="50"/>
      <c r="R405" s="50"/>
      <c r="S405" s="50"/>
      <c r="T405" s="50"/>
      <c r="U405" s="50"/>
      <c r="V405" s="50"/>
      <c r="W405" s="50"/>
      <c r="X405" s="51"/>
      <c r="Y405" s="51"/>
      <c r="Z405" s="50"/>
      <c r="AA405" s="50"/>
      <c r="AB405" s="50"/>
      <c r="AC405" s="50"/>
    </row>
    <row r="406" spans="1:29" ht="22" hidden="1" customHeight="1" x14ac:dyDescent="0.2">
      <c r="A406" s="50"/>
      <c r="B406" s="50"/>
      <c r="C406" s="50"/>
      <c r="D406" s="50"/>
      <c r="E406" s="50"/>
      <c r="F406" s="50"/>
      <c r="G406" s="50"/>
      <c r="H406" s="50"/>
      <c r="I406" s="50"/>
      <c r="J406" s="50"/>
      <c r="K406" s="50"/>
      <c r="L406" s="50"/>
      <c r="M406" s="50"/>
      <c r="N406" s="50"/>
      <c r="O406" s="51"/>
      <c r="P406" s="51"/>
      <c r="Q406" s="50"/>
      <c r="R406" s="50"/>
      <c r="S406" s="50"/>
      <c r="T406" s="50"/>
      <c r="U406" s="50"/>
      <c r="V406" s="50"/>
      <c r="W406" s="50"/>
      <c r="X406" s="51"/>
      <c r="Y406" s="51"/>
      <c r="Z406" s="50"/>
      <c r="AA406" s="50"/>
      <c r="AB406" s="50"/>
      <c r="AC406" s="50"/>
    </row>
    <row r="407" spans="1:29" ht="22" hidden="1" customHeight="1" x14ac:dyDescent="0.2">
      <c r="A407" s="50"/>
      <c r="B407" s="50"/>
      <c r="C407" s="50"/>
      <c r="D407" s="50"/>
      <c r="E407" s="50"/>
      <c r="F407" s="50"/>
      <c r="G407" s="50"/>
      <c r="H407" s="50"/>
      <c r="I407" s="50"/>
      <c r="J407" s="50"/>
      <c r="K407" s="50"/>
      <c r="L407" s="50"/>
      <c r="M407" s="50"/>
      <c r="N407" s="50"/>
      <c r="O407" s="51"/>
      <c r="P407" s="51"/>
      <c r="Q407" s="50"/>
      <c r="R407" s="50"/>
      <c r="S407" s="50"/>
      <c r="T407" s="50"/>
      <c r="U407" s="50"/>
      <c r="V407" s="50"/>
      <c r="W407" s="50"/>
      <c r="X407" s="51"/>
      <c r="Y407" s="51"/>
      <c r="Z407" s="50"/>
      <c r="AA407" s="50"/>
      <c r="AB407" s="50"/>
      <c r="AC407" s="50"/>
    </row>
    <row r="408" spans="1:29" ht="22" hidden="1" customHeight="1" x14ac:dyDescent="0.2">
      <c r="A408" s="50"/>
      <c r="B408" s="50"/>
      <c r="C408" s="50"/>
      <c r="D408" s="50"/>
      <c r="E408" s="50"/>
      <c r="F408" s="50"/>
      <c r="G408" s="50"/>
      <c r="H408" s="50"/>
      <c r="I408" s="50"/>
      <c r="J408" s="50"/>
      <c r="K408" s="50"/>
      <c r="L408" s="50"/>
      <c r="M408" s="50"/>
      <c r="N408" s="50"/>
      <c r="O408" s="51"/>
      <c r="P408" s="51"/>
      <c r="Q408" s="50"/>
      <c r="R408" s="50"/>
      <c r="S408" s="50"/>
      <c r="T408" s="50"/>
      <c r="U408" s="50"/>
      <c r="V408" s="50"/>
      <c r="W408" s="50"/>
      <c r="X408" s="51"/>
      <c r="Y408" s="51"/>
      <c r="Z408" s="50"/>
      <c r="AA408" s="50"/>
      <c r="AB408" s="50"/>
      <c r="AC408" s="50"/>
    </row>
    <row r="409" spans="1:29" ht="22" hidden="1" customHeight="1" x14ac:dyDescent="0.2">
      <c r="A409" s="50"/>
      <c r="B409" s="50"/>
      <c r="C409" s="50"/>
      <c r="D409" s="50"/>
      <c r="E409" s="50"/>
      <c r="F409" s="50"/>
      <c r="G409" s="50"/>
      <c r="H409" s="50"/>
      <c r="I409" s="50"/>
      <c r="J409" s="50"/>
      <c r="K409" s="50"/>
      <c r="L409" s="50"/>
      <c r="M409" s="50"/>
      <c r="N409" s="50"/>
      <c r="O409" s="51"/>
      <c r="P409" s="51"/>
      <c r="Q409" s="50"/>
      <c r="R409" s="50"/>
      <c r="S409" s="50"/>
      <c r="T409" s="50"/>
      <c r="U409" s="50"/>
      <c r="V409" s="50"/>
      <c r="W409" s="50"/>
      <c r="X409" s="51"/>
      <c r="Y409" s="51"/>
      <c r="Z409" s="50"/>
      <c r="AA409" s="50"/>
      <c r="AB409" s="50"/>
      <c r="AC409" s="50"/>
    </row>
    <row r="410" spans="1:29" ht="22" hidden="1" customHeight="1" x14ac:dyDescent="0.2">
      <c r="A410" s="50"/>
      <c r="B410" s="50"/>
      <c r="C410" s="50"/>
      <c r="D410" s="50"/>
      <c r="E410" s="50"/>
      <c r="F410" s="50"/>
      <c r="G410" s="50"/>
      <c r="H410" s="50"/>
      <c r="I410" s="50"/>
      <c r="J410" s="50"/>
      <c r="K410" s="50"/>
      <c r="L410" s="50"/>
      <c r="M410" s="50"/>
      <c r="N410" s="50"/>
      <c r="O410" s="51"/>
      <c r="P410" s="51"/>
      <c r="Q410" s="50"/>
      <c r="R410" s="50"/>
      <c r="S410" s="50"/>
      <c r="T410" s="50"/>
      <c r="U410" s="50"/>
      <c r="V410" s="50"/>
      <c r="W410" s="50"/>
      <c r="X410" s="51"/>
      <c r="Y410" s="51"/>
      <c r="Z410" s="50"/>
      <c r="AA410" s="50"/>
      <c r="AB410" s="50"/>
      <c r="AC410" s="50"/>
    </row>
    <row r="411" spans="1:29" ht="22" hidden="1" customHeight="1" x14ac:dyDescent="0.2">
      <c r="A411" s="50"/>
      <c r="B411" s="50"/>
      <c r="C411" s="50"/>
      <c r="D411" s="50"/>
      <c r="E411" s="50"/>
      <c r="F411" s="50"/>
      <c r="G411" s="50"/>
      <c r="H411" s="50"/>
      <c r="I411" s="50"/>
      <c r="J411" s="50"/>
      <c r="K411" s="50"/>
      <c r="L411" s="50"/>
      <c r="M411" s="50"/>
      <c r="N411" s="50"/>
      <c r="O411" s="51"/>
      <c r="P411" s="51"/>
      <c r="Q411" s="50"/>
      <c r="R411" s="50"/>
      <c r="S411" s="50"/>
      <c r="T411" s="50"/>
      <c r="U411" s="50"/>
      <c r="V411" s="50"/>
      <c r="W411" s="50"/>
      <c r="X411" s="51"/>
      <c r="Y411" s="51"/>
      <c r="Z411" s="50"/>
      <c r="AA411" s="50"/>
      <c r="AB411" s="50"/>
      <c r="AC411" s="50"/>
    </row>
    <row r="412" spans="1:29" ht="22" hidden="1" customHeight="1" x14ac:dyDescent="0.2">
      <c r="A412" s="50"/>
      <c r="B412" s="50"/>
      <c r="C412" s="50"/>
      <c r="D412" s="50"/>
      <c r="E412" s="50"/>
      <c r="F412" s="50"/>
      <c r="G412" s="50"/>
      <c r="H412" s="50"/>
      <c r="I412" s="50"/>
      <c r="J412" s="50"/>
      <c r="K412" s="50"/>
      <c r="L412" s="50"/>
      <c r="M412" s="50"/>
      <c r="N412" s="50"/>
      <c r="O412" s="51"/>
      <c r="P412" s="51"/>
      <c r="Q412" s="50"/>
      <c r="R412" s="50"/>
      <c r="S412" s="50"/>
      <c r="T412" s="50"/>
      <c r="U412" s="50"/>
      <c r="V412" s="50"/>
      <c r="W412" s="50"/>
      <c r="X412" s="51"/>
      <c r="Y412" s="51"/>
      <c r="Z412" s="50"/>
      <c r="AA412" s="50"/>
      <c r="AB412" s="50"/>
      <c r="AC412" s="50"/>
    </row>
    <row r="413" spans="1:29" ht="22" hidden="1" customHeight="1" x14ac:dyDescent="0.2">
      <c r="A413" s="50"/>
      <c r="B413" s="50"/>
      <c r="C413" s="50"/>
      <c r="D413" s="50"/>
      <c r="E413" s="50"/>
      <c r="F413" s="50"/>
      <c r="G413" s="50"/>
      <c r="H413" s="50"/>
      <c r="I413" s="50"/>
      <c r="J413" s="50"/>
      <c r="K413" s="50"/>
      <c r="L413" s="50"/>
      <c r="M413" s="50"/>
      <c r="N413" s="50"/>
      <c r="O413" s="51"/>
      <c r="P413" s="51"/>
      <c r="Q413" s="50"/>
      <c r="R413" s="50"/>
      <c r="S413" s="50"/>
      <c r="T413" s="50"/>
      <c r="U413" s="50"/>
      <c r="V413" s="50"/>
      <c r="W413" s="50"/>
      <c r="X413" s="51"/>
      <c r="Y413" s="51"/>
      <c r="Z413" s="50"/>
      <c r="AA413" s="50"/>
      <c r="AB413" s="50"/>
      <c r="AC413" s="50"/>
    </row>
    <row r="414" spans="1:29" ht="22" hidden="1" customHeight="1" x14ac:dyDescent="0.2">
      <c r="A414" s="50"/>
      <c r="B414" s="50"/>
      <c r="C414" s="50"/>
      <c r="D414" s="50"/>
      <c r="E414" s="50"/>
      <c r="F414" s="50"/>
      <c r="G414" s="50"/>
      <c r="H414" s="50"/>
      <c r="I414" s="50"/>
      <c r="J414" s="50"/>
      <c r="K414" s="50"/>
      <c r="L414" s="50"/>
      <c r="M414" s="50"/>
      <c r="N414" s="50"/>
      <c r="O414" s="51"/>
      <c r="P414" s="51"/>
      <c r="Q414" s="50"/>
      <c r="R414" s="50"/>
      <c r="S414" s="50"/>
      <c r="T414" s="50"/>
      <c r="U414" s="50"/>
      <c r="V414" s="50"/>
      <c r="W414" s="50"/>
      <c r="X414" s="51"/>
      <c r="Y414" s="51"/>
      <c r="Z414" s="50"/>
      <c r="AA414" s="50"/>
      <c r="AB414" s="50"/>
      <c r="AC414" s="50"/>
    </row>
    <row r="415" spans="1:29" ht="22" hidden="1" customHeight="1" x14ac:dyDescent="0.2">
      <c r="A415" s="50"/>
      <c r="B415" s="50"/>
      <c r="C415" s="50"/>
      <c r="D415" s="50"/>
      <c r="E415" s="50"/>
      <c r="F415" s="50"/>
      <c r="G415" s="50"/>
      <c r="H415" s="50"/>
      <c r="I415" s="50"/>
      <c r="J415" s="50"/>
      <c r="K415" s="50"/>
      <c r="L415" s="50"/>
      <c r="M415" s="50"/>
      <c r="N415" s="50"/>
      <c r="O415" s="51"/>
      <c r="P415" s="51"/>
      <c r="Q415" s="50"/>
      <c r="R415" s="50"/>
      <c r="S415" s="50"/>
      <c r="T415" s="50"/>
      <c r="U415" s="50"/>
      <c r="V415" s="50"/>
      <c r="W415" s="50"/>
      <c r="X415" s="51"/>
      <c r="Y415" s="51"/>
      <c r="Z415" s="50"/>
      <c r="AA415" s="50"/>
      <c r="AB415" s="50"/>
      <c r="AC415" s="50"/>
    </row>
    <row r="416" spans="1:29" ht="22" hidden="1" customHeight="1" x14ac:dyDescent="0.2">
      <c r="A416" s="50"/>
      <c r="B416" s="50"/>
      <c r="C416" s="50"/>
      <c r="D416" s="50"/>
      <c r="E416" s="50"/>
      <c r="F416" s="50"/>
      <c r="G416" s="50"/>
      <c r="H416" s="50"/>
      <c r="I416" s="50"/>
      <c r="J416" s="50"/>
      <c r="K416" s="50"/>
      <c r="L416" s="50"/>
      <c r="M416" s="50"/>
      <c r="N416" s="50"/>
      <c r="O416" s="51"/>
      <c r="P416" s="51"/>
      <c r="Q416" s="50"/>
      <c r="R416" s="50"/>
      <c r="S416" s="50"/>
      <c r="T416" s="50"/>
      <c r="U416" s="50"/>
      <c r="V416" s="50"/>
      <c r="W416" s="50"/>
      <c r="X416" s="51"/>
      <c r="Y416" s="51"/>
      <c r="Z416" s="50"/>
      <c r="AA416" s="50"/>
      <c r="AB416" s="50"/>
      <c r="AC416" s="50"/>
    </row>
    <row r="417" spans="1:29" ht="22" hidden="1" customHeight="1" x14ac:dyDescent="0.2">
      <c r="A417" s="50"/>
      <c r="B417" s="50"/>
      <c r="C417" s="50"/>
      <c r="D417" s="50"/>
      <c r="E417" s="50"/>
      <c r="F417" s="50"/>
      <c r="G417" s="50"/>
      <c r="H417" s="50"/>
      <c r="I417" s="50"/>
      <c r="J417" s="50"/>
      <c r="K417" s="50"/>
      <c r="L417" s="50"/>
      <c r="M417" s="50"/>
      <c r="N417" s="50"/>
      <c r="O417" s="51"/>
      <c r="P417" s="51"/>
      <c r="Q417" s="50"/>
      <c r="R417" s="50"/>
      <c r="S417" s="50"/>
      <c r="T417" s="50"/>
      <c r="U417" s="50"/>
      <c r="V417" s="50"/>
      <c r="W417" s="50"/>
      <c r="X417" s="51"/>
      <c r="Y417" s="51"/>
      <c r="Z417" s="50"/>
      <c r="AA417" s="50"/>
      <c r="AB417" s="50"/>
      <c r="AC417" s="50"/>
    </row>
    <row r="418" spans="1:29" ht="22" hidden="1" customHeight="1" x14ac:dyDescent="0.2">
      <c r="A418" s="50"/>
      <c r="B418" s="50"/>
      <c r="C418" s="50"/>
      <c r="D418" s="50"/>
      <c r="E418" s="50"/>
      <c r="F418" s="50"/>
      <c r="G418" s="50"/>
      <c r="H418" s="50"/>
      <c r="I418" s="50"/>
      <c r="J418" s="50"/>
      <c r="K418" s="50"/>
      <c r="L418" s="50"/>
      <c r="M418" s="50"/>
      <c r="N418" s="50"/>
      <c r="O418" s="51"/>
      <c r="P418" s="51"/>
      <c r="Q418" s="50"/>
      <c r="R418" s="50"/>
      <c r="S418" s="50"/>
      <c r="T418" s="50"/>
      <c r="U418" s="50"/>
      <c r="V418" s="50"/>
      <c r="W418" s="50"/>
      <c r="X418" s="51"/>
      <c r="Y418" s="51"/>
      <c r="Z418" s="50"/>
      <c r="AA418" s="50"/>
      <c r="AB418" s="50"/>
      <c r="AC418" s="50"/>
    </row>
    <row r="419" spans="1:29" ht="22" hidden="1" customHeight="1" x14ac:dyDescent="0.2">
      <c r="A419" s="50"/>
      <c r="B419" s="50"/>
      <c r="C419" s="50"/>
      <c r="D419" s="50"/>
      <c r="E419" s="50"/>
      <c r="F419" s="50"/>
      <c r="G419" s="50"/>
      <c r="H419" s="50"/>
      <c r="I419" s="50"/>
      <c r="J419" s="50"/>
      <c r="K419" s="50"/>
      <c r="L419" s="50"/>
      <c r="M419" s="50"/>
      <c r="N419" s="50"/>
      <c r="O419" s="51"/>
      <c r="P419" s="51"/>
      <c r="Q419" s="50"/>
      <c r="R419" s="50"/>
      <c r="S419" s="50"/>
      <c r="T419" s="50"/>
      <c r="U419" s="50"/>
      <c r="V419" s="50"/>
      <c r="W419" s="50"/>
      <c r="X419" s="51"/>
      <c r="Y419" s="51"/>
      <c r="Z419" s="50"/>
      <c r="AA419" s="50"/>
      <c r="AB419" s="50"/>
      <c r="AC419" s="50"/>
    </row>
    <row r="420" spans="1:29" ht="22" hidden="1" customHeight="1" x14ac:dyDescent="0.2">
      <c r="A420" s="50"/>
      <c r="B420" s="50"/>
      <c r="C420" s="50"/>
      <c r="D420" s="50"/>
      <c r="E420" s="50"/>
      <c r="F420" s="50"/>
      <c r="G420" s="50"/>
      <c r="H420" s="50"/>
      <c r="I420" s="50"/>
      <c r="J420" s="50"/>
      <c r="K420" s="50"/>
      <c r="L420" s="50"/>
      <c r="M420" s="50"/>
      <c r="N420" s="50"/>
      <c r="O420" s="51"/>
      <c r="P420" s="51"/>
      <c r="Q420" s="50"/>
      <c r="R420" s="50"/>
      <c r="S420" s="50"/>
      <c r="T420" s="50"/>
      <c r="U420" s="50"/>
      <c r="V420" s="50"/>
      <c r="W420" s="50"/>
      <c r="X420" s="51"/>
      <c r="Y420" s="51"/>
      <c r="Z420" s="50"/>
      <c r="AA420" s="50"/>
      <c r="AB420" s="50"/>
      <c r="AC420" s="50"/>
    </row>
    <row r="421" spans="1:29" ht="22" hidden="1" customHeight="1" x14ac:dyDescent="0.2">
      <c r="A421" s="50"/>
      <c r="B421" s="50"/>
      <c r="C421" s="50"/>
      <c r="D421" s="50"/>
      <c r="E421" s="50"/>
      <c r="F421" s="50"/>
      <c r="G421" s="50"/>
      <c r="H421" s="50"/>
      <c r="I421" s="50"/>
      <c r="J421" s="50"/>
      <c r="K421" s="50"/>
      <c r="L421" s="50"/>
      <c r="M421" s="50"/>
      <c r="N421" s="50"/>
      <c r="O421" s="51"/>
      <c r="P421" s="51"/>
      <c r="Q421" s="50"/>
      <c r="R421" s="50"/>
      <c r="S421" s="50"/>
      <c r="T421" s="50"/>
      <c r="U421" s="50"/>
      <c r="V421" s="50"/>
      <c r="W421" s="50"/>
      <c r="X421" s="51"/>
      <c r="Y421" s="51"/>
      <c r="Z421" s="50"/>
      <c r="AA421" s="50"/>
      <c r="AB421" s="50"/>
      <c r="AC421" s="50"/>
    </row>
    <row r="422" spans="1:29" ht="22" hidden="1" customHeight="1" x14ac:dyDescent="0.2">
      <c r="A422" s="50"/>
      <c r="B422" s="50"/>
      <c r="C422" s="50"/>
      <c r="D422" s="50"/>
      <c r="E422" s="50"/>
      <c r="F422" s="50"/>
      <c r="G422" s="50"/>
      <c r="H422" s="50"/>
      <c r="I422" s="50"/>
      <c r="J422" s="50"/>
      <c r="K422" s="50"/>
      <c r="L422" s="50"/>
      <c r="M422" s="50"/>
      <c r="N422" s="50"/>
      <c r="O422" s="51"/>
      <c r="P422" s="51"/>
      <c r="Q422" s="50"/>
      <c r="R422" s="50"/>
      <c r="S422" s="50"/>
      <c r="T422" s="50"/>
      <c r="U422" s="50"/>
      <c r="V422" s="50"/>
      <c r="W422" s="50"/>
      <c r="X422" s="51"/>
      <c r="Y422" s="51"/>
      <c r="Z422" s="50"/>
      <c r="AA422" s="50"/>
      <c r="AB422" s="50"/>
      <c r="AC422" s="50"/>
    </row>
    <row r="423" spans="1:29" ht="22" hidden="1" customHeight="1" x14ac:dyDescent="0.2">
      <c r="A423" s="50"/>
      <c r="B423" s="50"/>
      <c r="C423" s="50"/>
      <c r="D423" s="50"/>
      <c r="E423" s="50"/>
      <c r="F423" s="50"/>
      <c r="G423" s="50"/>
      <c r="H423" s="50"/>
      <c r="I423" s="50"/>
      <c r="J423" s="50"/>
      <c r="K423" s="50"/>
      <c r="L423" s="50"/>
      <c r="M423" s="50"/>
      <c r="N423" s="50"/>
      <c r="O423" s="51"/>
      <c r="P423" s="51"/>
      <c r="Q423" s="50"/>
      <c r="R423" s="50"/>
      <c r="S423" s="50"/>
      <c r="T423" s="50"/>
      <c r="U423" s="50"/>
      <c r="V423" s="50"/>
      <c r="W423" s="50"/>
      <c r="X423" s="51"/>
      <c r="Y423" s="51"/>
      <c r="Z423" s="50"/>
      <c r="AA423" s="50"/>
      <c r="AB423" s="50"/>
      <c r="AC423" s="50"/>
    </row>
    <row r="424" spans="1:29" ht="22" hidden="1" customHeight="1" x14ac:dyDescent="0.2">
      <c r="A424" s="50"/>
      <c r="B424" s="50"/>
      <c r="C424" s="50"/>
      <c r="D424" s="50"/>
      <c r="E424" s="50"/>
      <c r="F424" s="50"/>
      <c r="G424" s="50"/>
      <c r="H424" s="50"/>
      <c r="I424" s="50"/>
      <c r="J424" s="50"/>
      <c r="K424" s="50"/>
      <c r="L424" s="50"/>
      <c r="M424" s="50"/>
      <c r="N424" s="50"/>
      <c r="O424" s="51"/>
      <c r="P424" s="51"/>
      <c r="Q424" s="50"/>
      <c r="R424" s="50"/>
      <c r="S424" s="50"/>
      <c r="T424" s="50"/>
      <c r="U424" s="50"/>
      <c r="V424" s="50"/>
      <c r="W424" s="50"/>
      <c r="X424" s="51"/>
      <c r="Y424" s="51"/>
      <c r="Z424" s="50"/>
      <c r="AA424" s="50"/>
      <c r="AB424" s="50"/>
      <c r="AC424" s="50"/>
    </row>
    <row r="425" spans="1:29" ht="22" hidden="1" customHeight="1" x14ac:dyDescent="0.2">
      <c r="A425" s="50"/>
      <c r="B425" s="50"/>
      <c r="C425" s="50"/>
      <c r="D425" s="50"/>
      <c r="E425" s="50"/>
      <c r="F425" s="50"/>
      <c r="G425" s="50"/>
      <c r="H425" s="50"/>
      <c r="I425" s="50"/>
      <c r="J425" s="50"/>
      <c r="K425" s="50"/>
      <c r="L425" s="50"/>
      <c r="M425" s="50"/>
      <c r="N425" s="50"/>
      <c r="O425" s="51"/>
      <c r="P425" s="51"/>
      <c r="Q425" s="50"/>
      <c r="R425" s="50"/>
      <c r="S425" s="50"/>
      <c r="T425" s="50"/>
      <c r="U425" s="50"/>
      <c r="V425" s="50"/>
      <c r="W425" s="50"/>
      <c r="X425" s="51"/>
      <c r="Y425" s="51"/>
      <c r="Z425" s="50"/>
      <c r="AA425" s="50"/>
      <c r="AB425" s="50"/>
      <c r="AC425" s="50"/>
    </row>
    <row r="426" spans="1:29" ht="22" hidden="1" customHeight="1" x14ac:dyDescent="0.2">
      <c r="A426" s="50"/>
      <c r="B426" s="50"/>
      <c r="C426" s="50"/>
      <c r="D426" s="50"/>
      <c r="E426" s="50"/>
      <c r="F426" s="50"/>
      <c r="G426" s="50"/>
      <c r="H426" s="50"/>
      <c r="I426" s="50"/>
      <c r="J426" s="50"/>
      <c r="K426" s="50"/>
      <c r="L426" s="50"/>
      <c r="M426" s="50"/>
      <c r="N426" s="50"/>
      <c r="O426" s="51"/>
      <c r="P426" s="51"/>
      <c r="Q426" s="50"/>
      <c r="R426" s="50"/>
      <c r="S426" s="50"/>
      <c r="T426" s="50"/>
      <c r="U426" s="50"/>
      <c r="V426" s="50"/>
      <c r="W426" s="50"/>
      <c r="X426" s="51"/>
      <c r="Y426" s="51"/>
      <c r="Z426" s="50"/>
      <c r="AA426" s="50"/>
      <c r="AB426" s="50"/>
      <c r="AC426" s="50"/>
    </row>
    <row r="427" spans="1:29" ht="22" hidden="1" customHeight="1" x14ac:dyDescent="0.2">
      <c r="A427" s="50"/>
      <c r="B427" s="50"/>
      <c r="C427" s="50"/>
      <c r="D427" s="50"/>
      <c r="E427" s="50"/>
      <c r="F427" s="50"/>
      <c r="G427" s="50"/>
      <c r="H427" s="50"/>
      <c r="I427" s="50"/>
      <c r="J427" s="50"/>
      <c r="K427" s="50"/>
      <c r="L427" s="50"/>
      <c r="M427" s="50"/>
      <c r="N427" s="50"/>
      <c r="O427" s="51"/>
      <c r="P427" s="51"/>
      <c r="Q427" s="50"/>
      <c r="R427" s="50"/>
      <c r="S427" s="50"/>
      <c r="T427" s="50"/>
      <c r="U427" s="50"/>
      <c r="V427" s="50"/>
      <c r="W427" s="50"/>
      <c r="X427" s="51"/>
      <c r="Y427" s="51"/>
      <c r="Z427" s="50"/>
      <c r="AA427" s="50"/>
      <c r="AB427" s="50"/>
      <c r="AC427" s="50"/>
    </row>
    <row r="428" spans="1:29" ht="22" hidden="1" customHeight="1" x14ac:dyDescent="0.2">
      <c r="A428" s="50"/>
      <c r="B428" s="50"/>
      <c r="C428" s="50"/>
      <c r="D428" s="50"/>
      <c r="E428" s="50"/>
      <c r="F428" s="50"/>
      <c r="G428" s="50"/>
      <c r="H428" s="50"/>
      <c r="I428" s="50"/>
      <c r="J428" s="50"/>
      <c r="K428" s="50"/>
      <c r="L428" s="50"/>
      <c r="M428" s="50"/>
      <c r="N428" s="50"/>
      <c r="O428" s="51"/>
      <c r="P428" s="51"/>
      <c r="Q428" s="50"/>
      <c r="R428" s="50"/>
      <c r="S428" s="50"/>
      <c r="T428" s="50"/>
      <c r="U428" s="50"/>
      <c r="V428" s="50"/>
      <c r="W428" s="50"/>
      <c r="X428" s="51"/>
      <c r="Y428" s="51"/>
      <c r="Z428" s="50"/>
      <c r="AA428" s="50"/>
      <c r="AB428" s="50"/>
      <c r="AC428" s="50"/>
    </row>
    <row r="429" spans="1:29" ht="22" hidden="1" customHeight="1" x14ac:dyDescent="0.2">
      <c r="A429" s="50"/>
      <c r="B429" s="50"/>
      <c r="C429" s="50"/>
      <c r="D429" s="50"/>
      <c r="E429" s="50"/>
      <c r="F429" s="50"/>
      <c r="G429" s="50"/>
      <c r="H429" s="50"/>
      <c r="I429" s="50"/>
      <c r="J429" s="50"/>
      <c r="K429" s="50"/>
      <c r="L429" s="50"/>
      <c r="M429" s="50"/>
      <c r="N429" s="50"/>
      <c r="O429" s="51"/>
      <c r="P429" s="51"/>
      <c r="Q429" s="50"/>
      <c r="R429" s="50"/>
      <c r="S429" s="50"/>
      <c r="T429" s="50"/>
      <c r="U429" s="50"/>
      <c r="V429" s="50"/>
      <c r="W429" s="50"/>
      <c r="X429" s="51"/>
      <c r="Y429" s="51"/>
      <c r="Z429" s="50"/>
      <c r="AA429" s="50"/>
      <c r="AB429" s="50"/>
      <c r="AC429" s="50"/>
    </row>
    <row r="430" spans="1:29" ht="22" hidden="1" customHeight="1" x14ac:dyDescent="0.2">
      <c r="A430" s="50"/>
      <c r="B430" s="50"/>
      <c r="C430" s="50"/>
      <c r="D430" s="50"/>
      <c r="E430" s="50"/>
      <c r="F430" s="50"/>
      <c r="G430" s="50"/>
      <c r="H430" s="50"/>
      <c r="I430" s="50"/>
      <c r="J430" s="50"/>
      <c r="K430" s="50"/>
      <c r="L430" s="50"/>
      <c r="M430" s="50"/>
      <c r="N430" s="50"/>
      <c r="O430" s="51"/>
      <c r="P430" s="51"/>
      <c r="Q430" s="50"/>
      <c r="R430" s="50"/>
      <c r="S430" s="50"/>
      <c r="T430" s="50"/>
      <c r="U430" s="50"/>
      <c r="V430" s="50"/>
      <c r="W430" s="50"/>
      <c r="X430" s="51"/>
      <c r="Y430" s="51"/>
      <c r="Z430" s="50"/>
      <c r="AA430" s="50"/>
      <c r="AB430" s="50"/>
      <c r="AC430" s="50"/>
    </row>
    <row r="431" spans="1:29" ht="22" hidden="1" customHeight="1" x14ac:dyDescent="0.2">
      <c r="A431" s="50"/>
      <c r="B431" s="50"/>
      <c r="C431" s="50"/>
      <c r="D431" s="50"/>
      <c r="E431" s="50"/>
      <c r="F431" s="50"/>
      <c r="G431" s="50"/>
      <c r="H431" s="50"/>
      <c r="I431" s="50"/>
      <c r="J431" s="50"/>
      <c r="K431" s="50"/>
      <c r="L431" s="50"/>
      <c r="M431" s="50"/>
      <c r="N431" s="50"/>
      <c r="O431" s="51"/>
      <c r="P431" s="51"/>
      <c r="Q431" s="50"/>
      <c r="R431" s="50"/>
      <c r="S431" s="50"/>
      <c r="T431" s="50"/>
      <c r="U431" s="50"/>
      <c r="V431" s="50"/>
      <c r="W431" s="50"/>
      <c r="X431" s="51"/>
      <c r="Y431" s="51"/>
      <c r="Z431" s="50"/>
      <c r="AA431" s="50"/>
      <c r="AB431" s="50"/>
      <c r="AC431" s="50"/>
    </row>
    <row r="432" spans="1:29" ht="22" hidden="1" customHeight="1" x14ac:dyDescent="0.2">
      <c r="A432" s="50"/>
      <c r="B432" s="50"/>
      <c r="C432" s="50"/>
      <c r="D432" s="50"/>
      <c r="E432" s="50"/>
      <c r="F432" s="50"/>
      <c r="G432" s="50"/>
      <c r="H432" s="50"/>
      <c r="I432" s="50"/>
      <c r="J432" s="50"/>
      <c r="K432" s="50"/>
      <c r="L432" s="50"/>
      <c r="M432" s="50"/>
      <c r="N432" s="50"/>
      <c r="O432" s="51"/>
      <c r="P432" s="51"/>
      <c r="Q432" s="50"/>
      <c r="R432" s="50"/>
      <c r="S432" s="50"/>
      <c r="T432" s="50"/>
      <c r="U432" s="50"/>
      <c r="V432" s="50"/>
      <c r="W432" s="50"/>
      <c r="X432" s="51"/>
      <c r="Y432" s="51"/>
      <c r="Z432" s="50"/>
      <c r="AA432" s="50"/>
      <c r="AB432" s="50"/>
      <c r="AC432" s="50"/>
    </row>
    <row r="433" spans="1:29" ht="22" hidden="1" customHeight="1" x14ac:dyDescent="0.2">
      <c r="A433" s="50"/>
      <c r="B433" s="50"/>
      <c r="C433" s="50"/>
      <c r="D433" s="50"/>
      <c r="E433" s="50"/>
      <c r="F433" s="50"/>
      <c r="G433" s="50"/>
      <c r="H433" s="50"/>
      <c r="I433" s="50"/>
      <c r="J433" s="50"/>
      <c r="K433" s="50"/>
      <c r="L433" s="50"/>
      <c r="M433" s="50"/>
      <c r="N433" s="50"/>
      <c r="O433" s="51"/>
      <c r="P433" s="51"/>
      <c r="Q433" s="50"/>
      <c r="R433" s="50"/>
      <c r="S433" s="50"/>
      <c r="T433" s="50"/>
      <c r="U433" s="50"/>
      <c r="V433" s="50"/>
      <c r="W433" s="50"/>
      <c r="X433" s="51"/>
      <c r="Y433" s="51"/>
      <c r="Z433" s="50"/>
      <c r="AA433" s="50"/>
      <c r="AB433" s="50"/>
      <c r="AC433" s="50"/>
    </row>
    <row r="434" spans="1:29" ht="22" hidden="1" customHeight="1" x14ac:dyDescent="0.2">
      <c r="A434" s="50"/>
      <c r="B434" s="50"/>
      <c r="C434" s="50"/>
      <c r="D434" s="50"/>
      <c r="E434" s="50"/>
      <c r="F434" s="50"/>
      <c r="G434" s="50"/>
      <c r="H434" s="50"/>
      <c r="I434" s="50"/>
      <c r="J434" s="50"/>
      <c r="K434" s="50"/>
      <c r="L434" s="50"/>
      <c r="M434" s="50"/>
      <c r="N434" s="50"/>
      <c r="O434" s="51"/>
      <c r="P434" s="51"/>
      <c r="Q434" s="50"/>
      <c r="R434" s="50"/>
      <c r="S434" s="50"/>
      <c r="T434" s="50"/>
      <c r="U434" s="50"/>
      <c r="V434" s="50"/>
      <c r="W434" s="50"/>
      <c r="X434" s="51"/>
      <c r="Y434" s="51"/>
      <c r="Z434" s="50"/>
      <c r="AA434" s="50"/>
      <c r="AB434" s="50"/>
      <c r="AC434" s="50"/>
    </row>
    <row r="435" spans="1:29" ht="22" hidden="1" customHeight="1" x14ac:dyDescent="0.2">
      <c r="A435" s="50"/>
      <c r="B435" s="50"/>
      <c r="C435" s="50"/>
      <c r="D435" s="50"/>
      <c r="E435" s="50"/>
      <c r="F435" s="50"/>
      <c r="G435" s="50"/>
      <c r="H435" s="50"/>
      <c r="I435" s="50"/>
      <c r="J435" s="50"/>
      <c r="K435" s="50"/>
      <c r="L435" s="50"/>
      <c r="M435" s="50"/>
      <c r="N435" s="50"/>
      <c r="O435" s="51"/>
      <c r="P435" s="51"/>
      <c r="Q435" s="50"/>
      <c r="R435" s="50"/>
      <c r="S435" s="50"/>
      <c r="T435" s="50"/>
      <c r="U435" s="50"/>
      <c r="V435" s="50"/>
      <c r="W435" s="50"/>
      <c r="X435" s="51"/>
      <c r="Y435" s="51"/>
      <c r="Z435" s="50"/>
      <c r="AA435" s="50"/>
      <c r="AB435" s="50"/>
      <c r="AC435" s="50"/>
    </row>
    <row r="436" spans="1:29" ht="22" hidden="1" customHeight="1" x14ac:dyDescent="0.2">
      <c r="A436" s="50"/>
      <c r="B436" s="50"/>
      <c r="C436" s="50"/>
      <c r="D436" s="50"/>
      <c r="E436" s="50"/>
      <c r="F436" s="50"/>
      <c r="G436" s="50"/>
      <c r="H436" s="50"/>
      <c r="I436" s="50"/>
      <c r="J436" s="50"/>
      <c r="K436" s="50"/>
      <c r="L436" s="50"/>
      <c r="M436" s="50"/>
      <c r="N436" s="50"/>
      <c r="O436" s="51"/>
      <c r="P436" s="51"/>
      <c r="Q436" s="50"/>
      <c r="R436" s="50"/>
      <c r="S436" s="50"/>
      <c r="T436" s="50"/>
      <c r="U436" s="50"/>
      <c r="V436" s="50"/>
      <c r="W436" s="50"/>
      <c r="X436" s="51"/>
      <c r="Y436" s="51"/>
      <c r="Z436" s="50"/>
      <c r="AA436" s="50"/>
      <c r="AB436" s="50"/>
      <c r="AC436" s="50"/>
    </row>
    <row r="437" spans="1:29" ht="22" hidden="1" customHeight="1" x14ac:dyDescent="0.2">
      <c r="A437" s="50"/>
      <c r="B437" s="50"/>
      <c r="C437" s="50"/>
      <c r="D437" s="50"/>
      <c r="E437" s="50"/>
      <c r="F437" s="50"/>
      <c r="G437" s="50"/>
      <c r="H437" s="50"/>
      <c r="I437" s="50"/>
      <c r="J437" s="50"/>
      <c r="K437" s="50"/>
      <c r="L437" s="50"/>
      <c r="M437" s="50"/>
      <c r="N437" s="50"/>
      <c r="O437" s="51"/>
      <c r="P437" s="51"/>
      <c r="Q437" s="50"/>
      <c r="R437" s="50"/>
      <c r="S437" s="50"/>
      <c r="T437" s="50"/>
      <c r="U437" s="50"/>
      <c r="V437" s="50"/>
      <c r="W437" s="50"/>
      <c r="X437" s="51"/>
      <c r="Y437" s="51"/>
      <c r="Z437" s="50"/>
      <c r="AA437" s="50"/>
      <c r="AB437" s="50"/>
      <c r="AC437" s="50"/>
    </row>
    <row r="438" spans="1:29" ht="22" hidden="1" customHeight="1" x14ac:dyDescent="0.2">
      <c r="A438" s="50"/>
      <c r="B438" s="50"/>
      <c r="C438" s="50"/>
      <c r="D438" s="50"/>
      <c r="E438" s="50"/>
      <c r="F438" s="50"/>
      <c r="G438" s="50"/>
      <c r="H438" s="50"/>
      <c r="I438" s="50"/>
      <c r="J438" s="50"/>
      <c r="K438" s="50"/>
      <c r="L438" s="50"/>
      <c r="M438" s="50"/>
      <c r="N438" s="50"/>
      <c r="O438" s="51"/>
      <c r="P438" s="51"/>
      <c r="Q438" s="50"/>
      <c r="R438" s="50"/>
      <c r="S438" s="50"/>
      <c r="T438" s="50"/>
      <c r="U438" s="50"/>
      <c r="V438" s="50"/>
      <c r="W438" s="50"/>
      <c r="X438" s="51"/>
      <c r="Y438" s="51"/>
      <c r="Z438" s="50"/>
      <c r="AA438" s="50"/>
      <c r="AB438" s="50"/>
      <c r="AC438" s="50"/>
    </row>
    <row r="439" spans="1:29" ht="22" hidden="1" customHeight="1" x14ac:dyDescent="0.2">
      <c r="A439" s="50"/>
      <c r="B439" s="50"/>
      <c r="C439" s="50"/>
      <c r="D439" s="50"/>
      <c r="E439" s="50"/>
      <c r="F439" s="50"/>
      <c r="G439" s="50"/>
      <c r="H439" s="50"/>
      <c r="I439" s="50"/>
      <c r="J439" s="50"/>
      <c r="K439" s="50"/>
      <c r="L439" s="50"/>
      <c r="M439" s="50"/>
      <c r="N439" s="50"/>
      <c r="O439" s="51"/>
      <c r="P439" s="51"/>
      <c r="Q439" s="50"/>
      <c r="R439" s="50"/>
      <c r="S439" s="50"/>
      <c r="T439" s="50"/>
      <c r="U439" s="50"/>
      <c r="V439" s="50"/>
      <c r="W439" s="50"/>
      <c r="X439" s="51"/>
      <c r="Y439" s="51"/>
      <c r="Z439" s="50"/>
      <c r="AA439" s="50"/>
      <c r="AB439" s="50"/>
      <c r="AC439" s="50"/>
    </row>
    <row r="440" spans="1:29" ht="22" hidden="1" customHeight="1" x14ac:dyDescent="0.2">
      <c r="A440" s="50"/>
      <c r="B440" s="50"/>
      <c r="C440" s="50"/>
      <c r="D440" s="50"/>
      <c r="E440" s="50"/>
      <c r="F440" s="50"/>
      <c r="G440" s="50"/>
      <c r="H440" s="50"/>
      <c r="I440" s="50"/>
      <c r="J440" s="50"/>
      <c r="K440" s="50"/>
      <c r="L440" s="50"/>
      <c r="M440" s="50"/>
      <c r="N440" s="50"/>
      <c r="O440" s="51"/>
      <c r="P440" s="51"/>
      <c r="Q440" s="50"/>
      <c r="R440" s="50"/>
      <c r="S440" s="50"/>
      <c r="T440" s="50"/>
      <c r="U440" s="50"/>
      <c r="V440" s="50"/>
      <c r="W440" s="50"/>
      <c r="X440" s="51"/>
      <c r="Y440" s="51"/>
      <c r="Z440" s="50"/>
      <c r="AA440" s="50"/>
      <c r="AB440" s="50"/>
      <c r="AC440" s="50"/>
    </row>
    <row r="441" spans="1:29" ht="22" hidden="1" customHeight="1" x14ac:dyDescent="0.2">
      <c r="A441" s="50"/>
      <c r="B441" s="50"/>
      <c r="C441" s="50"/>
      <c r="D441" s="50"/>
      <c r="E441" s="50"/>
      <c r="F441" s="50"/>
      <c r="G441" s="50"/>
      <c r="H441" s="50"/>
      <c r="I441" s="50"/>
      <c r="J441" s="50"/>
      <c r="K441" s="50"/>
      <c r="L441" s="50"/>
      <c r="M441" s="50"/>
      <c r="N441" s="50"/>
      <c r="O441" s="51"/>
      <c r="P441" s="51"/>
      <c r="Q441" s="50"/>
      <c r="R441" s="50"/>
      <c r="S441" s="50"/>
      <c r="T441" s="50"/>
      <c r="U441" s="50"/>
      <c r="V441" s="50"/>
      <c r="W441" s="50"/>
      <c r="X441" s="51"/>
      <c r="Y441" s="51"/>
      <c r="Z441" s="50"/>
      <c r="AA441" s="50"/>
      <c r="AB441" s="50"/>
      <c r="AC441" s="50"/>
    </row>
    <row r="442" spans="1:29" ht="22" hidden="1" customHeight="1" x14ac:dyDescent="0.2">
      <c r="A442" s="50"/>
      <c r="B442" s="50"/>
      <c r="C442" s="50"/>
      <c r="D442" s="50"/>
      <c r="E442" s="50"/>
      <c r="F442" s="50"/>
      <c r="G442" s="50"/>
      <c r="H442" s="50"/>
      <c r="I442" s="50"/>
      <c r="J442" s="50"/>
      <c r="K442" s="50"/>
      <c r="L442" s="50"/>
      <c r="M442" s="50"/>
      <c r="N442" s="50"/>
      <c r="O442" s="51"/>
      <c r="P442" s="51"/>
      <c r="Q442" s="50"/>
      <c r="R442" s="50"/>
      <c r="S442" s="50"/>
      <c r="T442" s="50"/>
      <c r="U442" s="50"/>
      <c r="V442" s="50"/>
      <c r="W442" s="50"/>
      <c r="X442" s="51"/>
      <c r="Y442" s="51"/>
      <c r="Z442" s="50"/>
      <c r="AA442" s="50"/>
      <c r="AB442" s="50"/>
      <c r="AC442" s="50"/>
    </row>
    <row r="443" spans="1:29" ht="22" hidden="1" customHeight="1" x14ac:dyDescent="0.2">
      <c r="A443" s="50"/>
      <c r="B443" s="50"/>
      <c r="C443" s="50"/>
      <c r="D443" s="50"/>
      <c r="E443" s="50"/>
      <c r="F443" s="50"/>
      <c r="G443" s="50"/>
      <c r="H443" s="50"/>
      <c r="I443" s="50"/>
      <c r="J443" s="50"/>
      <c r="K443" s="50"/>
      <c r="L443" s="50"/>
      <c r="M443" s="50"/>
      <c r="N443" s="50"/>
      <c r="O443" s="51"/>
      <c r="P443" s="51"/>
      <c r="Q443" s="50"/>
      <c r="R443" s="50"/>
      <c r="S443" s="50"/>
      <c r="T443" s="50"/>
      <c r="U443" s="50"/>
      <c r="V443" s="50"/>
      <c r="W443" s="50"/>
      <c r="X443" s="51"/>
      <c r="Y443" s="51"/>
      <c r="Z443" s="50"/>
      <c r="AA443" s="50"/>
      <c r="AB443" s="50"/>
      <c r="AC443" s="50"/>
    </row>
    <row r="444" spans="1:29" ht="22" hidden="1" customHeight="1" x14ac:dyDescent="0.2">
      <c r="A444" s="50"/>
      <c r="B444" s="50"/>
      <c r="C444" s="50"/>
      <c r="D444" s="50"/>
      <c r="E444" s="50"/>
      <c r="F444" s="50"/>
      <c r="G444" s="50"/>
      <c r="H444" s="50"/>
      <c r="I444" s="50"/>
      <c r="J444" s="50"/>
      <c r="K444" s="50"/>
      <c r="L444" s="50"/>
      <c r="M444" s="50"/>
      <c r="N444" s="50"/>
      <c r="O444" s="51"/>
      <c r="P444" s="51"/>
      <c r="Q444" s="50"/>
      <c r="R444" s="50"/>
      <c r="S444" s="50"/>
      <c r="T444" s="50"/>
      <c r="U444" s="50"/>
      <c r="V444" s="50"/>
      <c r="W444" s="50"/>
      <c r="X444" s="51"/>
      <c r="Y444" s="51"/>
      <c r="Z444" s="50"/>
      <c r="AA444" s="50"/>
      <c r="AB444" s="50"/>
      <c r="AC444" s="50"/>
    </row>
    <row r="445" spans="1:29" ht="22" hidden="1" customHeight="1" x14ac:dyDescent="0.2">
      <c r="A445" s="50"/>
      <c r="B445" s="50"/>
      <c r="C445" s="50"/>
      <c r="D445" s="50"/>
      <c r="E445" s="50"/>
      <c r="F445" s="50"/>
      <c r="G445" s="50"/>
      <c r="H445" s="50"/>
      <c r="I445" s="50"/>
      <c r="J445" s="50"/>
      <c r="K445" s="50"/>
      <c r="L445" s="50"/>
      <c r="M445" s="50"/>
      <c r="N445" s="50"/>
      <c r="O445" s="51"/>
      <c r="P445" s="51"/>
      <c r="Q445" s="50"/>
      <c r="R445" s="50"/>
      <c r="S445" s="50"/>
      <c r="T445" s="50"/>
      <c r="U445" s="50"/>
      <c r="V445" s="50"/>
      <c r="W445" s="50"/>
      <c r="X445" s="51"/>
      <c r="Y445" s="51"/>
      <c r="Z445" s="50"/>
      <c r="AA445" s="50"/>
      <c r="AB445" s="50"/>
      <c r="AC445" s="50"/>
    </row>
    <row r="446" spans="1:29" ht="22" hidden="1" customHeight="1" x14ac:dyDescent="0.2">
      <c r="A446" s="50"/>
      <c r="B446" s="50"/>
      <c r="C446" s="50"/>
      <c r="D446" s="50"/>
      <c r="E446" s="50"/>
      <c r="F446" s="50"/>
      <c r="G446" s="50"/>
      <c r="H446" s="50"/>
      <c r="I446" s="50"/>
      <c r="J446" s="50"/>
      <c r="K446" s="50"/>
      <c r="L446" s="50"/>
      <c r="M446" s="50"/>
      <c r="N446" s="50"/>
      <c r="O446" s="51"/>
      <c r="P446" s="51"/>
      <c r="Q446" s="50"/>
      <c r="R446" s="50"/>
      <c r="S446" s="50"/>
      <c r="T446" s="50"/>
      <c r="U446" s="50"/>
      <c r="V446" s="50"/>
      <c r="W446" s="50"/>
      <c r="X446" s="51"/>
      <c r="Y446" s="51"/>
      <c r="Z446" s="50"/>
      <c r="AA446" s="50"/>
      <c r="AB446" s="50"/>
      <c r="AC446" s="50"/>
    </row>
    <row r="447" spans="1:29" ht="22" hidden="1" customHeight="1" x14ac:dyDescent="0.2">
      <c r="A447" s="50"/>
      <c r="B447" s="50"/>
      <c r="C447" s="50"/>
      <c r="D447" s="50"/>
      <c r="E447" s="50"/>
      <c r="F447" s="50"/>
      <c r="G447" s="50"/>
      <c r="H447" s="50"/>
      <c r="I447" s="50"/>
      <c r="J447" s="50"/>
      <c r="K447" s="50"/>
      <c r="L447" s="50"/>
      <c r="M447" s="50"/>
      <c r="N447" s="50"/>
      <c r="O447" s="51"/>
      <c r="P447" s="51"/>
      <c r="Q447" s="50"/>
      <c r="R447" s="50"/>
      <c r="S447" s="50"/>
      <c r="T447" s="50"/>
      <c r="U447" s="50"/>
      <c r="V447" s="50"/>
      <c r="W447" s="50"/>
      <c r="X447" s="51"/>
      <c r="Y447" s="51"/>
      <c r="Z447" s="50"/>
      <c r="AA447" s="50"/>
      <c r="AB447" s="50"/>
      <c r="AC447" s="50"/>
    </row>
    <row r="448" spans="1:29" ht="22" hidden="1" customHeight="1" x14ac:dyDescent="0.2">
      <c r="A448" s="50"/>
      <c r="B448" s="50"/>
      <c r="C448" s="50"/>
      <c r="D448" s="50"/>
      <c r="E448" s="50"/>
      <c r="F448" s="50"/>
      <c r="G448" s="50"/>
      <c r="H448" s="50"/>
      <c r="I448" s="50"/>
      <c r="J448" s="50"/>
      <c r="K448" s="50"/>
      <c r="L448" s="50"/>
      <c r="M448" s="50"/>
      <c r="N448" s="50"/>
      <c r="O448" s="51"/>
      <c r="P448" s="51"/>
      <c r="Q448" s="50"/>
      <c r="R448" s="50"/>
      <c r="S448" s="50"/>
      <c r="T448" s="50"/>
      <c r="U448" s="50"/>
      <c r="V448" s="50"/>
      <c r="W448" s="50"/>
      <c r="X448" s="51"/>
      <c r="Y448" s="51"/>
      <c r="Z448" s="50"/>
      <c r="AA448" s="50"/>
      <c r="AB448" s="50"/>
      <c r="AC448" s="50"/>
    </row>
    <row r="449" spans="1:29" ht="22" hidden="1" customHeight="1" x14ac:dyDescent="0.2">
      <c r="A449" s="50"/>
      <c r="B449" s="50"/>
      <c r="C449" s="50"/>
      <c r="D449" s="50"/>
      <c r="E449" s="50"/>
      <c r="F449" s="50"/>
      <c r="G449" s="50"/>
      <c r="H449" s="50"/>
      <c r="I449" s="50"/>
      <c r="J449" s="50"/>
      <c r="K449" s="50"/>
      <c r="L449" s="50"/>
      <c r="M449" s="50"/>
      <c r="N449" s="50"/>
      <c r="O449" s="51"/>
      <c r="P449" s="51"/>
      <c r="Q449" s="50"/>
      <c r="R449" s="50"/>
      <c r="S449" s="50"/>
      <c r="T449" s="50"/>
      <c r="U449" s="50"/>
      <c r="V449" s="50"/>
      <c r="W449" s="50"/>
      <c r="X449" s="51"/>
      <c r="Y449" s="51"/>
      <c r="Z449" s="50"/>
      <c r="AA449" s="50"/>
      <c r="AB449" s="50"/>
      <c r="AC449" s="50"/>
    </row>
    <row r="450" spans="1:29" ht="22" hidden="1" customHeight="1" x14ac:dyDescent="0.2">
      <c r="A450" s="50"/>
      <c r="B450" s="50"/>
      <c r="C450" s="50"/>
      <c r="D450" s="50"/>
      <c r="E450" s="50"/>
      <c r="F450" s="50"/>
      <c r="G450" s="50"/>
      <c r="H450" s="50"/>
      <c r="I450" s="50"/>
      <c r="J450" s="50"/>
      <c r="K450" s="50"/>
      <c r="L450" s="50"/>
      <c r="M450" s="50"/>
      <c r="N450" s="50"/>
      <c r="O450" s="51"/>
      <c r="P450" s="51"/>
      <c r="Q450" s="50"/>
      <c r="R450" s="50"/>
      <c r="S450" s="50"/>
      <c r="T450" s="50"/>
      <c r="U450" s="50"/>
      <c r="V450" s="50"/>
      <c r="W450" s="50"/>
      <c r="X450" s="51"/>
      <c r="Y450" s="51"/>
      <c r="Z450" s="50"/>
      <c r="AA450" s="50"/>
      <c r="AB450" s="50"/>
      <c r="AC450" s="50"/>
    </row>
    <row r="451" spans="1:29" ht="22" hidden="1" customHeight="1" x14ac:dyDescent="0.2">
      <c r="A451" s="50"/>
      <c r="B451" s="50"/>
      <c r="C451" s="50"/>
      <c r="D451" s="50"/>
      <c r="E451" s="50"/>
      <c r="F451" s="50"/>
      <c r="G451" s="50"/>
      <c r="H451" s="50"/>
      <c r="I451" s="50"/>
      <c r="J451" s="50"/>
      <c r="K451" s="50"/>
      <c r="L451" s="50"/>
      <c r="M451" s="50"/>
      <c r="N451" s="50"/>
      <c r="O451" s="51"/>
      <c r="P451" s="51"/>
      <c r="Q451" s="50"/>
      <c r="R451" s="50"/>
      <c r="S451" s="50"/>
      <c r="T451" s="50"/>
      <c r="U451" s="50"/>
      <c r="V451" s="50"/>
      <c r="W451" s="50"/>
      <c r="X451" s="51"/>
      <c r="Y451" s="51"/>
      <c r="Z451" s="50"/>
      <c r="AA451" s="50"/>
      <c r="AB451" s="50"/>
      <c r="AC451" s="50"/>
    </row>
    <row r="452" spans="1:29" ht="22" hidden="1" customHeight="1" x14ac:dyDescent="0.2">
      <c r="A452" s="50"/>
      <c r="B452" s="50"/>
      <c r="C452" s="50"/>
      <c r="D452" s="50"/>
      <c r="E452" s="50"/>
      <c r="F452" s="50"/>
      <c r="G452" s="50"/>
      <c r="H452" s="50"/>
      <c r="I452" s="50"/>
      <c r="J452" s="50"/>
      <c r="K452" s="50"/>
      <c r="L452" s="50"/>
      <c r="M452" s="50"/>
      <c r="N452" s="50"/>
      <c r="O452" s="51"/>
      <c r="P452" s="51"/>
      <c r="Q452" s="50"/>
      <c r="R452" s="50"/>
      <c r="S452" s="50"/>
      <c r="T452" s="50"/>
      <c r="U452" s="50"/>
      <c r="V452" s="50"/>
      <c r="W452" s="50"/>
      <c r="X452" s="51"/>
      <c r="Y452" s="51"/>
      <c r="Z452" s="50"/>
      <c r="AA452" s="50"/>
      <c r="AB452" s="50"/>
      <c r="AC452" s="50"/>
    </row>
    <row r="453" spans="1:29" ht="22" hidden="1" customHeight="1" x14ac:dyDescent="0.2">
      <c r="A453" s="50"/>
      <c r="B453" s="50"/>
      <c r="C453" s="50"/>
      <c r="D453" s="50"/>
      <c r="E453" s="50"/>
      <c r="F453" s="50"/>
      <c r="G453" s="50"/>
      <c r="H453" s="50"/>
      <c r="I453" s="50"/>
      <c r="J453" s="50"/>
      <c r="K453" s="50"/>
      <c r="L453" s="50"/>
      <c r="M453" s="50"/>
      <c r="N453" s="50"/>
      <c r="O453" s="51"/>
      <c r="P453" s="51"/>
      <c r="Q453" s="50"/>
      <c r="R453" s="50"/>
      <c r="S453" s="50"/>
      <c r="T453" s="50"/>
      <c r="U453" s="50"/>
      <c r="V453" s="50"/>
      <c r="W453" s="50"/>
      <c r="X453" s="51"/>
      <c r="Y453" s="51"/>
      <c r="Z453" s="50"/>
      <c r="AA453" s="50"/>
      <c r="AB453" s="50"/>
      <c r="AC453" s="50"/>
    </row>
    <row r="454" spans="1:29" ht="22" hidden="1" customHeight="1" x14ac:dyDescent="0.2">
      <c r="A454" s="50"/>
      <c r="B454" s="50"/>
      <c r="C454" s="50"/>
      <c r="D454" s="50"/>
      <c r="E454" s="50"/>
      <c r="F454" s="50"/>
      <c r="G454" s="50"/>
      <c r="H454" s="50"/>
      <c r="I454" s="50"/>
      <c r="J454" s="50"/>
      <c r="K454" s="50"/>
      <c r="L454" s="50"/>
      <c r="M454" s="50"/>
      <c r="N454" s="50"/>
      <c r="O454" s="51"/>
      <c r="P454" s="51"/>
      <c r="Q454" s="50"/>
      <c r="R454" s="50"/>
      <c r="S454" s="50"/>
      <c r="T454" s="50"/>
      <c r="U454" s="50"/>
      <c r="V454" s="50"/>
      <c r="W454" s="50"/>
      <c r="X454" s="51"/>
      <c r="Y454" s="51"/>
      <c r="Z454" s="50"/>
      <c r="AA454" s="50"/>
      <c r="AB454" s="50"/>
      <c r="AC454" s="50"/>
    </row>
    <row r="455" spans="1:29" ht="22" hidden="1" customHeight="1" x14ac:dyDescent="0.2">
      <c r="A455" s="50"/>
      <c r="B455" s="50"/>
      <c r="C455" s="50"/>
      <c r="D455" s="50"/>
      <c r="E455" s="50"/>
      <c r="F455" s="50"/>
      <c r="G455" s="50"/>
      <c r="H455" s="50"/>
      <c r="I455" s="50"/>
      <c r="J455" s="50"/>
      <c r="K455" s="50"/>
      <c r="L455" s="50"/>
      <c r="M455" s="50"/>
      <c r="N455" s="50"/>
      <c r="O455" s="51"/>
      <c r="P455" s="51"/>
      <c r="Q455" s="50"/>
      <c r="R455" s="50"/>
      <c r="S455" s="50"/>
      <c r="T455" s="50"/>
      <c r="U455" s="50"/>
      <c r="V455" s="50"/>
      <c r="W455" s="50"/>
      <c r="X455" s="51"/>
      <c r="Y455" s="51"/>
      <c r="Z455" s="50"/>
      <c r="AA455" s="50"/>
      <c r="AB455" s="50"/>
      <c r="AC455" s="50"/>
    </row>
    <row r="456" spans="1:29" ht="22" hidden="1" customHeight="1" x14ac:dyDescent="0.2">
      <c r="A456" s="50"/>
      <c r="B456" s="50"/>
      <c r="C456" s="50"/>
      <c r="D456" s="50"/>
      <c r="E456" s="50"/>
      <c r="F456" s="50"/>
      <c r="G456" s="50"/>
      <c r="H456" s="50"/>
      <c r="I456" s="50"/>
      <c r="J456" s="50"/>
      <c r="K456" s="50"/>
      <c r="L456" s="50"/>
      <c r="M456" s="50"/>
      <c r="N456" s="50"/>
      <c r="O456" s="51"/>
      <c r="P456" s="51"/>
      <c r="Q456" s="50"/>
      <c r="R456" s="50"/>
      <c r="S456" s="50"/>
      <c r="T456" s="50"/>
      <c r="U456" s="50"/>
      <c r="V456" s="50"/>
      <c r="W456" s="50"/>
      <c r="X456" s="51"/>
      <c r="Y456" s="51"/>
      <c r="Z456" s="50"/>
      <c r="AA456" s="50"/>
      <c r="AB456" s="50"/>
      <c r="AC456" s="50"/>
    </row>
    <row r="457" spans="1:29" ht="22" hidden="1" customHeight="1" x14ac:dyDescent="0.2">
      <c r="A457" s="50"/>
      <c r="B457" s="50"/>
      <c r="C457" s="50"/>
      <c r="D457" s="50"/>
      <c r="E457" s="50"/>
      <c r="F457" s="50"/>
      <c r="G457" s="50"/>
      <c r="H457" s="50"/>
      <c r="I457" s="50"/>
      <c r="J457" s="50"/>
      <c r="K457" s="50"/>
      <c r="L457" s="50"/>
      <c r="M457" s="50"/>
      <c r="N457" s="50"/>
      <c r="O457" s="51"/>
      <c r="P457" s="51"/>
      <c r="Q457" s="50"/>
      <c r="R457" s="50"/>
      <c r="S457" s="50"/>
      <c r="T457" s="50"/>
      <c r="U457" s="50"/>
      <c r="V457" s="50"/>
      <c r="W457" s="50"/>
      <c r="X457" s="51"/>
      <c r="Y457" s="51"/>
      <c r="Z457" s="50"/>
      <c r="AA457" s="50"/>
      <c r="AB457" s="50"/>
      <c r="AC457" s="50"/>
    </row>
    <row r="458" spans="1:29" ht="22" hidden="1" customHeight="1" x14ac:dyDescent="0.2">
      <c r="A458" s="50"/>
      <c r="B458" s="50"/>
      <c r="C458" s="50"/>
      <c r="D458" s="50"/>
      <c r="E458" s="50"/>
      <c r="F458" s="50"/>
      <c r="G458" s="50"/>
      <c r="H458" s="50"/>
      <c r="I458" s="50"/>
      <c r="J458" s="50"/>
      <c r="K458" s="50"/>
      <c r="L458" s="50"/>
      <c r="M458" s="50"/>
      <c r="N458" s="50"/>
      <c r="O458" s="51"/>
      <c r="P458" s="51"/>
      <c r="Q458" s="50"/>
      <c r="R458" s="50"/>
      <c r="S458" s="50"/>
      <c r="T458" s="50"/>
      <c r="U458" s="50"/>
      <c r="V458" s="50"/>
      <c r="W458" s="50"/>
      <c r="X458" s="51"/>
      <c r="Y458" s="51"/>
      <c r="Z458" s="50"/>
      <c r="AA458" s="50"/>
      <c r="AB458" s="50"/>
      <c r="AC458" s="50"/>
    </row>
    <row r="459" spans="1:29" ht="22" hidden="1" customHeight="1" x14ac:dyDescent="0.2">
      <c r="A459" s="50"/>
      <c r="B459" s="50"/>
      <c r="C459" s="50"/>
      <c r="D459" s="50"/>
      <c r="E459" s="50"/>
      <c r="F459" s="50"/>
      <c r="G459" s="50"/>
      <c r="H459" s="50"/>
      <c r="I459" s="50"/>
      <c r="J459" s="50"/>
      <c r="K459" s="50"/>
      <c r="L459" s="50"/>
      <c r="M459" s="50"/>
      <c r="N459" s="50"/>
      <c r="O459" s="51"/>
      <c r="P459" s="51"/>
      <c r="Q459" s="50"/>
      <c r="R459" s="50"/>
      <c r="S459" s="50"/>
      <c r="T459" s="50"/>
      <c r="U459" s="50"/>
      <c r="V459" s="50"/>
      <c r="W459" s="50"/>
      <c r="X459" s="51"/>
      <c r="Y459" s="51"/>
      <c r="Z459" s="50"/>
      <c r="AA459" s="50"/>
      <c r="AB459" s="50"/>
      <c r="AC459" s="50"/>
    </row>
    <row r="460" spans="1:29" ht="22" hidden="1" customHeight="1" x14ac:dyDescent="0.2">
      <c r="A460" s="50"/>
      <c r="B460" s="50"/>
      <c r="C460" s="50"/>
      <c r="D460" s="50"/>
      <c r="E460" s="50"/>
      <c r="F460" s="50"/>
      <c r="G460" s="50"/>
      <c r="H460" s="50"/>
      <c r="I460" s="50"/>
      <c r="J460" s="50"/>
      <c r="K460" s="50"/>
      <c r="L460" s="50"/>
      <c r="M460" s="50"/>
      <c r="N460" s="50"/>
      <c r="O460" s="51"/>
      <c r="P460" s="51"/>
      <c r="Q460" s="50"/>
      <c r="R460" s="50"/>
      <c r="S460" s="50"/>
      <c r="T460" s="50"/>
      <c r="U460" s="50"/>
      <c r="V460" s="50"/>
      <c r="W460" s="50"/>
      <c r="X460" s="51"/>
      <c r="Y460" s="51"/>
      <c r="Z460" s="50"/>
      <c r="AA460" s="50"/>
      <c r="AB460" s="50"/>
      <c r="AC460" s="50"/>
    </row>
    <row r="461" spans="1:29" ht="22" hidden="1" customHeight="1" x14ac:dyDescent="0.2">
      <c r="A461" s="50"/>
      <c r="B461" s="50"/>
      <c r="C461" s="50"/>
      <c r="D461" s="50"/>
      <c r="E461" s="50"/>
      <c r="F461" s="50"/>
      <c r="G461" s="50"/>
      <c r="H461" s="50"/>
      <c r="I461" s="50"/>
      <c r="J461" s="50"/>
      <c r="K461" s="50"/>
      <c r="L461" s="50"/>
      <c r="M461" s="50"/>
      <c r="N461" s="50"/>
      <c r="O461" s="51"/>
      <c r="P461" s="51"/>
      <c r="Q461" s="50"/>
      <c r="R461" s="50"/>
      <c r="S461" s="50"/>
      <c r="T461" s="50"/>
      <c r="U461" s="50"/>
      <c r="V461" s="50"/>
      <c r="W461" s="50"/>
      <c r="X461" s="51"/>
      <c r="Y461" s="51"/>
      <c r="Z461" s="50"/>
      <c r="AA461" s="50"/>
      <c r="AB461" s="50"/>
      <c r="AC461" s="50"/>
    </row>
    <row r="462" spans="1:29" ht="22" hidden="1" customHeight="1" x14ac:dyDescent="0.2">
      <c r="A462" s="50"/>
      <c r="B462" s="50"/>
      <c r="C462" s="50"/>
      <c r="D462" s="50"/>
      <c r="E462" s="50"/>
      <c r="F462" s="50"/>
      <c r="G462" s="50"/>
      <c r="H462" s="50"/>
      <c r="I462" s="50"/>
      <c r="J462" s="50"/>
      <c r="K462" s="50"/>
      <c r="L462" s="50"/>
      <c r="M462" s="50"/>
      <c r="N462" s="50"/>
      <c r="O462" s="51"/>
      <c r="P462" s="51"/>
      <c r="Q462" s="50"/>
      <c r="R462" s="50"/>
      <c r="S462" s="50"/>
      <c r="T462" s="50"/>
      <c r="U462" s="50"/>
      <c r="V462" s="50"/>
      <c r="W462" s="50"/>
      <c r="X462" s="51"/>
      <c r="Y462" s="51"/>
      <c r="Z462" s="50"/>
      <c r="AA462" s="50"/>
      <c r="AB462" s="50"/>
      <c r="AC462" s="50"/>
    </row>
    <row r="463" spans="1:29" ht="22" hidden="1" customHeight="1" x14ac:dyDescent="0.2">
      <c r="A463" s="50"/>
      <c r="B463" s="50"/>
      <c r="C463" s="50"/>
      <c r="D463" s="50"/>
      <c r="E463" s="50"/>
      <c r="F463" s="50"/>
      <c r="G463" s="50"/>
      <c r="H463" s="50"/>
      <c r="I463" s="50"/>
      <c r="J463" s="50"/>
      <c r="K463" s="50"/>
      <c r="L463" s="50"/>
      <c r="M463" s="50"/>
      <c r="N463" s="50"/>
      <c r="O463" s="51"/>
      <c r="P463" s="51"/>
      <c r="Q463" s="50"/>
      <c r="R463" s="50"/>
      <c r="S463" s="50"/>
      <c r="T463" s="50"/>
      <c r="U463" s="50"/>
      <c r="V463" s="50"/>
      <c r="W463" s="50"/>
      <c r="X463" s="51"/>
      <c r="Y463" s="51"/>
      <c r="Z463" s="50"/>
      <c r="AA463" s="50"/>
      <c r="AB463" s="50"/>
      <c r="AC463" s="50"/>
    </row>
    <row r="464" spans="1:29" ht="22" hidden="1" customHeight="1" x14ac:dyDescent="0.2">
      <c r="A464" s="50"/>
      <c r="B464" s="50"/>
      <c r="C464" s="50"/>
      <c r="D464" s="50"/>
      <c r="E464" s="50"/>
      <c r="F464" s="50"/>
      <c r="G464" s="50"/>
      <c r="H464" s="50"/>
      <c r="I464" s="50"/>
      <c r="J464" s="50"/>
      <c r="K464" s="50"/>
      <c r="L464" s="50"/>
      <c r="M464" s="50"/>
      <c r="N464" s="50"/>
      <c r="O464" s="51"/>
      <c r="P464" s="51"/>
      <c r="Q464" s="50"/>
      <c r="R464" s="50"/>
      <c r="S464" s="50"/>
      <c r="T464" s="50"/>
      <c r="U464" s="50"/>
      <c r="V464" s="50"/>
      <c r="W464" s="50"/>
      <c r="X464" s="51"/>
      <c r="Y464" s="51"/>
      <c r="Z464" s="50"/>
      <c r="AA464" s="50"/>
      <c r="AB464" s="50"/>
      <c r="AC464" s="50"/>
    </row>
    <row r="465" spans="1:29" ht="22" hidden="1" customHeight="1" x14ac:dyDescent="0.2">
      <c r="A465" s="50"/>
      <c r="B465" s="50"/>
      <c r="C465" s="50"/>
      <c r="D465" s="50"/>
      <c r="E465" s="50"/>
      <c r="F465" s="50"/>
      <c r="G465" s="50"/>
      <c r="H465" s="50"/>
      <c r="I465" s="50"/>
      <c r="J465" s="50"/>
      <c r="K465" s="50"/>
      <c r="L465" s="50"/>
      <c r="M465" s="50"/>
      <c r="N465" s="50"/>
      <c r="O465" s="51"/>
      <c r="P465" s="51"/>
      <c r="Q465" s="50"/>
      <c r="R465" s="50"/>
      <c r="S465" s="50"/>
      <c r="T465" s="50"/>
      <c r="U465" s="50"/>
      <c r="V465" s="50"/>
      <c r="W465" s="50"/>
      <c r="X465" s="51"/>
      <c r="Y465" s="51"/>
      <c r="Z465" s="50"/>
      <c r="AA465" s="50"/>
      <c r="AB465" s="50"/>
      <c r="AC465" s="50"/>
    </row>
    <row r="466" spans="1:29" ht="22" hidden="1" customHeight="1" x14ac:dyDescent="0.2">
      <c r="A466" s="50"/>
      <c r="B466" s="50"/>
      <c r="C466" s="50"/>
      <c r="D466" s="50"/>
      <c r="E466" s="50"/>
      <c r="F466" s="50"/>
      <c r="G466" s="50"/>
      <c r="H466" s="50"/>
      <c r="I466" s="50"/>
      <c r="J466" s="50"/>
      <c r="K466" s="50"/>
      <c r="L466" s="50"/>
      <c r="M466" s="50"/>
      <c r="N466" s="50"/>
      <c r="O466" s="51"/>
      <c r="P466" s="51"/>
      <c r="Q466" s="50"/>
      <c r="R466" s="50"/>
      <c r="S466" s="50"/>
      <c r="T466" s="50"/>
      <c r="U466" s="50"/>
      <c r="V466" s="50"/>
      <c r="W466" s="50"/>
      <c r="X466" s="51"/>
      <c r="Y466" s="51"/>
      <c r="Z466" s="50"/>
      <c r="AA466" s="50"/>
      <c r="AB466" s="50"/>
      <c r="AC466" s="50"/>
    </row>
    <row r="467" spans="1:29" ht="22" hidden="1" customHeight="1" x14ac:dyDescent="0.2">
      <c r="A467" s="50"/>
      <c r="B467" s="50"/>
      <c r="C467" s="50"/>
      <c r="D467" s="50"/>
      <c r="E467" s="50"/>
      <c r="F467" s="50"/>
      <c r="G467" s="50"/>
      <c r="H467" s="50"/>
      <c r="I467" s="50"/>
      <c r="J467" s="50"/>
      <c r="K467" s="50"/>
      <c r="L467" s="50"/>
      <c r="M467" s="50"/>
      <c r="N467" s="50"/>
      <c r="O467" s="51"/>
      <c r="P467" s="51"/>
      <c r="Q467" s="50"/>
      <c r="R467" s="50"/>
      <c r="S467" s="50"/>
      <c r="T467" s="50"/>
      <c r="U467" s="50"/>
      <c r="V467" s="50"/>
      <c r="W467" s="50"/>
      <c r="X467" s="51"/>
      <c r="Y467" s="51"/>
      <c r="Z467" s="50"/>
      <c r="AA467" s="50"/>
      <c r="AB467" s="50"/>
      <c r="AC467" s="50"/>
    </row>
    <row r="468" spans="1:29" ht="22" hidden="1" customHeight="1" x14ac:dyDescent="0.2">
      <c r="A468" s="50"/>
      <c r="B468" s="50"/>
      <c r="C468" s="50"/>
      <c r="D468" s="50"/>
      <c r="E468" s="50"/>
      <c r="F468" s="50"/>
      <c r="G468" s="50"/>
      <c r="H468" s="50"/>
      <c r="I468" s="50"/>
      <c r="J468" s="50"/>
      <c r="K468" s="50"/>
      <c r="L468" s="50"/>
      <c r="M468" s="50"/>
      <c r="N468" s="50"/>
      <c r="O468" s="51"/>
      <c r="P468" s="51"/>
      <c r="Q468" s="50"/>
      <c r="R468" s="50"/>
      <c r="S468" s="50"/>
      <c r="T468" s="50"/>
      <c r="U468" s="50"/>
      <c r="V468" s="50"/>
      <c r="W468" s="50"/>
      <c r="X468" s="51"/>
      <c r="Y468" s="51"/>
      <c r="Z468" s="50"/>
      <c r="AA468" s="50"/>
      <c r="AB468" s="50"/>
      <c r="AC468" s="50"/>
    </row>
    <row r="469" spans="1:29" ht="22" hidden="1" customHeight="1" x14ac:dyDescent="0.2">
      <c r="A469" s="50"/>
      <c r="B469" s="50"/>
      <c r="C469" s="50"/>
      <c r="D469" s="50"/>
      <c r="E469" s="50"/>
      <c r="F469" s="50"/>
      <c r="G469" s="50"/>
      <c r="H469" s="50"/>
      <c r="I469" s="50"/>
      <c r="J469" s="50"/>
      <c r="K469" s="50"/>
      <c r="L469" s="50"/>
      <c r="M469" s="50"/>
      <c r="N469" s="50"/>
      <c r="O469" s="51"/>
      <c r="P469" s="51"/>
      <c r="Q469" s="50"/>
      <c r="R469" s="50"/>
      <c r="S469" s="50"/>
      <c r="T469" s="50"/>
      <c r="U469" s="50"/>
      <c r="V469" s="50"/>
      <c r="W469" s="50"/>
      <c r="X469" s="51"/>
      <c r="Y469" s="51"/>
      <c r="Z469" s="50"/>
      <c r="AA469" s="50"/>
      <c r="AB469" s="50"/>
      <c r="AC469" s="50"/>
    </row>
    <row r="470" spans="1:29" ht="22" hidden="1" customHeight="1" x14ac:dyDescent="0.2">
      <c r="A470" s="50"/>
      <c r="B470" s="50"/>
      <c r="C470" s="50"/>
      <c r="D470" s="50"/>
      <c r="E470" s="50"/>
      <c r="F470" s="50"/>
      <c r="G470" s="50"/>
      <c r="H470" s="50"/>
      <c r="I470" s="50"/>
      <c r="J470" s="50"/>
      <c r="K470" s="50"/>
      <c r="L470" s="50"/>
      <c r="M470" s="50"/>
      <c r="N470" s="50"/>
      <c r="O470" s="51"/>
      <c r="P470" s="51"/>
      <c r="Q470" s="50"/>
      <c r="R470" s="50"/>
      <c r="S470" s="50"/>
      <c r="T470" s="50"/>
      <c r="U470" s="50"/>
      <c r="V470" s="50"/>
      <c r="W470" s="50"/>
      <c r="X470" s="51"/>
      <c r="Y470" s="51"/>
      <c r="Z470" s="50"/>
      <c r="AA470" s="50"/>
      <c r="AB470" s="50"/>
      <c r="AC470" s="50"/>
    </row>
    <row r="471" spans="1:29" ht="22" hidden="1" customHeight="1" x14ac:dyDescent="0.2">
      <c r="A471" s="50"/>
      <c r="B471" s="50"/>
      <c r="C471" s="50"/>
      <c r="D471" s="50"/>
      <c r="E471" s="50"/>
      <c r="F471" s="50"/>
      <c r="G471" s="50"/>
      <c r="H471" s="50"/>
      <c r="I471" s="50"/>
      <c r="J471" s="50"/>
      <c r="K471" s="50"/>
      <c r="L471" s="50"/>
      <c r="M471" s="50"/>
      <c r="N471" s="50"/>
      <c r="O471" s="51"/>
      <c r="P471" s="51"/>
      <c r="Q471" s="50"/>
      <c r="R471" s="50"/>
      <c r="S471" s="50"/>
      <c r="T471" s="50"/>
      <c r="U471" s="50"/>
      <c r="V471" s="50"/>
      <c r="W471" s="50"/>
      <c r="X471" s="51"/>
      <c r="Y471" s="51"/>
      <c r="Z471" s="50"/>
      <c r="AA471" s="50"/>
      <c r="AB471" s="50"/>
      <c r="AC471" s="50"/>
    </row>
    <row r="472" spans="1:29" ht="22" hidden="1" customHeight="1" x14ac:dyDescent="0.2">
      <c r="A472" s="50"/>
      <c r="B472" s="50"/>
      <c r="C472" s="50"/>
      <c r="D472" s="50"/>
      <c r="E472" s="50"/>
      <c r="F472" s="50"/>
      <c r="G472" s="50"/>
      <c r="H472" s="50"/>
      <c r="I472" s="50"/>
      <c r="J472" s="50"/>
      <c r="K472" s="50"/>
      <c r="L472" s="50"/>
      <c r="M472" s="50"/>
      <c r="N472" s="50"/>
      <c r="O472" s="51"/>
      <c r="P472" s="51"/>
      <c r="Q472" s="50"/>
      <c r="R472" s="50"/>
      <c r="S472" s="50"/>
      <c r="T472" s="50"/>
      <c r="U472" s="50"/>
      <c r="V472" s="50"/>
      <c r="W472" s="50"/>
      <c r="X472" s="51"/>
      <c r="Y472" s="51"/>
      <c r="Z472" s="50"/>
      <c r="AA472" s="50"/>
      <c r="AB472" s="50"/>
      <c r="AC472" s="50"/>
    </row>
    <row r="473" spans="1:29" ht="22" hidden="1" customHeight="1" x14ac:dyDescent="0.2">
      <c r="A473" s="50"/>
      <c r="B473" s="50"/>
      <c r="C473" s="50"/>
      <c r="D473" s="50"/>
      <c r="E473" s="50"/>
      <c r="F473" s="50"/>
      <c r="G473" s="50"/>
      <c r="H473" s="50"/>
      <c r="I473" s="50"/>
      <c r="J473" s="50"/>
      <c r="K473" s="50"/>
      <c r="L473" s="50"/>
      <c r="M473" s="50"/>
      <c r="N473" s="50"/>
      <c r="O473" s="51"/>
      <c r="P473" s="51"/>
      <c r="Q473" s="50"/>
      <c r="R473" s="50"/>
      <c r="S473" s="50"/>
      <c r="T473" s="50"/>
      <c r="U473" s="50"/>
      <c r="V473" s="50"/>
      <c r="W473" s="50"/>
      <c r="X473" s="51"/>
      <c r="Y473" s="51"/>
      <c r="Z473" s="50"/>
      <c r="AA473" s="50"/>
      <c r="AB473" s="50"/>
      <c r="AC473" s="50"/>
    </row>
    <row r="474" spans="1:29" ht="22" hidden="1" customHeight="1" x14ac:dyDescent="0.2">
      <c r="A474" s="50"/>
      <c r="B474" s="50"/>
      <c r="C474" s="50"/>
      <c r="D474" s="50"/>
      <c r="E474" s="50"/>
      <c r="F474" s="50"/>
      <c r="G474" s="50"/>
      <c r="H474" s="50"/>
      <c r="I474" s="50"/>
      <c r="J474" s="50"/>
      <c r="K474" s="50"/>
      <c r="L474" s="50"/>
      <c r="M474" s="50"/>
      <c r="N474" s="50"/>
      <c r="O474" s="51"/>
      <c r="P474" s="51"/>
      <c r="Q474" s="50"/>
      <c r="R474" s="50"/>
      <c r="S474" s="50"/>
      <c r="T474" s="50"/>
      <c r="U474" s="50"/>
      <c r="V474" s="50"/>
      <c r="W474" s="50"/>
      <c r="X474" s="51"/>
      <c r="Y474" s="51"/>
      <c r="Z474" s="50"/>
      <c r="AA474" s="50"/>
      <c r="AB474" s="50"/>
      <c r="AC474" s="50"/>
    </row>
    <row r="475" spans="1:29" ht="22" hidden="1" customHeight="1" x14ac:dyDescent="0.2">
      <c r="A475" s="50"/>
      <c r="B475" s="50"/>
      <c r="C475" s="50"/>
      <c r="D475" s="50"/>
      <c r="E475" s="50"/>
      <c r="F475" s="50"/>
      <c r="G475" s="50"/>
      <c r="H475" s="50"/>
      <c r="I475" s="50"/>
      <c r="J475" s="50"/>
      <c r="K475" s="50"/>
      <c r="L475" s="50"/>
      <c r="M475" s="50"/>
      <c r="N475" s="50"/>
      <c r="O475" s="51"/>
      <c r="P475" s="51"/>
      <c r="Q475" s="50"/>
      <c r="R475" s="50"/>
      <c r="S475" s="50"/>
      <c r="T475" s="50"/>
      <c r="U475" s="50"/>
      <c r="V475" s="50"/>
      <c r="W475" s="50"/>
      <c r="X475" s="51"/>
      <c r="Y475" s="51"/>
      <c r="Z475" s="50"/>
      <c r="AA475" s="50"/>
      <c r="AB475" s="50"/>
      <c r="AC475" s="50"/>
    </row>
    <row r="476" spans="1:29" ht="22" hidden="1" customHeight="1" x14ac:dyDescent="0.2">
      <c r="A476" s="50"/>
      <c r="B476" s="50"/>
      <c r="C476" s="50"/>
      <c r="D476" s="50"/>
      <c r="E476" s="50"/>
      <c r="F476" s="50"/>
      <c r="G476" s="50"/>
      <c r="H476" s="50"/>
      <c r="I476" s="50"/>
      <c r="J476" s="50"/>
      <c r="K476" s="50"/>
      <c r="L476" s="50"/>
      <c r="M476" s="50"/>
      <c r="N476" s="50"/>
      <c r="O476" s="51"/>
      <c r="P476" s="51"/>
      <c r="Q476" s="50"/>
      <c r="R476" s="50"/>
      <c r="S476" s="50"/>
      <c r="T476" s="50"/>
      <c r="U476" s="50"/>
      <c r="V476" s="50"/>
      <c r="W476" s="50"/>
      <c r="X476" s="51"/>
      <c r="Y476" s="51"/>
      <c r="Z476" s="50"/>
      <c r="AA476" s="50"/>
      <c r="AB476" s="50"/>
      <c r="AC476" s="50"/>
    </row>
    <row r="477" spans="1:29" ht="22" hidden="1" customHeight="1" x14ac:dyDescent="0.2">
      <c r="A477" s="50"/>
      <c r="B477" s="50"/>
      <c r="C477" s="50"/>
      <c r="D477" s="50"/>
      <c r="E477" s="50"/>
      <c r="F477" s="50"/>
      <c r="G477" s="50"/>
      <c r="H477" s="50"/>
      <c r="I477" s="50"/>
      <c r="J477" s="50"/>
      <c r="K477" s="50"/>
      <c r="L477" s="50"/>
      <c r="M477" s="50"/>
      <c r="N477" s="50"/>
      <c r="O477" s="51"/>
      <c r="P477" s="51"/>
      <c r="Q477" s="50"/>
      <c r="R477" s="50"/>
      <c r="S477" s="50"/>
      <c r="T477" s="50"/>
      <c r="U477" s="50"/>
      <c r="V477" s="50"/>
      <c r="W477" s="50"/>
      <c r="X477" s="51"/>
      <c r="Y477" s="51"/>
      <c r="Z477" s="50"/>
      <c r="AA477" s="50"/>
      <c r="AB477" s="50"/>
      <c r="AC477" s="50"/>
    </row>
    <row r="478" spans="1:29" ht="22" hidden="1" customHeight="1" x14ac:dyDescent="0.2">
      <c r="A478" s="50"/>
      <c r="B478" s="50"/>
      <c r="C478" s="50"/>
      <c r="D478" s="50"/>
      <c r="E478" s="50"/>
      <c r="F478" s="50"/>
      <c r="G478" s="50"/>
      <c r="H478" s="50"/>
      <c r="I478" s="50"/>
      <c r="J478" s="50"/>
      <c r="K478" s="50"/>
      <c r="L478" s="50"/>
      <c r="M478" s="50"/>
      <c r="N478" s="50"/>
      <c r="O478" s="51"/>
      <c r="P478" s="51"/>
      <c r="Q478" s="50"/>
      <c r="R478" s="50"/>
      <c r="S478" s="50"/>
      <c r="T478" s="50"/>
      <c r="U478" s="50"/>
      <c r="V478" s="50"/>
      <c r="W478" s="50"/>
      <c r="X478" s="51"/>
      <c r="Y478" s="51"/>
      <c r="Z478" s="50"/>
      <c r="AA478" s="50"/>
      <c r="AB478" s="50"/>
      <c r="AC478" s="50"/>
    </row>
    <row r="479" spans="1:29" ht="22" hidden="1" customHeight="1" x14ac:dyDescent="0.2">
      <c r="A479" s="50"/>
      <c r="B479" s="50"/>
      <c r="C479" s="50"/>
      <c r="D479" s="50"/>
      <c r="E479" s="50"/>
      <c r="F479" s="50"/>
      <c r="G479" s="50"/>
      <c r="H479" s="50"/>
      <c r="I479" s="50"/>
      <c r="J479" s="50"/>
      <c r="K479" s="50"/>
      <c r="L479" s="50"/>
      <c r="M479" s="50"/>
      <c r="N479" s="50"/>
      <c r="O479" s="51"/>
      <c r="P479" s="51"/>
      <c r="Q479" s="50"/>
      <c r="R479" s="50"/>
      <c r="S479" s="50"/>
      <c r="T479" s="50"/>
      <c r="U479" s="50"/>
      <c r="V479" s="50"/>
      <c r="W479" s="50"/>
      <c r="X479" s="51"/>
      <c r="Y479" s="51"/>
      <c r="Z479" s="50"/>
      <c r="AA479" s="50"/>
      <c r="AB479" s="50"/>
      <c r="AC479" s="50"/>
    </row>
    <row r="480" spans="1:29" ht="22" hidden="1" customHeight="1" x14ac:dyDescent="0.2">
      <c r="A480" s="50"/>
      <c r="B480" s="50"/>
      <c r="C480" s="50"/>
      <c r="D480" s="50"/>
      <c r="E480" s="50"/>
      <c r="F480" s="50"/>
      <c r="G480" s="50"/>
      <c r="H480" s="50"/>
      <c r="I480" s="50"/>
      <c r="J480" s="50"/>
      <c r="K480" s="50"/>
      <c r="L480" s="50"/>
      <c r="M480" s="50"/>
      <c r="N480" s="50"/>
      <c r="O480" s="51"/>
      <c r="P480" s="51"/>
      <c r="Q480" s="50"/>
      <c r="R480" s="50"/>
      <c r="S480" s="50"/>
      <c r="T480" s="50"/>
      <c r="U480" s="50"/>
      <c r="V480" s="50"/>
      <c r="W480" s="50"/>
      <c r="X480" s="51"/>
      <c r="Y480" s="51"/>
      <c r="Z480" s="50"/>
      <c r="AA480" s="50"/>
      <c r="AB480" s="50"/>
      <c r="AC480" s="50"/>
    </row>
    <row r="481" spans="1:29" ht="22" hidden="1" customHeight="1" x14ac:dyDescent="0.2">
      <c r="A481" s="50"/>
      <c r="B481" s="50"/>
      <c r="C481" s="50"/>
      <c r="D481" s="50"/>
      <c r="E481" s="50"/>
      <c r="F481" s="50"/>
      <c r="G481" s="50"/>
      <c r="H481" s="50"/>
      <c r="I481" s="50"/>
      <c r="J481" s="50"/>
      <c r="K481" s="50"/>
      <c r="L481" s="50"/>
      <c r="M481" s="50"/>
      <c r="N481" s="50"/>
      <c r="O481" s="51"/>
      <c r="P481" s="51"/>
      <c r="Q481" s="50"/>
      <c r="R481" s="50"/>
      <c r="S481" s="50"/>
      <c r="T481" s="50"/>
      <c r="U481" s="50"/>
      <c r="V481" s="50"/>
      <c r="W481" s="50"/>
      <c r="X481" s="51"/>
      <c r="Y481" s="51"/>
      <c r="Z481" s="50"/>
      <c r="AA481" s="50"/>
      <c r="AB481" s="50"/>
      <c r="AC481" s="50"/>
    </row>
    <row r="482" spans="1:29" ht="22" hidden="1" customHeight="1" x14ac:dyDescent="0.2">
      <c r="A482" s="50"/>
      <c r="B482" s="50"/>
      <c r="C482" s="50"/>
      <c r="D482" s="50"/>
      <c r="E482" s="50"/>
      <c r="F482" s="50"/>
      <c r="G482" s="50"/>
      <c r="H482" s="50"/>
      <c r="I482" s="50"/>
      <c r="J482" s="50"/>
      <c r="K482" s="50"/>
      <c r="L482" s="50"/>
      <c r="M482" s="50"/>
      <c r="N482" s="50"/>
      <c r="O482" s="51"/>
      <c r="P482" s="51"/>
      <c r="Q482" s="50"/>
      <c r="R482" s="50"/>
      <c r="S482" s="50"/>
      <c r="T482" s="50"/>
      <c r="U482" s="50"/>
      <c r="V482" s="50"/>
      <c r="W482" s="50"/>
      <c r="X482" s="51"/>
      <c r="Y482" s="51"/>
      <c r="Z482" s="50"/>
      <c r="AA482" s="50"/>
      <c r="AB482" s="50"/>
      <c r="AC482" s="50"/>
    </row>
    <row r="483" spans="1:29" ht="22" hidden="1" customHeight="1" x14ac:dyDescent="0.2">
      <c r="A483" s="50"/>
      <c r="B483" s="50"/>
      <c r="C483" s="50"/>
      <c r="D483" s="50"/>
      <c r="E483" s="50"/>
      <c r="F483" s="50"/>
      <c r="G483" s="50"/>
      <c r="H483" s="50"/>
      <c r="I483" s="50"/>
      <c r="J483" s="50"/>
      <c r="K483" s="50"/>
      <c r="L483" s="50"/>
      <c r="M483" s="50"/>
      <c r="N483" s="50"/>
      <c r="O483" s="51"/>
      <c r="P483" s="51"/>
      <c r="Q483" s="50"/>
      <c r="R483" s="50"/>
      <c r="S483" s="50"/>
      <c r="T483" s="50"/>
      <c r="U483" s="50"/>
      <c r="V483" s="50"/>
      <c r="W483" s="50"/>
      <c r="X483" s="51"/>
      <c r="Y483" s="51"/>
      <c r="Z483" s="50"/>
      <c r="AA483" s="50"/>
      <c r="AB483" s="50"/>
      <c r="AC483" s="50"/>
    </row>
    <row r="484" spans="1:29" ht="22" hidden="1" customHeight="1" x14ac:dyDescent="0.2">
      <c r="A484" s="50"/>
      <c r="B484" s="50"/>
      <c r="C484" s="50"/>
      <c r="D484" s="50"/>
      <c r="E484" s="50"/>
      <c r="F484" s="50"/>
      <c r="G484" s="50"/>
      <c r="H484" s="50"/>
      <c r="I484" s="50"/>
      <c r="J484" s="50"/>
      <c r="K484" s="50"/>
      <c r="L484" s="50"/>
      <c r="M484" s="50"/>
      <c r="N484" s="50"/>
      <c r="O484" s="51"/>
      <c r="P484" s="51"/>
      <c r="Q484" s="50"/>
      <c r="R484" s="50"/>
      <c r="S484" s="50"/>
      <c r="T484" s="50"/>
      <c r="U484" s="50"/>
      <c r="V484" s="50"/>
      <c r="W484" s="50"/>
      <c r="X484" s="51"/>
      <c r="Y484" s="51"/>
      <c r="Z484" s="50"/>
      <c r="AA484" s="50"/>
      <c r="AB484" s="50"/>
      <c r="AC484" s="50"/>
    </row>
    <row r="485" spans="1:29" ht="22" hidden="1" customHeight="1" x14ac:dyDescent="0.2">
      <c r="A485" s="50"/>
      <c r="B485" s="50"/>
      <c r="C485" s="50"/>
      <c r="D485" s="50"/>
      <c r="E485" s="50"/>
      <c r="F485" s="50"/>
      <c r="G485" s="50"/>
      <c r="H485" s="50"/>
      <c r="I485" s="50"/>
      <c r="J485" s="50"/>
      <c r="K485" s="50"/>
      <c r="L485" s="50"/>
      <c r="M485" s="50"/>
      <c r="N485" s="50"/>
      <c r="O485" s="51"/>
      <c r="P485" s="51"/>
      <c r="Q485" s="50"/>
      <c r="R485" s="50"/>
      <c r="S485" s="50"/>
      <c r="T485" s="50"/>
      <c r="U485" s="50"/>
      <c r="V485" s="50"/>
      <c r="W485" s="50"/>
      <c r="X485" s="51"/>
      <c r="Y485" s="51"/>
      <c r="Z485" s="50"/>
      <c r="AA485" s="50"/>
      <c r="AB485" s="50"/>
      <c r="AC485" s="50"/>
    </row>
    <row r="486" spans="1:29" ht="22" hidden="1" customHeight="1" x14ac:dyDescent="0.2">
      <c r="A486" s="50"/>
      <c r="B486" s="50"/>
      <c r="C486" s="50"/>
      <c r="D486" s="50"/>
      <c r="E486" s="50"/>
      <c r="F486" s="50"/>
      <c r="G486" s="50"/>
      <c r="H486" s="50"/>
      <c r="I486" s="50"/>
      <c r="J486" s="50"/>
      <c r="K486" s="50"/>
      <c r="L486" s="50"/>
      <c r="M486" s="50"/>
      <c r="N486" s="50"/>
      <c r="O486" s="51"/>
      <c r="P486" s="51"/>
      <c r="Q486" s="50"/>
      <c r="R486" s="50"/>
      <c r="S486" s="50"/>
      <c r="T486" s="50"/>
      <c r="U486" s="50"/>
      <c r="V486" s="50"/>
      <c r="W486" s="50"/>
      <c r="X486" s="51"/>
      <c r="Y486" s="51"/>
      <c r="Z486" s="50"/>
      <c r="AA486" s="50"/>
      <c r="AB486" s="50"/>
      <c r="AC486" s="50"/>
    </row>
    <row r="487" spans="1:29" ht="22" hidden="1" customHeight="1" x14ac:dyDescent="0.2">
      <c r="A487" s="50"/>
      <c r="B487" s="50"/>
      <c r="C487" s="50"/>
      <c r="D487" s="50"/>
      <c r="E487" s="50"/>
      <c r="F487" s="50"/>
      <c r="G487" s="50"/>
      <c r="H487" s="50"/>
      <c r="I487" s="50"/>
      <c r="J487" s="50"/>
      <c r="K487" s="50"/>
      <c r="L487" s="50"/>
      <c r="M487" s="50"/>
      <c r="N487" s="50"/>
      <c r="O487" s="51"/>
      <c r="P487" s="51"/>
      <c r="Q487" s="50"/>
      <c r="R487" s="50"/>
      <c r="S487" s="50"/>
      <c r="T487" s="50"/>
      <c r="U487" s="50"/>
      <c r="V487" s="50"/>
      <c r="W487" s="50"/>
      <c r="X487" s="51"/>
      <c r="Y487" s="51"/>
      <c r="Z487" s="50"/>
      <c r="AA487" s="50"/>
      <c r="AB487" s="50"/>
      <c r="AC487" s="50"/>
    </row>
    <row r="488" spans="1:29" ht="22" hidden="1" customHeight="1" x14ac:dyDescent="0.2">
      <c r="A488" s="50"/>
      <c r="B488" s="50"/>
      <c r="C488" s="50"/>
      <c r="D488" s="50"/>
      <c r="E488" s="50"/>
      <c r="F488" s="50"/>
      <c r="G488" s="50"/>
      <c r="H488" s="50"/>
      <c r="I488" s="50"/>
      <c r="J488" s="50"/>
      <c r="K488" s="50"/>
      <c r="L488" s="50"/>
      <c r="M488" s="50"/>
      <c r="N488" s="50"/>
      <c r="O488" s="51"/>
      <c r="P488" s="51"/>
      <c r="Q488" s="50"/>
      <c r="R488" s="50"/>
      <c r="S488" s="50"/>
      <c r="T488" s="50"/>
      <c r="U488" s="50"/>
      <c r="V488" s="50"/>
      <c r="W488" s="50"/>
      <c r="X488" s="51"/>
      <c r="Y488" s="51"/>
      <c r="Z488" s="50"/>
      <c r="AA488" s="50"/>
      <c r="AB488" s="50"/>
      <c r="AC488" s="50"/>
    </row>
    <row r="489" spans="1:29" ht="22" hidden="1" customHeight="1" x14ac:dyDescent="0.2">
      <c r="A489" s="50"/>
      <c r="B489" s="50"/>
      <c r="C489" s="50"/>
      <c r="D489" s="50"/>
      <c r="E489" s="50"/>
      <c r="F489" s="50"/>
      <c r="G489" s="50"/>
      <c r="H489" s="50"/>
      <c r="I489" s="50"/>
      <c r="J489" s="50"/>
      <c r="K489" s="50"/>
      <c r="L489" s="50"/>
      <c r="M489" s="50"/>
      <c r="N489" s="50"/>
      <c r="O489" s="51"/>
      <c r="P489" s="51"/>
      <c r="Q489" s="50"/>
      <c r="R489" s="50"/>
      <c r="S489" s="50"/>
      <c r="T489" s="50"/>
      <c r="U489" s="50"/>
      <c r="V489" s="50"/>
      <c r="W489" s="50"/>
      <c r="X489" s="51"/>
      <c r="Y489" s="51"/>
      <c r="Z489" s="50"/>
      <c r="AA489" s="50"/>
      <c r="AB489" s="50"/>
      <c r="AC489" s="50"/>
    </row>
    <row r="490" spans="1:29" ht="22" hidden="1" customHeight="1" x14ac:dyDescent="0.2">
      <c r="A490" s="50"/>
      <c r="B490" s="50"/>
      <c r="C490" s="50"/>
      <c r="D490" s="50"/>
      <c r="E490" s="50"/>
      <c r="F490" s="50"/>
      <c r="G490" s="50"/>
      <c r="H490" s="50"/>
      <c r="I490" s="50"/>
      <c r="J490" s="50"/>
      <c r="K490" s="50"/>
      <c r="L490" s="50"/>
      <c r="M490" s="50"/>
      <c r="N490" s="50"/>
      <c r="O490" s="51"/>
      <c r="P490" s="51"/>
      <c r="Q490" s="50"/>
      <c r="R490" s="50"/>
      <c r="S490" s="50"/>
      <c r="T490" s="50"/>
      <c r="U490" s="50"/>
      <c r="V490" s="50"/>
      <c r="W490" s="50"/>
      <c r="X490" s="51"/>
      <c r="Y490" s="51"/>
      <c r="Z490" s="50"/>
      <c r="AA490" s="50"/>
      <c r="AB490" s="50"/>
      <c r="AC490" s="50"/>
    </row>
    <row r="491" spans="1:29" ht="22" hidden="1" customHeight="1" x14ac:dyDescent="0.2">
      <c r="A491" s="50"/>
      <c r="B491" s="50"/>
      <c r="C491" s="50"/>
      <c r="D491" s="50"/>
      <c r="E491" s="50"/>
      <c r="F491" s="50"/>
      <c r="G491" s="50"/>
      <c r="H491" s="50"/>
      <c r="I491" s="50"/>
      <c r="J491" s="50"/>
      <c r="K491" s="50"/>
      <c r="L491" s="50"/>
      <c r="M491" s="50"/>
      <c r="N491" s="50"/>
      <c r="O491" s="51"/>
      <c r="P491" s="51"/>
      <c r="Q491" s="50"/>
      <c r="R491" s="50"/>
      <c r="S491" s="50"/>
      <c r="T491" s="50"/>
      <c r="U491" s="50"/>
      <c r="V491" s="50"/>
      <c r="W491" s="50"/>
      <c r="X491" s="51"/>
      <c r="Y491" s="51"/>
      <c r="Z491" s="50"/>
      <c r="AA491" s="50"/>
      <c r="AB491" s="50"/>
      <c r="AC491" s="50"/>
    </row>
    <row r="492" spans="1:29" ht="22" hidden="1" customHeight="1" x14ac:dyDescent="0.2">
      <c r="A492" s="50"/>
      <c r="B492" s="50"/>
      <c r="C492" s="50"/>
      <c r="D492" s="50"/>
      <c r="E492" s="50"/>
      <c r="F492" s="50"/>
      <c r="G492" s="50"/>
      <c r="H492" s="50"/>
      <c r="I492" s="50"/>
      <c r="J492" s="50"/>
      <c r="K492" s="50"/>
      <c r="L492" s="50"/>
      <c r="M492" s="50"/>
      <c r="N492" s="50"/>
      <c r="O492" s="51"/>
      <c r="P492" s="51"/>
      <c r="Q492" s="50"/>
      <c r="R492" s="50"/>
      <c r="S492" s="50"/>
      <c r="T492" s="50"/>
      <c r="U492" s="50"/>
      <c r="V492" s="50"/>
      <c r="W492" s="50"/>
      <c r="X492" s="51"/>
      <c r="Y492" s="51"/>
      <c r="Z492" s="50"/>
      <c r="AA492" s="50"/>
      <c r="AB492" s="50"/>
      <c r="AC492" s="50"/>
    </row>
    <row r="493" spans="1:29" ht="22" hidden="1" customHeight="1" x14ac:dyDescent="0.2">
      <c r="A493" s="50"/>
      <c r="B493" s="50"/>
      <c r="C493" s="50"/>
      <c r="D493" s="50"/>
      <c r="E493" s="50"/>
      <c r="F493" s="50"/>
      <c r="G493" s="50"/>
      <c r="H493" s="50"/>
      <c r="I493" s="50"/>
      <c r="J493" s="50"/>
      <c r="K493" s="50"/>
      <c r="L493" s="50"/>
      <c r="M493" s="50"/>
      <c r="N493" s="50"/>
      <c r="O493" s="51"/>
      <c r="P493" s="51"/>
      <c r="Q493" s="50"/>
      <c r="R493" s="50"/>
      <c r="S493" s="50"/>
      <c r="T493" s="50"/>
      <c r="U493" s="50"/>
      <c r="V493" s="50"/>
      <c r="W493" s="50"/>
      <c r="X493" s="51"/>
      <c r="Y493" s="51"/>
      <c r="Z493" s="50"/>
      <c r="AA493" s="50"/>
      <c r="AB493" s="50"/>
      <c r="AC493" s="50"/>
    </row>
    <row r="494" spans="1:29" ht="22" hidden="1" customHeight="1" x14ac:dyDescent="0.2">
      <c r="A494" s="50"/>
      <c r="B494" s="50"/>
      <c r="C494" s="50"/>
      <c r="D494" s="50"/>
      <c r="E494" s="50"/>
      <c r="F494" s="50"/>
      <c r="G494" s="50"/>
      <c r="H494" s="50"/>
      <c r="I494" s="50"/>
      <c r="J494" s="50"/>
      <c r="K494" s="50"/>
      <c r="L494" s="50"/>
      <c r="M494" s="50"/>
      <c r="N494" s="50"/>
      <c r="O494" s="51"/>
      <c r="P494" s="51"/>
      <c r="Q494" s="50"/>
      <c r="R494" s="50"/>
      <c r="S494" s="50"/>
      <c r="T494" s="50"/>
      <c r="U494" s="50"/>
      <c r="V494" s="50"/>
      <c r="W494" s="50"/>
      <c r="X494" s="51"/>
      <c r="Y494" s="51"/>
      <c r="Z494" s="50"/>
      <c r="AA494" s="50"/>
      <c r="AB494" s="50"/>
      <c r="AC494" s="50"/>
    </row>
    <row r="495" spans="1:29" ht="22" hidden="1" customHeight="1" x14ac:dyDescent="0.2">
      <c r="A495" s="50"/>
      <c r="B495" s="50"/>
      <c r="C495" s="50"/>
      <c r="D495" s="50"/>
      <c r="E495" s="50"/>
      <c r="F495" s="50"/>
      <c r="G495" s="50"/>
      <c r="H495" s="50"/>
      <c r="I495" s="50"/>
      <c r="J495" s="50"/>
      <c r="K495" s="50"/>
      <c r="L495" s="50"/>
      <c r="M495" s="50"/>
      <c r="N495" s="50"/>
      <c r="O495" s="51"/>
      <c r="P495" s="51"/>
      <c r="Q495" s="50"/>
      <c r="R495" s="50"/>
      <c r="S495" s="50"/>
      <c r="T495" s="50"/>
      <c r="U495" s="50"/>
      <c r="V495" s="50"/>
      <c r="W495" s="50"/>
      <c r="X495" s="51"/>
      <c r="Y495" s="51"/>
      <c r="Z495" s="50"/>
      <c r="AA495" s="50"/>
      <c r="AB495" s="50"/>
      <c r="AC495" s="50"/>
    </row>
    <row r="496" spans="1:29" ht="22" hidden="1" customHeight="1" x14ac:dyDescent="0.2">
      <c r="A496" s="50"/>
      <c r="B496" s="50"/>
      <c r="C496" s="50"/>
      <c r="D496" s="50"/>
      <c r="E496" s="50"/>
      <c r="F496" s="50"/>
      <c r="G496" s="50"/>
      <c r="H496" s="50"/>
      <c r="I496" s="50"/>
      <c r="J496" s="50"/>
      <c r="K496" s="50"/>
      <c r="L496" s="50"/>
      <c r="M496" s="50"/>
      <c r="N496" s="50"/>
      <c r="O496" s="51"/>
      <c r="P496" s="51"/>
      <c r="Q496" s="50"/>
      <c r="R496" s="50"/>
      <c r="S496" s="50"/>
      <c r="T496" s="50"/>
      <c r="U496" s="50"/>
      <c r="V496" s="50"/>
      <c r="W496" s="50"/>
      <c r="X496" s="51"/>
      <c r="Y496" s="51"/>
      <c r="Z496" s="50"/>
      <c r="AA496" s="50"/>
      <c r="AB496" s="50"/>
      <c r="AC496" s="50"/>
    </row>
    <row r="497" spans="1:29" ht="22" hidden="1" customHeight="1" x14ac:dyDescent="0.2">
      <c r="A497" s="50"/>
      <c r="B497" s="50"/>
      <c r="C497" s="50"/>
      <c r="D497" s="50"/>
      <c r="E497" s="50"/>
      <c r="F497" s="50"/>
      <c r="G497" s="50"/>
      <c r="H497" s="50"/>
      <c r="I497" s="50"/>
      <c r="J497" s="50"/>
      <c r="K497" s="50"/>
      <c r="L497" s="50"/>
      <c r="M497" s="50"/>
      <c r="N497" s="50"/>
      <c r="O497" s="51"/>
      <c r="P497" s="51"/>
      <c r="Q497" s="50"/>
      <c r="R497" s="50"/>
      <c r="S497" s="50"/>
      <c r="T497" s="50"/>
      <c r="U497" s="50"/>
      <c r="V497" s="50"/>
      <c r="W497" s="50"/>
      <c r="X497" s="51"/>
      <c r="Y497" s="51"/>
      <c r="Z497" s="50"/>
      <c r="AA497" s="50"/>
      <c r="AB497" s="50"/>
      <c r="AC497" s="50"/>
    </row>
    <row r="498" spans="1:29" ht="22" hidden="1" customHeight="1" x14ac:dyDescent="0.2">
      <c r="A498" s="50"/>
      <c r="B498" s="50"/>
      <c r="C498" s="50"/>
      <c r="D498" s="50"/>
      <c r="E498" s="50"/>
      <c r="F498" s="50"/>
      <c r="G498" s="50"/>
      <c r="H498" s="50"/>
      <c r="I498" s="50"/>
      <c r="J498" s="50"/>
      <c r="K498" s="50"/>
      <c r="L498" s="50"/>
      <c r="M498" s="50"/>
      <c r="N498" s="50"/>
      <c r="O498" s="51"/>
      <c r="P498" s="51"/>
      <c r="Q498" s="50"/>
      <c r="R498" s="50"/>
      <c r="S498" s="50"/>
      <c r="T498" s="50"/>
      <c r="U498" s="50"/>
      <c r="V498" s="50"/>
      <c r="W498" s="50"/>
      <c r="X498" s="51"/>
      <c r="Y498" s="51"/>
      <c r="Z498" s="50"/>
      <c r="AA498" s="50"/>
      <c r="AB498" s="50"/>
      <c r="AC498" s="50"/>
    </row>
    <row r="499" spans="1:29" ht="22" hidden="1" customHeight="1" x14ac:dyDescent="0.2">
      <c r="A499" s="50"/>
      <c r="B499" s="50"/>
      <c r="C499" s="50"/>
      <c r="D499" s="50"/>
      <c r="E499" s="50"/>
      <c r="F499" s="50"/>
      <c r="G499" s="50"/>
      <c r="H499" s="50"/>
      <c r="I499" s="50"/>
      <c r="J499" s="50"/>
      <c r="K499" s="50"/>
      <c r="L499" s="50"/>
      <c r="M499" s="50"/>
      <c r="N499" s="50"/>
      <c r="O499" s="51"/>
      <c r="P499" s="51"/>
      <c r="Q499" s="50"/>
      <c r="R499" s="50"/>
      <c r="S499" s="50"/>
      <c r="T499" s="50"/>
      <c r="U499" s="50"/>
      <c r="V499" s="50"/>
      <c r="W499" s="50"/>
      <c r="X499" s="51"/>
      <c r="Y499" s="51"/>
      <c r="Z499" s="50"/>
      <c r="AA499" s="50"/>
      <c r="AB499" s="50"/>
      <c r="AC499" s="50"/>
    </row>
    <row r="500" spans="1:29" ht="22" hidden="1" customHeight="1" x14ac:dyDescent="0.2">
      <c r="A500" s="50"/>
      <c r="B500" s="50"/>
      <c r="C500" s="50"/>
      <c r="D500" s="50"/>
      <c r="E500" s="50"/>
      <c r="F500" s="50"/>
      <c r="G500" s="50"/>
      <c r="H500" s="50"/>
      <c r="I500" s="50"/>
      <c r="J500" s="50"/>
      <c r="K500" s="50"/>
      <c r="L500" s="50"/>
      <c r="M500" s="50"/>
      <c r="N500" s="50"/>
      <c r="O500" s="51"/>
      <c r="P500" s="51"/>
      <c r="Q500" s="50"/>
      <c r="R500" s="50"/>
      <c r="S500" s="50"/>
      <c r="T500" s="50"/>
      <c r="U500" s="50"/>
      <c r="V500" s="50"/>
      <c r="W500" s="50"/>
      <c r="X500" s="51"/>
      <c r="Y500" s="51"/>
      <c r="Z500" s="50"/>
      <c r="AA500" s="50"/>
      <c r="AB500" s="50"/>
      <c r="AC500" s="50"/>
    </row>
    <row r="501" spans="1:29" ht="22" hidden="1" customHeight="1" x14ac:dyDescent="0.2">
      <c r="A501" s="50"/>
      <c r="B501" s="50"/>
      <c r="C501" s="50"/>
      <c r="D501" s="50"/>
      <c r="E501" s="50"/>
      <c r="F501" s="50"/>
      <c r="G501" s="50"/>
      <c r="H501" s="50"/>
      <c r="I501" s="50"/>
      <c r="J501" s="50"/>
      <c r="K501" s="50"/>
      <c r="L501" s="50"/>
      <c r="M501" s="50"/>
      <c r="N501" s="50"/>
      <c r="O501" s="51"/>
      <c r="P501" s="51"/>
      <c r="Q501" s="50"/>
      <c r="R501" s="50"/>
      <c r="S501" s="50"/>
      <c r="T501" s="50"/>
      <c r="U501" s="50"/>
      <c r="V501" s="50"/>
      <c r="W501" s="50"/>
      <c r="X501" s="51"/>
      <c r="Y501" s="51"/>
      <c r="Z501" s="50"/>
      <c r="AA501" s="50"/>
      <c r="AB501" s="50"/>
      <c r="AC501" s="50"/>
    </row>
    <row r="502" spans="1:29" ht="22" hidden="1" customHeight="1" x14ac:dyDescent="0.2">
      <c r="A502" s="50"/>
      <c r="B502" s="50"/>
      <c r="C502" s="50"/>
      <c r="D502" s="50"/>
      <c r="E502" s="50"/>
      <c r="F502" s="50"/>
      <c r="G502" s="50"/>
      <c r="H502" s="50"/>
      <c r="I502" s="50"/>
      <c r="J502" s="50"/>
      <c r="K502" s="50"/>
      <c r="L502" s="50"/>
      <c r="M502" s="50"/>
      <c r="N502" s="50"/>
      <c r="O502" s="51"/>
      <c r="P502" s="51"/>
      <c r="Q502" s="50"/>
      <c r="R502" s="50"/>
      <c r="S502" s="50"/>
      <c r="T502" s="50"/>
      <c r="U502" s="50"/>
      <c r="V502" s="50"/>
      <c r="W502" s="50"/>
      <c r="X502" s="51"/>
      <c r="Y502" s="51"/>
      <c r="Z502" s="50"/>
      <c r="AA502" s="50"/>
      <c r="AB502" s="50"/>
      <c r="AC502" s="50"/>
    </row>
    <row r="503" spans="1:29" ht="22" hidden="1" customHeight="1" x14ac:dyDescent="0.2">
      <c r="A503" s="50"/>
      <c r="B503" s="50"/>
      <c r="C503" s="50"/>
      <c r="D503" s="50"/>
      <c r="E503" s="50"/>
      <c r="F503" s="50"/>
      <c r="G503" s="50"/>
      <c r="H503" s="50"/>
      <c r="I503" s="50"/>
      <c r="J503" s="50"/>
      <c r="K503" s="50"/>
      <c r="L503" s="50"/>
      <c r="M503" s="50"/>
      <c r="N503" s="50"/>
      <c r="O503" s="51"/>
      <c r="P503" s="51"/>
      <c r="Q503" s="50"/>
      <c r="R503" s="50"/>
      <c r="S503" s="50"/>
      <c r="T503" s="50"/>
      <c r="U503" s="50"/>
      <c r="V503" s="50"/>
      <c r="W503" s="50"/>
      <c r="X503" s="51"/>
      <c r="Y503" s="51"/>
      <c r="Z503" s="50"/>
      <c r="AA503" s="50"/>
      <c r="AB503" s="50"/>
      <c r="AC503" s="50"/>
    </row>
    <row r="504" spans="1:29" ht="22" hidden="1" customHeight="1" x14ac:dyDescent="0.2">
      <c r="A504" s="50"/>
      <c r="B504" s="50"/>
      <c r="C504" s="50"/>
      <c r="D504" s="50"/>
      <c r="E504" s="50"/>
      <c r="F504" s="50"/>
      <c r="G504" s="50"/>
      <c r="H504" s="50"/>
      <c r="I504" s="50"/>
      <c r="J504" s="50"/>
      <c r="K504" s="50"/>
      <c r="L504" s="50"/>
      <c r="M504" s="50"/>
      <c r="N504" s="50"/>
      <c r="O504" s="51"/>
      <c r="P504" s="51"/>
      <c r="Q504" s="50"/>
      <c r="R504" s="50"/>
      <c r="S504" s="50"/>
      <c r="T504" s="50"/>
      <c r="U504" s="50"/>
      <c r="V504" s="50"/>
      <c r="W504" s="50"/>
      <c r="X504" s="51"/>
      <c r="Y504" s="51"/>
      <c r="Z504" s="50"/>
      <c r="AA504" s="50"/>
      <c r="AB504" s="50"/>
      <c r="AC504" s="50"/>
    </row>
  </sheetData>
  <mergeCells count="2">
    <mergeCell ref="A2:AC2"/>
    <mergeCell ref="A1:AC1"/>
  </mergeCells>
  <dataValidations count="4">
    <dataValidation type="list" allowBlank="1" showInputMessage="1" showErrorMessage="1" errorTitle="Invalid entry" error="Select a value from the approved list." promptTitle="Controlled input" prompt="Select from the drop-down list." sqref="B5:B504" xr:uid="{00000000-0002-0000-0300-000000000000}">
      <formula1>Scenario</formula1>
    </dataValidation>
    <dataValidation type="list" allowBlank="1" showInputMessage="1" showErrorMessage="1" errorTitle="Invalid entry" error="Select a value from the approved list." promptTitle="Controlled input" prompt="Select from the drop-down list." sqref="F5:F504" xr:uid="{00000000-0002-0000-0300-000001000000}">
      <formula1>ModelClass</formula1>
    </dataValidation>
    <dataValidation type="list" allowBlank="1" showInputMessage="1" showErrorMessage="1" errorTitle="Invalid entry" error="Select a value from the approved list." promptTitle="Controlled input" prompt="Select from the drop-down list." sqref="U5:U504" xr:uid="{00000000-0002-0000-0300-000002000000}">
      <formula1>Currency</formula1>
    </dataValidation>
    <dataValidation type="list" allowBlank="1" showInputMessage="1" showErrorMessage="1" errorTitle="Invalid entry" error="Select a value from the approved list." promptTitle="Controlled input" prompt="Select from the drop-down list." sqref="AB5:AB504" xr:uid="{00000000-0002-0000-0300-000003000000}">
      <formula1>InputSource</formula1>
    </dataValidation>
  </dataValidations>
  <pageMargins left="0.75" right="0.75" top="1" bottom="1" header="0.5" footer="0.5"/>
  <pageSetup fitToHeight="0" orientation="portrait"/>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M61"/>
  <sheetViews>
    <sheetView showGridLines="0" zoomScaleNormal="100" workbookViewId="0">
      <selection activeCell="G9" sqref="G9"/>
    </sheetView>
  </sheetViews>
  <sheetFormatPr baseColWidth="10" defaultColWidth="8.83203125" defaultRowHeight="15" x14ac:dyDescent="0.2"/>
  <cols>
    <col min="1" max="1" width="34" customWidth="1"/>
    <col min="2" max="2" width="18" customWidth="1"/>
    <col min="3" max="3" width="16" customWidth="1"/>
    <col min="4" max="4" width="24" customWidth="1"/>
    <col min="5" max="5" width="2" customWidth="1"/>
    <col min="6" max="6" width="22" customWidth="1"/>
    <col min="7" max="8" width="14" customWidth="1"/>
    <col min="10" max="13" width="18" customWidth="1"/>
  </cols>
  <sheetData>
    <row r="1" spans="1:13" ht="26.25" customHeight="1" x14ac:dyDescent="0.2">
      <c r="A1" s="189" t="s">
        <v>207</v>
      </c>
      <c r="B1" s="181"/>
      <c r="C1" s="181"/>
      <c r="D1" s="181"/>
      <c r="E1" s="181"/>
      <c r="F1" s="181"/>
      <c r="G1" s="181"/>
      <c r="H1" s="181"/>
    </row>
    <row r="2" spans="1:13" ht="28" customHeight="1" x14ac:dyDescent="0.2">
      <c r="A2" s="193" t="s">
        <v>208</v>
      </c>
      <c r="B2" s="181"/>
      <c r="C2" s="181"/>
      <c r="D2" s="181"/>
      <c r="E2" s="181"/>
      <c r="F2" s="181"/>
      <c r="G2" s="181"/>
      <c r="H2" s="181"/>
      <c r="J2" s="188" t="s">
        <v>209</v>
      </c>
      <c r="K2" s="181"/>
      <c r="L2" s="181"/>
      <c r="M2" s="181"/>
    </row>
    <row r="3" spans="1:13" x14ac:dyDescent="0.2">
      <c r="J3" s="181"/>
      <c r="K3" s="181"/>
      <c r="L3" s="181"/>
      <c r="M3" s="181"/>
    </row>
    <row r="4" spans="1:13" ht="16" x14ac:dyDescent="0.2">
      <c r="A4" s="1" t="s">
        <v>210</v>
      </c>
      <c r="B4" s="1"/>
      <c r="C4" s="1"/>
      <c r="D4" s="1"/>
      <c r="F4" s="194" t="s">
        <v>211</v>
      </c>
      <c r="G4" s="191"/>
      <c r="H4" s="192"/>
      <c r="J4" s="181"/>
      <c r="K4" s="181"/>
      <c r="L4" s="181"/>
      <c r="M4" s="181"/>
    </row>
    <row r="5" spans="1:13" ht="16" x14ac:dyDescent="0.2">
      <c r="A5" s="3" t="s">
        <v>212</v>
      </c>
      <c r="B5" s="63">
        <v>46235</v>
      </c>
      <c r="C5" s="4" t="s">
        <v>213</v>
      </c>
      <c r="D5" s="3"/>
      <c r="F5" s="5" t="s">
        <v>214</v>
      </c>
      <c r="G5" s="5" t="s">
        <v>215</v>
      </c>
      <c r="H5" s="5" t="s">
        <v>216</v>
      </c>
    </row>
    <row r="6" spans="1:13" ht="16" x14ac:dyDescent="0.2">
      <c r="A6" s="3" t="s">
        <v>217</v>
      </c>
      <c r="B6" s="64">
        <v>18</v>
      </c>
      <c r="C6" s="3"/>
      <c r="D6" s="3"/>
      <c r="F6" s="6" t="s">
        <v>218</v>
      </c>
      <c r="G6" s="65">
        <v>2</v>
      </c>
      <c r="H6" s="66">
        <v>3</v>
      </c>
    </row>
    <row r="7" spans="1:13" ht="16" x14ac:dyDescent="0.2">
      <c r="A7" s="3" t="s">
        <v>219</v>
      </c>
      <c r="B7" s="64">
        <v>21</v>
      </c>
      <c r="C7" s="3"/>
      <c r="D7" s="3"/>
      <c r="F7" s="6" t="s">
        <v>220</v>
      </c>
      <c r="G7" s="65">
        <v>2</v>
      </c>
      <c r="H7" s="66">
        <v>3</v>
      </c>
    </row>
    <row r="8" spans="1:13" ht="28" customHeight="1" x14ac:dyDescent="0.2">
      <c r="A8" s="3" t="s">
        <v>221</v>
      </c>
      <c r="B8" s="64" t="s">
        <v>678</v>
      </c>
      <c r="C8" s="3"/>
      <c r="D8" s="3"/>
      <c r="F8" s="6" t="s">
        <v>222</v>
      </c>
      <c r="G8" s="65">
        <v>2</v>
      </c>
      <c r="H8" s="66">
        <v>3</v>
      </c>
    </row>
    <row r="9" spans="1:13" ht="16" x14ac:dyDescent="0.2">
      <c r="A9" s="3"/>
      <c r="B9" s="3"/>
      <c r="C9" s="3"/>
      <c r="D9" s="3"/>
      <c r="F9" s="6" t="s">
        <v>223</v>
      </c>
      <c r="G9" s="65">
        <v>2</v>
      </c>
      <c r="H9" s="66">
        <v>3</v>
      </c>
    </row>
    <row r="10" spans="1:13" ht="16" x14ac:dyDescent="0.2">
      <c r="A10" s="1" t="s">
        <v>224</v>
      </c>
      <c r="B10" s="1"/>
      <c r="C10" s="1"/>
      <c r="D10" s="1"/>
      <c r="F10" s="6" t="s">
        <v>225</v>
      </c>
      <c r="G10" s="65">
        <v>0</v>
      </c>
      <c r="H10" s="66">
        <v>3</v>
      </c>
    </row>
    <row r="11" spans="1:13" ht="16" x14ac:dyDescent="0.2">
      <c r="A11" s="3" t="s">
        <v>226</v>
      </c>
      <c r="B11" s="64">
        <v>2</v>
      </c>
      <c r="C11" s="3"/>
      <c r="D11" s="3"/>
      <c r="F11" s="6" t="s">
        <v>227</v>
      </c>
      <c r="G11" s="65">
        <v>0</v>
      </c>
      <c r="H11" s="66">
        <v>3</v>
      </c>
    </row>
    <row r="12" spans="1:13" ht="16" x14ac:dyDescent="0.2">
      <c r="A12" s="3" t="s">
        <v>228</v>
      </c>
      <c r="B12" s="64">
        <v>2</v>
      </c>
      <c r="C12" s="3"/>
      <c r="D12" s="3"/>
    </row>
    <row r="13" spans="1:13" ht="29.25" customHeight="1" x14ac:dyDescent="0.2">
      <c r="A13" s="3" t="s">
        <v>229</v>
      </c>
      <c r="B13" s="111">
        <v>0.35</v>
      </c>
      <c r="C13" s="3"/>
      <c r="D13" s="3"/>
      <c r="F13" s="68" t="s">
        <v>230</v>
      </c>
      <c r="G13" s="139">
        <f>SUM(G6:G11)</f>
        <v>8</v>
      </c>
      <c r="H13" s="69"/>
    </row>
    <row r="14" spans="1:13" ht="16" x14ac:dyDescent="0.2">
      <c r="A14" s="3" t="s">
        <v>231</v>
      </c>
      <c r="B14" s="111">
        <v>0.7</v>
      </c>
      <c r="C14" s="3"/>
      <c r="D14" s="3"/>
    </row>
    <row r="15" spans="1:13" ht="16" x14ac:dyDescent="0.2">
      <c r="A15" s="3" t="s">
        <v>232</v>
      </c>
      <c r="B15" s="111">
        <v>0.9</v>
      </c>
      <c r="C15" s="3"/>
      <c r="D15" s="3"/>
    </row>
    <row r="16" spans="1:13" ht="29.25" customHeight="1" x14ac:dyDescent="0.2">
      <c r="A16" s="3" t="s">
        <v>233</v>
      </c>
      <c r="B16" s="67">
        <v>5.0000000000000001E-3</v>
      </c>
      <c r="C16" s="3"/>
      <c r="D16" s="3"/>
    </row>
    <row r="17" spans="1:4" x14ac:dyDescent="0.2">
      <c r="A17" s="3"/>
      <c r="B17" s="3"/>
      <c r="C17" s="3"/>
      <c r="D17" s="3"/>
    </row>
    <row r="18" spans="1:4" ht="16" x14ac:dyDescent="0.2">
      <c r="A18" s="1" t="s">
        <v>234</v>
      </c>
      <c r="B18" s="1"/>
      <c r="C18" s="1"/>
      <c r="D18" s="1"/>
    </row>
    <row r="19" spans="1:4" ht="29.25" customHeight="1" x14ac:dyDescent="0.2">
      <c r="A19" s="3" t="s">
        <v>235</v>
      </c>
      <c r="B19" s="64">
        <v>35</v>
      </c>
      <c r="C19" s="3"/>
      <c r="D19" s="3"/>
    </row>
    <row r="20" spans="1:4" ht="29.25" customHeight="1" x14ac:dyDescent="0.2">
      <c r="A20" s="3" t="s">
        <v>236</v>
      </c>
      <c r="B20" s="111">
        <v>0.4</v>
      </c>
      <c r="C20" s="3"/>
      <c r="D20" s="3"/>
    </row>
    <row r="21" spans="1:4" ht="29.25" customHeight="1" x14ac:dyDescent="0.2">
      <c r="A21" s="3" t="s">
        <v>237</v>
      </c>
      <c r="B21" s="111">
        <v>0.08</v>
      </c>
      <c r="C21" s="3"/>
      <c r="D21" s="3"/>
    </row>
    <row r="22" spans="1:4" ht="29.25" customHeight="1" x14ac:dyDescent="0.2">
      <c r="A22" s="3" t="s">
        <v>238</v>
      </c>
      <c r="B22" s="64">
        <v>3</v>
      </c>
      <c r="C22" s="3"/>
      <c r="D22" s="3"/>
    </row>
    <row r="23" spans="1:4" x14ac:dyDescent="0.2">
      <c r="A23" s="3"/>
      <c r="B23" s="3"/>
      <c r="C23" s="3"/>
      <c r="D23" s="3"/>
    </row>
    <row r="24" spans="1:4" ht="29.25" customHeight="1" x14ac:dyDescent="0.2">
      <c r="A24" s="1" t="s">
        <v>239</v>
      </c>
      <c r="B24" s="1"/>
      <c r="C24" s="1"/>
      <c r="D24" s="1"/>
    </row>
    <row r="25" spans="1:4" ht="16" x14ac:dyDescent="0.2">
      <c r="A25" s="3" t="s">
        <v>240</v>
      </c>
      <c r="B25" s="64">
        <v>2</v>
      </c>
      <c r="C25" s="3"/>
      <c r="D25" s="3"/>
    </row>
    <row r="26" spans="1:4" ht="29.25" customHeight="1" x14ac:dyDescent="0.2">
      <c r="A26" s="3" t="s">
        <v>241</v>
      </c>
      <c r="B26" s="64">
        <v>0.3</v>
      </c>
      <c r="C26" s="3"/>
      <c r="D26" s="3"/>
    </row>
    <row r="27" spans="1:4" ht="16" x14ac:dyDescent="0.2">
      <c r="A27" s="3" t="s">
        <v>242</v>
      </c>
      <c r="B27" s="64">
        <v>1800</v>
      </c>
      <c r="C27" s="3"/>
      <c r="D27" s="3"/>
    </row>
    <row r="28" spans="1:4" ht="16" x14ac:dyDescent="0.2">
      <c r="A28" s="3" t="s">
        <v>243</v>
      </c>
      <c r="B28" s="64">
        <v>350</v>
      </c>
      <c r="C28" s="3"/>
      <c r="D28" s="140">
        <f>B28*0.8</f>
        <v>280</v>
      </c>
    </row>
    <row r="29" spans="1:4" ht="16" x14ac:dyDescent="0.2">
      <c r="A29" s="3" t="s">
        <v>244</v>
      </c>
      <c r="B29" s="64">
        <v>5000</v>
      </c>
      <c r="C29" s="3"/>
      <c r="D29" s="140">
        <f>B29*0.2</f>
        <v>1000</v>
      </c>
    </row>
    <row r="30" spans="1:4" ht="16" x14ac:dyDescent="0.2">
      <c r="A30" s="3" t="s">
        <v>245</v>
      </c>
      <c r="B30" s="64">
        <v>900</v>
      </c>
      <c r="C30" s="3"/>
      <c r="D30" s="140">
        <f>B30*0.2</f>
        <v>180</v>
      </c>
    </row>
    <row r="31" spans="1:4" ht="29.25" customHeight="1" x14ac:dyDescent="0.2">
      <c r="A31" s="3" t="s">
        <v>246</v>
      </c>
      <c r="B31" s="111">
        <v>0.25</v>
      </c>
      <c r="C31" s="3"/>
      <c r="D31" s="3"/>
    </row>
    <row r="32" spans="1:4" ht="29.25" customHeight="1" x14ac:dyDescent="0.2">
      <c r="A32" s="3" t="s">
        <v>247</v>
      </c>
      <c r="B32" s="64">
        <v>700</v>
      </c>
      <c r="C32" s="3"/>
      <c r="D32" s="3"/>
    </row>
    <row r="33" spans="1:8" x14ac:dyDescent="0.2">
      <c r="A33" s="3"/>
      <c r="B33" s="64"/>
      <c r="C33" s="3"/>
      <c r="D33" s="3"/>
    </row>
    <row r="34" spans="1:8" ht="29.25" customHeight="1" x14ac:dyDescent="0.2">
      <c r="A34" s="3" t="s">
        <v>248</v>
      </c>
      <c r="B34" s="70">
        <v>0.4</v>
      </c>
      <c r="C34" s="3"/>
      <c r="D34" s="3"/>
    </row>
    <row r="35" spans="1:8" ht="29.25" customHeight="1" x14ac:dyDescent="0.2">
      <c r="A35" s="3" t="s">
        <v>249</v>
      </c>
      <c r="B35" s="70">
        <v>1.6</v>
      </c>
      <c r="C35" s="3"/>
      <c r="D35" s="3"/>
    </row>
    <row r="36" spans="1:8" ht="29.25" customHeight="1" x14ac:dyDescent="0.2">
      <c r="A36" s="3" t="s">
        <v>250</v>
      </c>
      <c r="B36" s="70">
        <v>2</v>
      </c>
      <c r="C36" s="3"/>
      <c r="D36" s="3"/>
    </row>
    <row r="37" spans="1:8" ht="29.25" customHeight="1" x14ac:dyDescent="0.2">
      <c r="A37" s="3" t="s">
        <v>251</v>
      </c>
      <c r="B37" s="70">
        <v>8</v>
      </c>
      <c r="C37" s="3"/>
      <c r="D37" s="3"/>
    </row>
    <row r="38" spans="1:8" x14ac:dyDescent="0.2">
      <c r="A38" s="3"/>
      <c r="B38" s="64"/>
      <c r="C38" s="3"/>
      <c r="D38" s="3"/>
    </row>
    <row r="39" spans="1:8" ht="16" x14ac:dyDescent="0.2">
      <c r="A39" s="1" t="s">
        <v>252</v>
      </c>
      <c r="B39" s="49"/>
      <c r="C39" s="8"/>
      <c r="D39" s="8"/>
    </row>
    <row r="40" spans="1:8" x14ac:dyDescent="0.2">
      <c r="A40" s="190" t="s">
        <v>253</v>
      </c>
      <c r="B40" s="191"/>
      <c r="C40" s="191"/>
      <c r="D40" s="192"/>
    </row>
    <row r="41" spans="1:8" ht="48" customHeight="1" x14ac:dyDescent="0.2">
      <c r="A41" s="19" t="s">
        <v>165</v>
      </c>
      <c r="B41" s="195" t="s">
        <v>1109</v>
      </c>
      <c r="C41" s="196"/>
      <c r="D41" s="196"/>
      <c r="E41" s="196"/>
      <c r="F41" s="196"/>
      <c r="G41" s="196"/>
      <c r="H41" s="196"/>
    </row>
    <row r="42" spans="1:8" ht="18" customHeight="1" x14ac:dyDescent="0.2">
      <c r="A42" s="24"/>
      <c r="B42" s="197"/>
      <c r="C42" s="196"/>
      <c r="D42" s="196"/>
      <c r="E42" s="196"/>
      <c r="F42" s="196"/>
      <c r="G42" s="196"/>
      <c r="H42" s="196"/>
    </row>
    <row r="61" spans="2:4" x14ac:dyDescent="0.2">
      <c r="B61" s="181"/>
      <c r="C61" s="181"/>
      <c r="D61" s="181"/>
    </row>
  </sheetData>
  <mergeCells count="7">
    <mergeCell ref="J2:M4"/>
    <mergeCell ref="A1:H1"/>
    <mergeCell ref="A40:D40"/>
    <mergeCell ref="B61:D61"/>
    <mergeCell ref="A2:H2"/>
    <mergeCell ref="F4:H4"/>
    <mergeCell ref="B41:H42"/>
  </mergeCells>
  <pageMargins left="0.7" right="0.7" top="0.75" bottom="0.75" header="0.3" footer="0.3"/>
  <pageSetup fitToHeight="0" orientation="portrait" horizontalDpi="0" verticalDpi="0"/>
  <headerFooter>
    <oddHeader>&amp;CPwC Model For Agent Cost Estimation</oddHeader>
    <oddFooter>&amp;CPwC Model For Agent Cost Estimation</oddFooter>
  </headerFooter>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I24"/>
  <sheetViews>
    <sheetView showGridLines="0" topLeftCell="A10" zoomScaleNormal="100" workbookViewId="0">
      <selection activeCell="B16" sqref="B16"/>
    </sheetView>
  </sheetViews>
  <sheetFormatPr baseColWidth="10" defaultColWidth="8.83203125" defaultRowHeight="15" x14ac:dyDescent="0.2"/>
  <cols>
    <col min="1" max="1" width="42.6640625" customWidth="1"/>
    <col min="2" max="3" width="18" customWidth="1"/>
    <col min="4" max="4" width="34" customWidth="1"/>
    <col min="6" max="9" width="18" customWidth="1"/>
  </cols>
  <sheetData>
    <row r="1" spans="1:9" ht="24" customHeight="1" x14ac:dyDescent="0.2">
      <c r="A1" s="189" t="s">
        <v>207</v>
      </c>
      <c r="B1" s="181"/>
      <c r="C1" s="181"/>
      <c r="D1" s="181"/>
    </row>
    <row r="2" spans="1:9" ht="24" customHeight="1" x14ac:dyDescent="0.2">
      <c r="A2" s="193" t="s">
        <v>254</v>
      </c>
      <c r="B2" s="181"/>
      <c r="C2" s="181"/>
      <c r="D2" s="181"/>
      <c r="F2" s="188" t="s">
        <v>255</v>
      </c>
      <c r="G2" s="181"/>
      <c r="H2" s="181"/>
      <c r="I2" s="181"/>
    </row>
    <row r="3" spans="1:9" x14ac:dyDescent="0.2">
      <c r="F3" s="181"/>
      <c r="G3" s="181"/>
      <c r="H3" s="181"/>
      <c r="I3" s="181"/>
    </row>
    <row r="4" spans="1:9" ht="29.25" customHeight="1" x14ac:dyDescent="0.2">
      <c r="A4" s="1" t="s">
        <v>256</v>
      </c>
      <c r="B4" s="8"/>
      <c r="C4" s="8"/>
      <c r="D4" s="8"/>
      <c r="F4" s="181"/>
      <c r="G4" s="181"/>
      <c r="H4" s="181"/>
      <c r="I4" s="181"/>
    </row>
    <row r="5" spans="1:9" ht="16" x14ac:dyDescent="0.2">
      <c r="A5" s="5" t="s">
        <v>257</v>
      </c>
      <c r="B5" s="86" t="s">
        <v>258</v>
      </c>
      <c r="C5" s="5" t="s">
        <v>259</v>
      </c>
      <c r="D5" s="86" t="s">
        <v>260</v>
      </c>
    </row>
    <row r="6" spans="1:9" ht="96" x14ac:dyDescent="0.2">
      <c r="A6" s="3" t="s">
        <v>261</v>
      </c>
      <c r="B6" s="71">
        <v>350</v>
      </c>
      <c r="C6" s="6" t="s">
        <v>262</v>
      </c>
      <c r="D6" s="64" t="s">
        <v>1086</v>
      </c>
    </row>
    <row r="7" spans="1:9" ht="96" x14ac:dyDescent="0.2">
      <c r="A7" s="3" t="s">
        <v>263</v>
      </c>
      <c r="B7" s="72">
        <v>1.5</v>
      </c>
      <c r="C7" s="6" t="s">
        <v>264</v>
      </c>
      <c r="D7" s="64" t="s">
        <v>1087</v>
      </c>
    </row>
    <row r="8" spans="1:9" ht="29.25" customHeight="1" x14ac:dyDescent="0.2">
      <c r="A8" s="3" t="s">
        <v>265</v>
      </c>
      <c r="B8" s="73">
        <v>3</v>
      </c>
      <c r="C8" s="6" t="s">
        <v>266</v>
      </c>
      <c r="D8" s="64" t="s">
        <v>1088</v>
      </c>
    </row>
    <row r="9" spans="1:9" ht="29.25" customHeight="1" x14ac:dyDescent="0.2">
      <c r="A9" s="3" t="s">
        <v>267</v>
      </c>
      <c r="B9" s="73">
        <v>0.25</v>
      </c>
      <c r="C9" s="6" t="s">
        <v>268</v>
      </c>
      <c r="D9" s="64" t="s">
        <v>1089</v>
      </c>
    </row>
    <row r="10" spans="1:9" ht="29.25" customHeight="1" x14ac:dyDescent="0.2">
      <c r="A10" s="3" t="s">
        <v>269</v>
      </c>
      <c r="B10" s="73">
        <v>0.2</v>
      </c>
      <c r="C10" s="6" t="s">
        <v>270</v>
      </c>
      <c r="D10" s="64" t="s">
        <v>1090</v>
      </c>
    </row>
    <row r="11" spans="1:9" ht="29.25" customHeight="1" x14ac:dyDescent="0.2">
      <c r="A11" s="3" t="s">
        <v>269</v>
      </c>
      <c r="B11" s="74">
        <v>1.5999999999999999E-5</v>
      </c>
      <c r="C11" s="6" t="s">
        <v>271</v>
      </c>
      <c r="D11" s="64" t="s">
        <v>1090</v>
      </c>
    </row>
    <row r="12" spans="1:9" ht="80" x14ac:dyDescent="0.2">
      <c r="A12" s="3" t="s">
        <v>272</v>
      </c>
      <c r="B12" s="66">
        <v>1000000</v>
      </c>
      <c r="C12" s="6" t="s">
        <v>273</v>
      </c>
      <c r="D12" s="64" t="s">
        <v>1091</v>
      </c>
    </row>
    <row r="13" spans="1:9" ht="43.5" customHeight="1" x14ac:dyDescent="0.2">
      <c r="A13" s="3" t="s">
        <v>272</v>
      </c>
      <c r="B13" s="66">
        <v>400000</v>
      </c>
      <c r="C13" s="6" t="s">
        <v>274</v>
      </c>
      <c r="D13" s="64" t="s">
        <v>1091</v>
      </c>
    </row>
    <row r="14" spans="1:9" ht="43.5" customHeight="1" x14ac:dyDescent="0.2">
      <c r="A14" s="3" t="s">
        <v>275</v>
      </c>
      <c r="B14" s="75">
        <v>0.02</v>
      </c>
      <c r="C14" s="6" t="s">
        <v>276</v>
      </c>
      <c r="D14" s="64" t="s">
        <v>1092</v>
      </c>
    </row>
    <row r="15" spans="1:9" ht="80" x14ac:dyDescent="0.2">
      <c r="A15" s="3" t="s">
        <v>277</v>
      </c>
      <c r="B15" s="66">
        <v>0.6</v>
      </c>
      <c r="C15" s="6" t="s">
        <v>278</v>
      </c>
      <c r="D15" s="64" t="s">
        <v>1093</v>
      </c>
    </row>
    <row r="16" spans="1:9" ht="96" x14ac:dyDescent="0.2">
      <c r="A16" s="3" t="s">
        <v>279</v>
      </c>
      <c r="B16" s="75">
        <v>0.35</v>
      </c>
      <c r="C16" s="6" t="s">
        <v>280</v>
      </c>
      <c r="D16" s="64" t="s">
        <v>1094</v>
      </c>
    </row>
    <row r="17" spans="1:4" ht="96" x14ac:dyDescent="0.2">
      <c r="A17" s="3" t="s">
        <v>281</v>
      </c>
      <c r="B17" s="75">
        <v>0.12</v>
      </c>
      <c r="C17" s="6" t="s">
        <v>276</v>
      </c>
      <c r="D17" s="64" t="s">
        <v>1095</v>
      </c>
    </row>
    <row r="18" spans="1:4" ht="80" x14ac:dyDescent="0.2">
      <c r="A18" s="3" t="s">
        <v>282</v>
      </c>
      <c r="B18" s="66">
        <v>4</v>
      </c>
      <c r="C18" s="6" t="s">
        <v>283</v>
      </c>
      <c r="D18" s="64" t="s">
        <v>1096</v>
      </c>
    </row>
    <row r="19" spans="1:4" ht="80" x14ac:dyDescent="0.2">
      <c r="A19" s="3" t="s">
        <v>284</v>
      </c>
      <c r="B19" s="66">
        <v>250</v>
      </c>
      <c r="C19" s="6" t="s">
        <v>285</v>
      </c>
      <c r="D19" s="64" t="s">
        <v>1097</v>
      </c>
    </row>
    <row r="20" spans="1:4" ht="112" x14ac:dyDescent="0.2">
      <c r="A20" s="3" t="s">
        <v>286</v>
      </c>
      <c r="B20" s="73">
        <v>0.25</v>
      </c>
      <c r="C20" s="6" t="s">
        <v>278</v>
      </c>
      <c r="D20" s="64" t="s">
        <v>1098</v>
      </c>
    </row>
    <row r="21" spans="1:4" ht="29.25" customHeight="1" x14ac:dyDescent="0.2">
      <c r="A21" s="3" t="s">
        <v>287</v>
      </c>
      <c r="B21" s="73">
        <v>2.5</v>
      </c>
      <c r="C21" s="6" t="s">
        <v>288</v>
      </c>
      <c r="D21" s="64" t="s">
        <v>1099</v>
      </c>
    </row>
    <row r="22" spans="1:4" ht="29.25" customHeight="1" x14ac:dyDescent="0.2">
      <c r="A22" s="3" t="s">
        <v>289</v>
      </c>
      <c r="B22" s="71">
        <v>500</v>
      </c>
      <c r="C22" s="6" t="s">
        <v>290</v>
      </c>
      <c r="D22" s="64" t="s">
        <v>1100</v>
      </c>
    </row>
    <row r="23" spans="1:4" ht="80" x14ac:dyDescent="0.2">
      <c r="A23" s="3" t="s">
        <v>291</v>
      </c>
      <c r="B23" s="66">
        <v>15</v>
      </c>
      <c r="C23" s="6" t="s">
        <v>292</v>
      </c>
      <c r="D23" s="64" t="s">
        <v>1101</v>
      </c>
    </row>
    <row r="24" spans="1:4" ht="58" customHeight="1" x14ac:dyDescent="0.2">
      <c r="A24" s="3" t="s">
        <v>293</v>
      </c>
      <c r="B24" s="71">
        <v>14</v>
      </c>
      <c r="C24" s="6" t="s">
        <v>294</v>
      </c>
      <c r="D24" s="64" t="s">
        <v>1102</v>
      </c>
    </row>
  </sheetData>
  <mergeCells count="3">
    <mergeCell ref="A1:D1"/>
    <mergeCell ref="F2:I4"/>
    <mergeCell ref="A2:D2"/>
  </mergeCells>
  <pageMargins left="0.7" right="0.7" top="0.75" bottom="0.75" header="0.3" footer="0.3"/>
  <pageSetup fitToHeight="0" orientation="portrait" horizontalDpi="0" verticalDpi="0"/>
  <headerFooter>
    <oddHeader>&amp;CPwC Model For Agent Cost Estimation</oddHeader>
    <oddFooter>&amp;CPwC Model For Agent Cost Estimation</oddFooter>
  </headerFooter>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6316E-5C07-4F58-963B-210AA6B0AA93}">
  <dimension ref="A1:AC40"/>
  <sheetViews>
    <sheetView workbookViewId="0">
      <selection sqref="A1:H1"/>
    </sheetView>
  </sheetViews>
  <sheetFormatPr baseColWidth="10" defaultColWidth="8.83203125" defaultRowHeight="15" x14ac:dyDescent="0.2"/>
  <cols>
    <col min="1" max="1" width="56.1640625" customWidth="1"/>
    <col min="2" max="2" width="13.83203125" bestFit="1" customWidth="1"/>
    <col min="3" max="3" width="12.83203125" bestFit="1" customWidth="1"/>
    <col min="4" max="5" width="15.5" customWidth="1"/>
    <col min="6" max="6" width="16.33203125" bestFit="1" customWidth="1"/>
    <col min="7" max="7" width="21.6640625" bestFit="1" customWidth="1"/>
    <col min="8" max="8" width="20.5" customWidth="1"/>
    <col min="9" max="9" width="16.1640625" bestFit="1" customWidth="1"/>
    <col min="10" max="10" width="11.83203125" bestFit="1" customWidth="1"/>
    <col min="11" max="11" width="12.5" bestFit="1" customWidth="1"/>
    <col min="12" max="12" width="12.6640625" bestFit="1" customWidth="1"/>
    <col min="13" max="13" width="12.33203125" bestFit="1" customWidth="1"/>
    <col min="20" max="29" width="0" hidden="1" customWidth="1"/>
  </cols>
  <sheetData>
    <row r="1" spans="1:29" ht="24" x14ac:dyDescent="0.3">
      <c r="A1" s="178" t="s">
        <v>1199</v>
      </c>
      <c r="B1" s="178"/>
      <c r="C1" s="178"/>
      <c r="D1" s="178"/>
      <c r="E1" s="178"/>
      <c r="F1" s="178"/>
      <c r="G1" s="178"/>
      <c r="H1" s="178"/>
      <c r="J1" s="158" t="s">
        <v>1200</v>
      </c>
      <c r="K1" s="159" t="s">
        <v>1201</v>
      </c>
      <c r="L1" s="160" t="s">
        <v>1202</v>
      </c>
      <c r="M1" s="161" t="s">
        <v>1203</v>
      </c>
      <c r="T1" t="s">
        <v>1204</v>
      </c>
      <c r="U1" t="s">
        <v>1205</v>
      </c>
      <c r="V1" t="s">
        <v>1206</v>
      </c>
      <c r="W1" t="s">
        <v>1207</v>
      </c>
      <c r="X1" t="s">
        <v>1208</v>
      </c>
      <c r="Y1" t="s">
        <v>1209</v>
      </c>
      <c r="Z1" t="s">
        <v>1210</v>
      </c>
      <c r="AA1" t="s">
        <v>1211</v>
      </c>
      <c r="AB1" t="s">
        <v>1212</v>
      </c>
      <c r="AC1" t="s">
        <v>1213</v>
      </c>
    </row>
    <row r="2" spans="1:29" x14ac:dyDescent="0.2">
      <c r="A2" s="179" t="s">
        <v>1214</v>
      </c>
      <c r="B2" s="179"/>
      <c r="C2" s="179"/>
      <c r="D2" s="179"/>
      <c r="E2" s="179"/>
      <c r="F2" s="179"/>
      <c r="G2" s="179"/>
      <c r="H2" s="179"/>
      <c r="J2" s="162" t="s">
        <v>1215</v>
      </c>
      <c r="K2" s="162" t="s">
        <v>1216</v>
      </c>
      <c r="L2" s="162" t="s">
        <v>1217</v>
      </c>
      <c r="M2" s="162" t="s">
        <v>1218</v>
      </c>
      <c r="T2" t="str">
        <f t="shared" ref="T2:T13" si="0">A6</f>
        <v>Event Correlation &amp; Alert Intelligence Agent</v>
      </c>
      <c r="U2" s="163" t="e">
        <f t="shared" ref="U2:U13" si="1">D6</f>
        <v>#REF!</v>
      </c>
      <c r="V2" t="e">
        <f t="shared" ref="V2:V13" si="2">MAX(0,MIN($E6,DATE(2026,9,30))-MAX($D6,DATE(2026,6,30)))</f>
        <v>#REF!</v>
      </c>
      <c r="W2" t="e">
        <f t="shared" ref="W2:W13" si="3">MAX(0,MIN($E6,DATE(2026,12,31))-MAX($D6,DATE(2026,9,30)))</f>
        <v>#REF!</v>
      </c>
      <c r="X2" t="e">
        <f t="shared" ref="X2:X13" si="4">MAX(0,MIN($E6,DATE(2027,3,31))-MAX($D6,DATE(2026,12,31)))</f>
        <v>#REF!</v>
      </c>
      <c r="Y2" t="e">
        <f t="shared" ref="Y2:Y13" si="5">MAX(0,MIN($E6,DATE(2027,6,30))-MAX($D6,DATE(2027,3,31)))</f>
        <v>#REF!</v>
      </c>
      <c r="Z2">
        <v>4</v>
      </c>
      <c r="AA2">
        <v>13</v>
      </c>
      <c r="AB2">
        <v>8</v>
      </c>
      <c r="AC2">
        <v>0</v>
      </c>
    </row>
    <row r="3" spans="1:29" x14ac:dyDescent="0.2">
      <c r="A3" s="164" t="s">
        <v>1219</v>
      </c>
      <c r="B3" s="165">
        <v>116</v>
      </c>
      <c r="C3" s="166"/>
      <c r="D3" s="164" t="s">
        <v>1220</v>
      </c>
      <c r="E3" s="165">
        <v>12</v>
      </c>
      <c r="F3" s="166"/>
      <c r="G3" s="164" t="s">
        <v>1221</v>
      </c>
      <c r="H3" s="167">
        <v>95561</v>
      </c>
      <c r="T3" t="str">
        <f t="shared" si="0"/>
        <v>Business Data Integrity &amp; Reconciliation Agent</v>
      </c>
      <c r="U3" s="163" t="e">
        <f t="shared" si="1"/>
        <v>#REF!</v>
      </c>
      <c r="V3" t="e">
        <f t="shared" si="2"/>
        <v>#REF!</v>
      </c>
      <c r="W3" t="e">
        <f t="shared" si="3"/>
        <v>#REF!</v>
      </c>
      <c r="X3" t="e">
        <f t="shared" si="4"/>
        <v>#REF!</v>
      </c>
      <c r="Y3" t="e">
        <f t="shared" si="5"/>
        <v>#REF!</v>
      </c>
      <c r="Z3">
        <v>3</v>
      </c>
      <c r="AA3">
        <v>6</v>
      </c>
      <c r="AB3">
        <v>4</v>
      </c>
      <c r="AC3">
        <v>0</v>
      </c>
    </row>
    <row r="4" spans="1:29" x14ac:dyDescent="0.2">
      <c r="A4" s="166"/>
      <c r="B4" s="166"/>
      <c r="C4" s="166"/>
      <c r="D4" s="166"/>
      <c r="E4" s="166"/>
      <c r="F4" s="166"/>
      <c r="G4" s="166"/>
      <c r="H4" s="166"/>
      <c r="T4" t="str">
        <f t="shared" si="0"/>
        <v>Safe Auto-Remediation Agent</v>
      </c>
      <c r="U4" s="163" t="e">
        <f t="shared" si="1"/>
        <v>#REF!</v>
      </c>
      <c r="V4" t="e">
        <f t="shared" si="2"/>
        <v>#REF!</v>
      </c>
      <c r="W4" t="e">
        <f t="shared" si="3"/>
        <v>#REF!</v>
      </c>
      <c r="X4" t="e">
        <f t="shared" si="4"/>
        <v>#REF!</v>
      </c>
      <c r="Y4" t="e">
        <f t="shared" si="5"/>
        <v>#REF!</v>
      </c>
      <c r="Z4">
        <v>4</v>
      </c>
      <c r="AA4">
        <v>4</v>
      </c>
      <c r="AB4">
        <v>2</v>
      </c>
      <c r="AC4">
        <v>0</v>
      </c>
    </row>
    <row r="5" spans="1:29" x14ac:dyDescent="0.2">
      <c r="A5" s="168" t="s">
        <v>1204</v>
      </c>
      <c r="B5" s="168" t="s">
        <v>1222</v>
      </c>
      <c r="C5" s="168" t="s">
        <v>1223</v>
      </c>
      <c r="D5" s="168" t="s">
        <v>1224</v>
      </c>
      <c r="E5" s="168" t="s">
        <v>1225</v>
      </c>
      <c r="F5" s="168" t="s">
        <v>1226</v>
      </c>
      <c r="G5" s="168" t="s">
        <v>1227</v>
      </c>
      <c r="H5" s="169" t="s">
        <v>1228</v>
      </c>
      <c r="I5" s="168" t="s">
        <v>1229</v>
      </c>
      <c r="T5" t="str">
        <f t="shared" si="0"/>
        <v>Workforce &amp; Customer Identity Lifecycle Assistant</v>
      </c>
      <c r="U5" s="163" t="e">
        <f t="shared" si="1"/>
        <v>#REF!</v>
      </c>
      <c r="V5" t="e">
        <f t="shared" si="2"/>
        <v>#REF!</v>
      </c>
      <c r="W5" t="e">
        <f t="shared" si="3"/>
        <v>#REF!</v>
      </c>
      <c r="X5" t="e">
        <f t="shared" si="4"/>
        <v>#REF!</v>
      </c>
      <c r="Y5" t="e">
        <f t="shared" si="5"/>
        <v>#REF!</v>
      </c>
      <c r="Z5">
        <v>5</v>
      </c>
      <c r="AA5">
        <v>2</v>
      </c>
      <c r="AB5">
        <v>2</v>
      </c>
      <c r="AC5">
        <v>0</v>
      </c>
    </row>
    <row r="6" spans="1:29" x14ac:dyDescent="0.2">
      <c r="A6" s="166" t="s">
        <v>1230</v>
      </c>
      <c r="B6" s="166" t="e" cm="1">
        <f t="array" ref="B6">_xlfn.LET(_xlpm.q,_xlfn._xlws.FILTER(#REF!,(#REF!="App")*(#REF!=$A6)),INDEX(_xlfn._xlws.SORT(_xlpm.q),1))</f>
        <v>#REF!</v>
      </c>
      <c r="C6" s="166" t="e" cm="1">
        <f t="array" ref="C6">_xlfn.LET(_xlpm.q,_xlfn._xlws.FILTER(#REF!,(#REF!="App")*(#REF!=$A6)),INDEX(_xlfn._xlws.SORT(_xlpm.q),ROWS(_xlpm.q)))</f>
        <v>#REF!</v>
      </c>
      <c r="D6" s="170" t="e">
        <f t="shared" ref="D6:D17" si="6">DATE(2000+LEFT(B6,2),1+(RIGHT(B6,1)-1)*3,1)</f>
        <v>#REF!</v>
      </c>
      <c r="E6" s="170" t="e">
        <f t="shared" ref="E6:E17" si="7">EDATE(DATE(2000+LEFT(C6,2),1+(RIGHT(C6,1)-1)*3,1),3)-1</f>
        <v>#REF!</v>
      </c>
      <c r="F6" s="171" t="e">
        <f t="shared" ref="F6:F17" si="8">E6-D6+1</f>
        <v>#REF!</v>
      </c>
      <c r="G6" s="171" t="e">
        <f>SUMIFS(#REF!,#REF!,"App",#REF!,$A6)</f>
        <v>#REF!</v>
      </c>
      <c r="H6" s="172" t="e">
        <f>COUNTIFS(#REF!,"App",#REF!,$A6)</f>
        <v>#REF!</v>
      </c>
      <c r="I6" s="166" cm="1">
        <f t="array" ref="I6">COUNTA(_xlfn.UNIQUE(_xlfn._xlws.FILTER(#REF!,(#REF!="App")*(#REF!=$A6))))</f>
        <v>1</v>
      </c>
      <c r="T6" t="str">
        <f t="shared" si="0"/>
        <v>Problem &amp; Root-Cause Analyst</v>
      </c>
      <c r="U6" s="163" t="e">
        <f t="shared" si="1"/>
        <v>#REF!</v>
      </c>
      <c r="V6" t="e">
        <f t="shared" si="2"/>
        <v>#REF!</v>
      </c>
      <c r="W6" t="e">
        <f t="shared" si="3"/>
        <v>#REF!</v>
      </c>
      <c r="X6" t="e">
        <f t="shared" si="4"/>
        <v>#REF!</v>
      </c>
      <c r="Y6" t="e">
        <f t="shared" si="5"/>
        <v>#REF!</v>
      </c>
      <c r="Z6">
        <v>6</v>
      </c>
      <c r="AA6">
        <v>2</v>
      </c>
      <c r="AB6">
        <v>7</v>
      </c>
      <c r="AC6">
        <v>7</v>
      </c>
    </row>
    <row r="7" spans="1:29" x14ac:dyDescent="0.2">
      <c r="A7" s="166" t="s">
        <v>1231</v>
      </c>
      <c r="B7" s="166" t="e" cm="1">
        <f t="array" ref="B7">_xlfn.LET(_xlpm.q,_xlfn._xlws.FILTER(#REF!,(#REF!="App")*(#REF!=$A7)),INDEX(_xlfn._xlws.SORT(_xlpm.q),1))</f>
        <v>#REF!</v>
      </c>
      <c r="C7" s="166" t="e" cm="1">
        <f t="array" ref="C7">_xlfn.LET(_xlpm.q,_xlfn._xlws.FILTER(#REF!,(#REF!="App")*(#REF!=$A7)),INDEX(_xlfn._xlws.SORT(_xlpm.q),ROWS(_xlpm.q)))</f>
        <v>#REF!</v>
      </c>
      <c r="D7" s="170" t="e">
        <f t="shared" si="6"/>
        <v>#REF!</v>
      </c>
      <c r="E7" s="170" t="e">
        <f t="shared" si="7"/>
        <v>#REF!</v>
      </c>
      <c r="F7" s="171" t="e">
        <f t="shared" si="8"/>
        <v>#REF!</v>
      </c>
      <c r="G7" s="171" t="e">
        <f>SUMIFS(#REF!,#REF!,"App",#REF!,$A7)</f>
        <v>#REF!</v>
      </c>
      <c r="H7" s="172" t="e">
        <f>COUNTIFS(#REF!,"App",#REF!,$A7)</f>
        <v>#REF!</v>
      </c>
      <c r="I7" s="166" cm="1">
        <f t="array" ref="I7">COUNTA(_xlfn.UNIQUE(_xlfn._xlws.FILTER(#REF!,(#REF!="App")*(#REF!=$A7))))</f>
        <v>1</v>
      </c>
      <c r="T7" t="str">
        <f t="shared" si="0"/>
        <v>Incident Triage &amp; Major Incident Copilot</v>
      </c>
      <c r="U7" s="163" t="e">
        <f t="shared" si="1"/>
        <v>#REF!</v>
      </c>
      <c r="V7" t="e">
        <f t="shared" si="2"/>
        <v>#REF!</v>
      </c>
      <c r="W7" t="e">
        <f t="shared" si="3"/>
        <v>#REF!</v>
      </c>
      <c r="X7" t="e">
        <f t="shared" si="4"/>
        <v>#REF!</v>
      </c>
      <c r="Y7" t="e">
        <f t="shared" si="5"/>
        <v>#REF!</v>
      </c>
      <c r="Z7">
        <v>1</v>
      </c>
      <c r="AA7">
        <v>1</v>
      </c>
      <c r="AB7">
        <v>2</v>
      </c>
      <c r="AC7">
        <v>0</v>
      </c>
    </row>
    <row r="8" spans="1:29" x14ac:dyDescent="0.2">
      <c r="A8" s="166" t="s">
        <v>693</v>
      </c>
      <c r="B8" s="166" t="e" cm="1">
        <f t="array" ref="B8">_xlfn.LET(_xlpm.q,_xlfn._xlws.FILTER(#REF!,(#REF!="App")*(#REF!=$A8)),INDEX(_xlfn._xlws.SORT(_xlpm.q),1))</f>
        <v>#REF!</v>
      </c>
      <c r="C8" s="166" t="e" cm="1">
        <f t="array" ref="C8">_xlfn.LET(_xlpm.q,_xlfn._xlws.FILTER(#REF!,(#REF!="App")*(#REF!=$A8)),INDEX(_xlfn._xlws.SORT(_xlpm.q),ROWS(_xlpm.q)))</f>
        <v>#REF!</v>
      </c>
      <c r="D8" s="170" t="e">
        <f t="shared" si="6"/>
        <v>#REF!</v>
      </c>
      <c r="E8" s="170" t="e">
        <f t="shared" si="7"/>
        <v>#REF!</v>
      </c>
      <c r="F8" s="171" t="e">
        <f t="shared" si="8"/>
        <v>#REF!</v>
      </c>
      <c r="G8" s="171" t="e">
        <f>SUMIFS(#REF!,#REF!,"App",#REF!,$A8)</f>
        <v>#REF!</v>
      </c>
      <c r="H8" s="172" t="e">
        <f>COUNTIFS(#REF!,"App",#REF!,$A8)</f>
        <v>#REF!</v>
      </c>
      <c r="I8" s="166" cm="1">
        <f t="array" ref="I8">COUNTA(_xlfn.UNIQUE(_xlfn._xlws.FILTER(#REF!,(#REF!="App")*(#REF!=$A8))))</f>
        <v>1</v>
      </c>
      <c r="T8" t="str">
        <f t="shared" si="0"/>
        <v>Enterprise Document Intelligence &amp; Compliance Agent</v>
      </c>
      <c r="U8" s="163" t="e">
        <f t="shared" si="1"/>
        <v>#REF!</v>
      </c>
      <c r="V8" t="e">
        <f t="shared" si="2"/>
        <v>#REF!</v>
      </c>
      <c r="W8" t="e">
        <f t="shared" si="3"/>
        <v>#REF!</v>
      </c>
      <c r="X8" t="e">
        <f t="shared" si="4"/>
        <v>#REF!</v>
      </c>
      <c r="Y8" t="e">
        <f t="shared" si="5"/>
        <v>#REF!</v>
      </c>
      <c r="Z8">
        <v>13</v>
      </c>
      <c r="AA8">
        <v>2</v>
      </c>
      <c r="AB8">
        <v>4</v>
      </c>
      <c r="AC8">
        <v>0</v>
      </c>
    </row>
    <row r="9" spans="1:29" x14ac:dyDescent="0.2">
      <c r="A9" s="166" t="s">
        <v>1232</v>
      </c>
      <c r="B9" s="166" t="e" cm="1">
        <f t="array" ref="B9">_xlfn.LET(_xlpm.q,_xlfn._xlws.FILTER(#REF!,(#REF!="App")*(#REF!=$A9)),INDEX(_xlfn._xlws.SORT(_xlpm.q),1))</f>
        <v>#REF!</v>
      </c>
      <c r="C9" s="166" t="e" cm="1">
        <f t="array" ref="C9">_xlfn.LET(_xlpm.q,_xlfn._xlws.FILTER(#REF!,(#REF!="App")*(#REF!=$A9)),INDEX(_xlfn._xlws.SORT(_xlpm.q),ROWS(_xlpm.q)))</f>
        <v>#REF!</v>
      </c>
      <c r="D9" s="170" t="e">
        <f t="shared" si="6"/>
        <v>#REF!</v>
      </c>
      <c r="E9" s="170" t="e">
        <f t="shared" si="7"/>
        <v>#REF!</v>
      </c>
      <c r="F9" s="171" t="e">
        <f t="shared" si="8"/>
        <v>#REF!</v>
      </c>
      <c r="G9" s="171" t="e">
        <f>SUMIFS(#REF!,#REF!,"App",#REF!,$A9)</f>
        <v>#REF!</v>
      </c>
      <c r="H9" s="172" t="e">
        <f>COUNTIFS(#REF!,"App",#REF!,$A9)</f>
        <v>#REF!</v>
      </c>
      <c r="I9" s="166" cm="1">
        <f t="array" ref="I9">COUNTA(_xlfn.UNIQUE(_xlfn._xlws.FILTER(#REF!,(#REF!="App")*(#REF!=$A9))))</f>
        <v>1</v>
      </c>
      <c r="T9" t="str">
        <f t="shared" si="0"/>
        <v>Operations Reporting &amp; Insights Agent</v>
      </c>
      <c r="U9" s="163" t="e">
        <f t="shared" si="1"/>
        <v>#REF!</v>
      </c>
      <c r="V9" t="e">
        <f t="shared" si="2"/>
        <v>#REF!</v>
      </c>
      <c r="W9" t="e">
        <f t="shared" si="3"/>
        <v>#REF!</v>
      </c>
      <c r="X9" t="e">
        <f t="shared" si="4"/>
        <v>#REF!</v>
      </c>
      <c r="Y9" t="e">
        <f t="shared" si="5"/>
        <v>#REF!</v>
      </c>
      <c r="Z9">
        <v>0</v>
      </c>
      <c r="AA9">
        <v>6</v>
      </c>
      <c r="AB9">
        <v>1</v>
      </c>
      <c r="AC9">
        <v>0</v>
      </c>
    </row>
    <row r="10" spans="1:29" x14ac:dyDescent="0.2">
      <c r="A10" s="166" t="s">
        <v>1233</v>
      </c>
      <c r="B10" s="166" t="e" cm="1">
        <f t="array" ref="B10">_xlfn.LET(_xlpm.q,_xlfn._xlws.FILTER(#REF!,(#REF!="App")*(#REF!=$A10)),INDEX(_xlfn._xlws.SORT(_xlpm.q),1))</f>
        <v>#REF!</v>
      </c>
      <c r="C10" s="166" t="e" cm="1">
        <f t="array" ref="C10">_xlfn.LET(_xlpm.q,_xlfn._xlws.FILTER(#REF!,(#REF!="App")*(#REF!=$A10)),INDEX(_xlfn._xlws.SORT(_xlpm.q),ROWS(_xlpm.q)))</f>
        <v>#REF!</v>
      </c>
      <c r="D10" s="170" t="e">
        <f t="shared" si="6"/>
        <v>#REF!</v>
      </c>
      <c r="E10" s="170" t="e">
        <f t="shared" si="7"/>
        <v>#REF!</v>
      </c>
      <c r="F10" s="171" t="e">
        <f t="shared" si="8"/>
        <v>#REF!</v>
      </c>
      <c r="G10" s="171" t="e">
        <f>SUMIFS(#REF!,#REF!,"App",#REF!,$A10)</f>
        <v>#REF!</v>
      </c>
      <c r="H10" s="172" t="e">
        <f>COUNTIFS(#REF!,"App",#REF!,$A10)</f>
        <v>#REF!</v>
      </c>
      <c r="I10" s="166" cm="1">
        <f t="array" ref="I10">COUNTA(_xlfn.UNIQUE(_xlfn._xlws.FILTER(#REF!,(#REF!="App")*(#REF!=$A10))))</f>
        <v>1</v>
      </c>
      <c r="T10" t="str">
        <f t="shared" si="0"/>
        <v>Release Quality &amp; Validation Agent</v>
      </c>
      <c r="U10" s="163" t="e">
        <f t="shared" si="1"/>
        <v>#REF!</v>
      </c>
      <c r="V10" t="e">
        <f t="shared" si="2"/>
        <v>#REF!</v>
      </c>
      <c r="W10" t="e">
        <f t="shared" si="3"/>
        <v>#REF!</v>
      </c>
      <c r="X10" t="e">
        <f t="shared" si="4"/>
        <v>#REF!</v>
      </c>
      <c r="Y10" t="e">
        <f t="shared" si="5"/>
        <v>#REF!</v>
      </c>
      <c r="Z10">
        <v>0</v>
      </c>
      <c r="AA10">
        <v>2</v>
      </c>
      <c r="AB10">
        <v>0</v>
      </c>
      <c r="AC10">
        <v>0</v>
      </c>
    </row>
    <row r="11" spans="1:29" x14ac:dyDescent="0.2">
      <c r="A11" s="166" t="s">
        <v>1234</v>
      </c>
      <c r="B11" s="166" t="e" cm="1">
        <f t="array" ref="B11">_xlfn.LET(_xlpm.q,_xlfn._xlws.FILTER(#REF!,(#REF!="App")*(#REF!=$A11)),INDEX(_xlfn._xlws.SORT(_xlpm.q),1))</f>
        <v>#REF!</v>
      </c>
      <c r="C11" s="166" t="e" cm="1">
        <f t="array" ref="C11">_xlfn.LET(_xlpm.q,_xlfn._xlws.FILTER(#REF!,(#REF!="App")*(#REF!=$A11)),INDEX(_xlfn._xlws.SORT(_xlpm.q),ROWS(_xlpm.q)))</f>
        <v>#REF!</v>
      </c>
      <c r="D11" s="170" t="e">
        <f t="shared" si="6"/>
        <v>#REF!</v>
      </c>
      <c r="E11" s="170" t="e">
        <f t="shared" si="7"/>
        <v>#REF!</v>
      </c>
      <c r="F11" s="171" t="e">
        <f t="shared" si="8"/>
        <v>#REF!</v>
      </c>
      <c r="G11" s="171" t="e">
        <f>SUMIFS(#REF!,#REF!,"App",#REF!,$A11)</f>
        <v>#REF!</v>
      </c>
      <c r="H11" s="172" t="e">
        <f>COUNTIFS(#REF!,"App",#REF!,$A11)</f>
        <v>#REF!</v>
      </c>
      <c r="I11" s="166" cm="1">
        <f t="array" ref="I11">COUNTA(_xlfn.UNIQUE(_xlfn._xlws.FILTER(#REF!,(#REF!="App")*(#REF!=$A11))))</f>
        <v>1</v>
      </c>
      <c r="T11" t="str">
        <f t="shared" si="0"/>
        <v>Knowledge &amp; Resolution Copilot</v>
      </c>
      <c r="U11" s="163" t="e">
        <f t="shared" si="1"/>
        <v>#REF!</v>
      </c>
      <c r="V11" t="e">
        <f t="shared" si="2"/>
        <v>#REF!</v>
      </c>
      <c r="W11" t="e">
        <f t="shared" si="3"/>
        <v>#REF!</v>
      </c>
      <c r="X11" t="e">
        <f t="shared" si="4"/>
        <v>#REF!</v>
      </c>
      <c r="Y11" t="e">
        <f t="shared" si="5"/>
        <v>#REF!</v>
      </c>
      <c r="Z11">
        <v>0</v>
      </c>
      <c r="AA11">
        <v>2</v>
      </c>
      <c r="AB11">
        <v>0</v>
      </c>
      <c r="AC11">
        <v>0</v>
      </c>
    </row>
    <row r="12" spans="1:29" x14ac:dyDescent="0.2">
      <c r="A12" s="166" t="s">
        <v>1235</v>
      </c>
      <c r="B12" s="166" t="e" cm="1">
        <f t="array" ref="B12">_xlfn.LET(_xlpm.q,_xlfn._xlws.FILTER(#REF!,(#REF!="App")*(#REF!=$A12)),INDEX(_xlfn._xlws.SORT(_xlpm.q),1))</f>
        <v>#REF!</v>
      </c>
      <c r="C12" s="166" t="e" cm="1">
        <f t="array" ref="C12">_xlfn.LET(_xlpm.q,_xlfn._xlws.FILTER(#REF!,(#REF!="App")*(#REF!=$A12)),INDEX(_xlfn._xlws.SORT(_xlpm.q),ROWS(_xlpm.q)))</f>
        <v>#REF!</v>
      </c>
      <c r="D12" s="170" t="e">
        <f t="shared" si="6"/>
        <v>#REF!</v>
      </c>
      <c r="E12" s="170" t="e">
        <f t="shared" si="7"/>
        <v>#REF!</v>
      </c>
      <c r="F12" s="171" t="e">
        <f t="shared" si="8"/>
        <v>#REF!</v>
      </c>
      <c r="G12" s="171" t="e">
        <f>SUMIFS(#REF!,#REF!,"App",#REF!,$A12)</f>
        <v>#REF!</v>
      </c>
      <c r="H12" s="172" t="e">
        <f>COUNTIFS(#REF!,"App",#REF!,$A12)</f>
        <v>#REF!</v>
      </c>
      <c r="I12" s="166" cm="1">
        <f t="array" ref="I12">COUNTA(_xlfn.UNIQUE(_xlfn._xlws.FILTER(#REF!,(#REF!="App")*(#REF!=$A12))))</f>
        <v>1</v>
      </c>
      <c r="T12" t="str">
        <f t="shared" si="0"/>
        <v>Service Desk Intake &amp; Interaction Orchestrator</v>
      </c>
      <c r="U12" s="163" t="e">
        <f t="shared" si="1"/>
        <v>#REF!</v>
      </c>
      <c r="V12" t="e">
        <f t="shared" si="2"/>
        <v>#REF!</v>
      </c>
      <c r="W12" t="e">
        <f t="shared" si="3"/>
        <v>#REF!</v>
      </c>
      <c r="X12" t="e">
        <f t="shared" si="4"/>
        <v>#REF!</v>
      </c>
      <c r="Y12" t="e">
        <f t="shared" si="5"/>
        <v>#REF!</v>
      </c>
      <c r="Z12">
        <v>0</v>
      </c>
      <c r="AA12">
        <v>0</v>
      </c>
      <c r="AB12">
        <v>2</v>
      </c>
      <c r="AC12">
        <v>0</v>
      </c>
    </row>
    <row r="13" spans="1:29" x14ac:dyDescent="0.2">
      <c r="A13" s="166" t="s">
        <v>1236</v>
      </c>
      <c r="B13" s="166" t="e" cm="1">
        <f t="array" ref="B13">_xlfn.LET(_xlpm.q,_xlfn._xlws.FILTER(#REF!,(#REF!="App")*(#REF!=$A13)),INDEX(_xlfn._xlws.SORT(_xlpm.q),1))</f>
        <v>#REF!</v>
      </c>
      <c r="C13" s="166" t="e" cm="1">
        <f t="array" ref="C13">_xlfn.LET(_xlpm.q,_xlfn._xlws.FILTER(#REF!,(#REF!="App")*(#REF!=$A13)),INDEX(_xlfn._xlws.SORT(_xlpm.q),ROWS(_xlpm.q)))</f>
        <v>#REF!</v>
      </c>
      <c r="D13" s="170" t="e">
        <f t="shared" si="6"/>
        <v>#REF!</v>
      </c>
      <c r="E13" s="170" t="e">
        <f t="shared" si="7"/>
        <v>#REF!</v>
      </c>
      <c r="F13" s="171" t="e">
        <f t="shared" si="8"/>
        <v>#REF!</v>
      </c>
      <c r="G13" s="171" t="e">
        <f>SUMIFS(#REF!,#REF!,"App",#REF!,$A13)</f>
        <v>#REF!</v>
      </c>
      <c r="H13" s="172" t="e">
        <f>COUNTIFS(#REF!,"App",#REF!,$A13)</f>
        <v>#REF!</v>
      </c>
      <c r="I13" s="166" cm="1">
        <f t="array" ref="I13">COUNTA(_xlfn.UNIQUE(_xlfn._xlws.FILTER(#REF!,(#REF!="App")*(#REF!=$A13))))</f>
        <v>1</v>
      </c>
      <c r="T13" t="str">
        <f t="shared" si="0"/>
        <v>Service Request &amp; Standard Data Extract Fulfilment Agent</v>
      </c>
      <c r="U13" s="163" t="e">
        <f t="shared" si="1"/>
        <v>#REF!</v>
      </c>
      <c r="V13" t="e">
        <f t="shared" si="2"/>
        <v>#REF!</v>
      </c>
      <c r="W13" t="e">
        <f t="shared" si="3"/>
        <v>#REF!</v>
      </c>
      <c r="X13" t="e">
        <f t="shared" si="4"/>
        <v>#REF!</v>
      </c>
      <c r="Y13" t="e">
        <f t="shared" si="5"/>
        <v>#REF!</v>
      </c>
      <c r="Z13">
        <v>0</v>
      </c>
      <c r="AA13">
        <v>0</v>
      </c>
      <c r="AB13">
        <v>1</v>
      </c>
      <c r="AC13">
        <v>0</v>
      </c>
    </row>
    <row r="14" spans="1:29" x14ac:dyDescent="0.2">
      <c r="A14" s="166" t="s">
        <v>1237</v>
      </c>
      <c r="B14" s="166" t="e" cm="1">
        <f t="array" ref="B14">_xlfn.LET(_xlpm.q,_xlfn._xlws.FILTER(#REF!,(#REF!="App")*(#REF!=$A14)),INDEX(_xlfn._xlws.SORT(_xlpm.q),1))</f>
        <v>#REF!</v>
      </c>
      <c r="C14" s="166" t="e" cm="1">
        <f t="array" ref="C14">_xlfn.LET(_xlpm.q,_xlfn._xlws.FILTER(#REF!,(#REF!="App")*(#REF!=$A14)),INDEX(_xlfn._xlws.SORT(_xlpm.q),ROWS(_xlpm.q)))</f>
        <v>#REF!</v>
      </c>
      <c r="D14" s="170" t="e">
        <f t="shared" si="6"/>
        <v>#REF!</v>
      </c>
      <c r="E14" s="170" t="e">
        <f t="shared" si="7"/>
        <v>#REF!</v>
      </c>
      <c r="F14" s="171" t="e">
        <f t="shared" si="8"/>
        <v>#REF!</v>
      </c>
      <c r="G14" s="171" t="e">
        <f>SUMIFS(#REF!,#REF!,"App",#REF!,$A14)</f>
        <v>#REF!</v>
      </c>
      <c r="H14" s="172" t="e">
        <f>COUNTIFS(#REF!,"App",#REF!,$A14)</f>
        <v>#REF!</v>
      </c>
      <c r="I14" s="166" cm="1">
        <f t="array" ref="I14">COUNTA(_xlfn.UNIQUE(_xlfn._xlws.FILTER(#REF!,(#REF!="App")*(#REF!=$A14))))</f>
        <v>1</v>
      </c>
    </row>
    <row r="15" spans="1:29" x14ac:dyDescent="0.2">
      <c r="A15" s="166" t="s">
        <v>1238</v>
      </c>
      <c r="B15" s="166" t="e" cm="1">
        <f t="array" ref="B15">_xlfn.LET(_xlpm.q,_xlfn._xlws.FILTER(#REF!,(#REF!="App")*(#REF!=$A15)),INDEX(_xlfn._xlws.SORT(_xlpm.q),1))</f>
        <v>#REF!</v>
      </c>
      <c r="C15" s="166" t="e" cm="1">
        <f t="array" ref="C15">_xlfn.LET(_xlpm.q,_xlfn._xlws.FILTER(#REF!,(#REF!="App")*(#REF!=$A15)),INDEX(_xlfn._xlws.SORT(_xlpm.q),ROWS(_xlpm.q)))</f>
        <v>#REF!</v>
      </c>
      <c r="D15" s="170" t="e">
        <f t="shared" si="6"/>
        <v>#REF!</v>
      </c>
      <c r="E15" s="170" t="e">
        <f t="shared" si="7"/>
        <v>#REF!</v>
      </c>
      <c r="F15" s="171" t="e">
        <f t="shared" si="8"/>
        <v>#REF!</v>
      </c>
      <c r="G15" s="171" t="e">
        <f>SUMIFS(#REF!,#REF!,"App",#REF!,$A15)</f>
        <v>#REF!</v>
      </c>
      <c r="H15" s="172" t="e">
        <f>COUNTIFS(#REF!,"App",#REF!,$A15)</f>
        <v>#REF!</v>
      </c>
      <c r="I15" s="166" cm="1">
        <f t="array" ref="I15">COUNTA(_xlfn.UNIQUE(_xlfn._xlws.FILTER(#REF!,(#REF!="App")*(#REF!=$A15))))</f>
        <v>1</v>
      </c>
    </row>
    <row r="16" spans="1:29" x14ac:dyDescent="0.2">
      <c r="A16" s="166" t="s">
        <v>1239</v>
      </c>
      <c r="B16" s="166" t="e" cm="1">
        <f t="array" ref="B16">_xlfn.LET(_xlpm.q,_xlfn._xlws.FILTER(#REF!,(#REF!="App")*(#REF!=$A16)),INDEX(_xlfn._xlws.SORT(_xlpm.q),1))</f>
        <v>#REF!</v>
      </c>
      <c r="C16" s="166" t="e" cm="1">
        <f t="array" ref="C16">_xlfn.LET(_xlpm.q,_xlfn._xlws.FILTER(#REF!,(#REF!="App")*(#REF!=$A16)),INDEX(_xlfn._xlws.SORT(_xlpm.q),ROWS(_xlpm.q)))</f>
        <v>#REF!</v>
      </c>
      <c r="D16" s="170" t="e">
        <f t="shared" si="6"/>
        <v>#REF!</v>
      </c>
      <c r="E16" s="170" t="e">
        <f t="shared" si="7"/>
        <v>#REF!</v>
      </c>
      <c r="F16" s="171" t="e">
        <f t="shared" si="8"/>
        <v>#REF!</v>
      </c>
      <c r="G16" s="171" t="e">
        <f>SUMIFS(#REF!,#REF!,"App",#REF!,$A16)</f>
        <v>#REF!</v>
      </c>
      <c r="H16" s="172" t="e">
        <f>COUNTIFS(#REF!,"App",#REF!,$A16)</f>
        <v>#REF!</v>
      </c>
      <c r="I16" s="166" cm="1">
        <f t="array" ref="I16">COUNTA(_xlfn.UNIQUE(_xlfn._xlws.FILTER(#REF!,(#REF!="App")*(#REF!=$A16))))</f>
        <v>1</v>
      </c>
    </row>
    <row r="17" spans="1:9" x14ac:dyDescent="0.2">
      <c r="A17" s="173" t="s">
        <v>1240</v>
      </c>
      <c r="B17" s="173" t="e" cm="1">
        <f t="array" ref="B17">_xlfn.LET(_xlpm.q,_xlfn._xlws.FILTER(#REF!,(#REF!="App")*(#REF!=$A17)),INDEX(_xlfn._xlws.SORT(_xlpm.q),1))</f>
        <v>#REF!</v>
      </c>
      <c r="C17" s="173" t="e" cm="1">
        <f t="array" ref="C17">_xlfn.LET(_xlpm.q,_xlfn._xlws.FILTER(#REF!,(#REF!="App")*(#REF!=$A17)),INDEX(_xlfn._xlws.SORT(_xlpm.q),ROWS(_xlpm.q)))</f>
        <v>#REF!</v>
      </c>
      <c r="D17" s="174" t="e">
        <f t="shared" si="6"/>
        <v>#REF!</v>
      </c>
      <c r="E17" s="174" t="e">
        <f t="shared" si="7"/>
        <v>#REF!</v>
      </c>
      <c r="F17" s="175" t="e">
        <f t="shared" si="8"/>
        <v>#REF!</v>
      </c>
      <c r="G17" s="175" t="e">
        <f>SUMIFS(#REF!,#REF!,"App",#REF!,$A17)</f>
        <v>#REF!</v>
      </c>
      <c r="H17" s="176" t="e">
        <f>COUNTIFS(#REF!,"App",#REF!,$A17)</f>
        <v>#REF!</v>
      </c>
      <c r="I17" s="173" cm="1">
        <f t="array" ref="I17">COUNTA(_xlfn.UNIQUE(_xlfn._xlws.FILTER(#REF!,(#REF!="App")*(#REF!=$A17))))</f>
        <v>1</v>
      </c>
    </row>
    <row r="18" spans="1:9" x14ac:dyDescent="0.2">
      <c r="A18" s="166"/>
      <c r="B18" s="166"/>
      <c r="C18" s="166"/>
      <c r="D18" s="166"/>
      <c r="E18" s="166"/>
      <c r="F18" s="166"/>
      <c r="G18" s="166"/>
      <c r="H18" s="166"/>
    </row>
    <row r="19" spans="1:9" x14ac:dyDescent="0.2">
      <c r="A19" s="166"/>
      <c r="B19" s="166"/>
      <c r="C19" s="166"/>
      <c r="D19" s="166"/>
      <c r="E19" s="166"/>
      <c r="F19" s="166"/>
      <c r="G19" s="166"/>
      <c r="H19" s="166"/>
    </row>
    <row r="20" spans="1:9" x14ac:dyDescent="0.2">
      <c r="A20" s="166"/>
      <c r="B20" s="166"/>
      <c r="C20" s="166"/>
      <c r="D20" s="166"/>
      <c r="E20" s="166"/>
      <c r="F20" s="166"/>
      <c r="G20" s="166"/>
      <c r="H20" s="166"/>
    </row>
    <row r="21" spans="1:9" x14ac:dyDescent="0.2">
      <c r="A21" s="166"/>
      <c r="B21" s="166"/>
      <c r="C21" s="166"/>
      <c r="D21" s="166"/>
      <c r="E21" s="166"/>
      <c r="F21" s="166"/>
      <c r="G21" s="166"/>
      <c r="H21" s="166"/>
    </row>
    <row r="22" spans="1:9" x14ac:dyDescent="0.2">
      <c r="A22" s="166"/>
      <c r="B22" s="166"/>
      <c r="C22" s="166"/>
      <c r="D22" s="166"/>
      <c r="E22" s="166"/>
      <c r="F22" s="166"/>
      <c r="G22" s="166"/>
      <c r="H22" s="166"/>
    </row>
    <row r="23" spans="1:9" x14ac:dyDescent="0.2">
      <c r="A23" s="166"/>
      <c r="B23" s="166"/>
      <c r="C23" s="166"/>
      <c r="D23" s="166"/>
      <c r="E23" s="166"/>
      <c r="F23" s="166"/>
      <c r="G23" s="166"/>
      <c r="H23" s="166"/>
    </row>
    <row r="24" spans="1:9" x14ac:dyDescent="0.2">
      <c r="A24" s="166"/>
      <c r="B24" s="166"/>
      <c r="C24" s="166"/>
      <c r="D24" s="166"/>
      <c r="E24" s="166"/>
      <c r="F24" s="166"/>
      <c r="G24" s="166"/>
      <c r="H24" s="166"/>
    </row>
    <row r="25" spans="1:9" x14ac:dyDescent="0.2">
      <c r="A25" s="166"/>
      <c r="B25" s="166"/>
      <c r="C25" s="166"/>
      <c r="D25" s="166"/>
      <c r="E25" s="166"/>
      <c r="F25" s="166"/>
      <c r="G25" s="166"/>
      <c r="H25" s="166"/>
    </row>
    <row r="26" spans="1:9" x14ac:dyDescent="0.2">
      <c r="A26" s="166"/>
      <c r="B26" s="166"/>
      <c r="C26" s="166"/>
      <c r="D26" s="166"/>
      <c r="E26" s="166"/>
      <c r="F26" s="166"/>
      <c r="G26" s="166"/>
      <c r="H26" s="166"/>
    </row>
    <row r="27" spans="1:9" x14ac:dyDescent="0.2">
      <c r="A27" s="166"/>
      <c r="B27" s="166"/>
      <c r="C27" s="166"/>
      <c r="D27" s="166"/>
      <c r="E27" s="166"/>
      <c r="F27" s="166"/>
      <c r="G27" s="166"/>
      <c r="H27" s="166"/>
    </row>
    <row r="28" spans="1:9" x14ac:dyDescent="0.2">
      <c r="A28" s="166"/>
      <c r="B28" s="166"/>
      <c r="C28" s="166"/>
      <c r="D28" s="166"/>
      <c r="E28" s="166"/>
      <c r="F28" s="166"/>
      <c r="G28" s="166"/>
      <c r="H28" s="166"/>
    </row>
    <row r="29" spans="1:9" x14ac:dyDescent="0.2">
      <c r="A29" s="166"/>
      <c r="B29" s="166"/>
      <c r="C29" s="166"/>
      <c r="D29" s="166"/>
      <c r="E29" s="166"/>
      <c r="F29" s="166"/>
      <c r="G29" s="166"/>
      <c r="H29" s="166"/>
    </row>
    <row r="30" spans="1:9" x14ac:dyDescent="0.2">
      <c r="A30" s="166"/>
      <c r="B30" s="166"/>
      <c r="C30" s="166"/>
      <c r="D30" s="166"/>
      <c r="E30" s="166"/>
      <c r="F30" s="166"/>
      <c r="G30" s="166"/>
      <c r="H30" s="166"/>
    </row>
    <row r="31" spans="1:9" x14ac:dyDescent="0.2">
      <c r="A31" s="166"/>
      <c r="B31" s="166"/>
      <c r="C31" s="166"/>
      <c r="D31" s="166"/>
      <c r="E31" s="166"/>
      <c r="F31" s="166"/>
      <c r="G31" s="166"/>
      <c r="H31" s="166"/>
    </row>
    <row r="32" spans="1:9" x14ac:dyDescent="0.2">
      <c r="A32" s="166"/>
      <c r="B32" s="166"/>
      <c r="C32" s="166"/>
      <c r="D32" s="166"/>
      <c r="E32" s="166"/>
      <c r="F32" s="166"/>
      <c r="G32" s="166"/>
      <c r="H32" s="166"/>
    </row>
    <row r="33" spans="1:8" x14ac:dyDescent="0.2">
      <c r="A33" s="166"/>
      <c r="B33" s="166"/>
      <c r="C33" s="166"/>
      <c r="D33" s="166"/>
      <c r="E33" s="166"/>
      <c r="F33" s="166"/>
      <c r="G33" s="166"/>
      <c r="H33" s="166"/>
    </row>
    <row r="34" spans="1:8" x14ac:dyDescent="0.2">
      <c r="A34" s="166"/>
      <c r="B34" s="166"/>
      <c r="C34" s="166"/>
      <c r="D34" s="166"/>
      <c r="E34" s="166"/>
      <c r="F34" s="166"/>
      <c r="G34" s="166"/>
      <c r="H34" s="166"/>
    </row>
    <row r="35" spans="1:8" x14ac:dyDescent="0.2">
      <c r="A35" s="166"/>
      <c r="B35" s="166"/>
      <c r="C35" s="166"/>
      <c r="D35" s="166"/>
      <c r="E35" s="166"/>
      <c r="F35" s="166"/>
      <c r="G35" s="166"/>
      <c r="H35" s="166"/>
    </row>
    <row r="36" spans="1:8" x14ac:dyDescent="0.2">
      <c r="A36" s="166"/>
      <c r="B36" s="166"/>
      <c r="C36" s="166"/>
      <c r="D36" s="166"/>
      <c r="E36" s="166"/>
      <c r="F36" s="166"/>
      <c r="G36" s="166"/>
      <c r="H36" s="166"/>
    </row>
    <row r="37" spans="1:8" x14ac:dyDescent="0.2">
      <c r="A37" s="166"/>
      <c r="B37" s="166"/>
      <c r="C37" s="166"/>
      <c r="D37" s="166"/>
      <c r="E37" s="166"/>
      <c r="F37" s="166"/>
      <c r="G37" s="166"/>
      <c r="H37" s="166"/>
    </row>
    <row r="38" spans="1:8" x14ac:dyDescent="0.2">
      <c r="A38" s="166"/>
      <c r="B38" s="166"/>
      <c r="C38" s="166"/>
      <c r="D38" s="166"/>
      <c r="E38" s="166"/>
      <c r="F38" s="166"/>
      <c r="G38" s="166"/>
      <c r="H38" s="166"/>
    </row>
    <row r="39" spans="1:8" x14ac:dyDescent="0.2">
      <c r="A39" s="166"/>
      <c r="B39" s="166"/>
      <c r="C39" s="166"/>
      <c r="D39" s="166"/>
      <c r="E39" s="166"/>
      <c r="F39" s="166"/>
      <c r="G39" s="166"/>
      <c r="H39" s="166"/>
    </row>
    <row r="40" spans="1:8" x14ac:dyDescent="0.2">
      <c r="A40" s="166"/>
      <c r="B40" s="166"/>
      <c r="C40" s="166"/>
      <c r="D40" s="166"/>
      <c r="E40" s="166"/>
      <c r="F40" s="166"/>
      <c r="G40" s="166"/>
      <c r="H40" s="166"/>
    </row>
  </sheetData>
  <mergeCells count="2">
    <mergeCell ref="A1:H1"/>
    <mergeCell ref="A2:H2"/>
  </mergeCells>
  <conditionalFormatting sqref="H6:H17">
    <cfRule type="dataBar" priority="1">
      <dataBar>
        <cfvo type="min"/>
        <cfvo type="max"/>
        <color rgb="FF638EC6"/>
      </dataBar>
      <extLst>
        <ext xmlns:x14="http://schemas.microsoft.com/office/spreadsheetml/2009/9/main" uri="{B025F937-C7B1-47D3-B67F-A62EFF666E3E}">
          <x14:id>{634ACFD8-E22E-4D16-9763-A6812F699797}</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634ACFD8-E22E-4D16-9763-A6812F699797}">
            <x14:dataBar minLength="0" maxLength="100" negativeBarColorSameAsPositive="1" axisPosition="none">
              <x14:cfvo type="min"/>
              <x14:cfvo type="max"/>
            </x14:dataBar>
          </x14:cfRule>
          <xm:sqref>H6:H17</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K504"/>
  <sheetViews>
    <sheetView showGridLines="0" topLeftCell="V1" workbookViewId="0">
      <pane ySplit="4" topLeftCell="A5" activePane="bottomLeft" state="frozen"/>
      <selection pane="bottomLeft" activeCell="A6" sqref="A6"/>
    </sheetView>
  </sheetViews>
  <sheetFormatPr baseColWidth="10" defaultColWidth="8.83203125" defaultRowHeight="15" x14ac:dyDescent="0.2"/>
  <cols>
    <col min="1" max="3" width="19.1640625" customWidth="1"/>
    <col min="4" max="7" width="24.5" customWidth="1"/>
    <col min="8" max="10" width="20.83203125" customWidth="1"/>
    <col min="11" max="28" width="16.6640625" customWidth="1"/>
    <col min="29" max="34" width="19.1640625" customWidth="1"/>
    <col min="35" max="35" width="40" customWidth="1"/>
    <col min="36" max="36" width="20.83203125" customWidth="1"/>
    <col min="37" max="37" width="47.33203125" customWidth="1"/>
  </cols>
  <sheetData>
    <row r="1" spans="1:37" ht="26.25" customHeight="1" x14ac:dyDescent="0.2">
      <c r="A1" s="180" t="s">
        <v>295</v>
      </c>
      <c r="B1" s="181"/>
      <c r="C1" s="181"/>
      <c r="D1" s="181"/>
      <c r="E1" s="181"/>
      <c r="F1" s="181"/>
      <c r="G1" s="181"/>
      <c r="H1" s="181"/>
      <c r="I1" s="181"/>
      <c r="J1" s="181"/>
      <c r="K1" s="181"/>
      <c r="L1" s="181"/>
      <c r="M1" s="181"/>
      <c r="N1" s="181"/>
      <c r="O1" s="181"/>
      <c r="P1" s="181"/>
      <c r="Q1" s="181"/>
      <c r="R1" s="181"/>
      <c r="S1" s="181"/>
      <c r="T1" s="181"/>
      <c r="U1" s="181"/>
      <c r="V1" s="181"/>
      <c r="W1" s="181"/>
      <c r="X1" s="181"/>
      <c r="Y1" s="181"/>
      <c r="Z1" s="181"/>
      <c r="AA1" s="181"/>
      <c r="AB1" s="181"/>
      <c r="AC1" s="181"/>
      <c r="AD1" s="181"/>
      <c r="AE1" s="181"/>
      <c r="AF1" s="181"/>
      <c r="AG1" s="181"/>
      <c r="AH1" s="181"/>
      <c r="AI1" s="181"/>
      <c r="AJ1" s="181"/>
      <c r="AK1" s="181"/>
    </row>
    <row r="2" spans="1:37" x14ac:dyDescent="0.2">
      <c r="A2" s="187" t="s">
        <v>296</v>
      </c>
      <c r="B2" s="181"/>
      <c r="C2" s="181"/>
      <c r="D2" s="181"/>
      <c r="E2" s="181"/>
      <c r="F2" s="181"/>
      <c r="G2" s="181"/>
      <c r="H2" s="181"/>
      <c r="I2" s="181"/>
      <c r="J2" s="181"/>
      <c r="K2" s="181"/>
      <c r="L2" s="181"/>
      <c r="M2" s="181"/>
      <c r="N2" s="181"/>
      <c r="O2" s="181"/>
      <c r="P2" s="181"/>
      <c r="Q2" s="181"/>
      <c r="R2" s="181"/>
      <c r="S2" s="181"/>
      <c r="T2" s="181"/>
      <c r="U2" s="181"/>
      <c r="V2" s="181"/>
      <c r="W2" s="181"/>
      <c r="X2" s="181"/>
      <c r="Y2" s="181"/>
      <c r="Z2" s="181"/>
      <c r="AA2" s="181"/>
      <c r="AB2" s="181"/>
      <c r="AC2" s="181"/>
      <c r="AD2" s="181"/>
      <c r="AE2" s="181"/>
      <c r="AF2" s="181"/>
      <c r="AG2" s="181"/>
      <c r="AH2" s="181"/>
      <c r="AI2" s="181"/>
      <c r="AJ2" s="181"/>
      <c r="AK2" s="181"/>
    </row>
    <row r="4" spans="1:37" ht="38.25" customHeight="1" x14ac:dyDescent="0.2">
      <c r="A4" s="62" t="s">
        <v>297</v>
      </c>
      <c r="B4" s="62" t="s">
        <v>298</v>
      </c>
      <c r="C4" s="62" t="s">
        <v>168</v>
      </c>
      <c r="D4" s="62" t="s">
        <v>299</v>
      </c>
      <c r="E4" s="62" t="s">
        <v>300</v>
      </c>
      <c r="F4" s="62" t="s">
        <v>301</v>
      </c>
      <c r="G4" s="62" t="s">
        <v>302</v>
      </c>
      <c r="H4" s="62" t="s">
        <v>303</v>
      </c>
      <c r="I4" s="62" t="s">
        <v>304</v>
      </c>
      <c r="J4" s="62" t="s">
        <v>305</v>
      </c>
      <c r="K4" s="62" t="s">
        <v>306</v>
      </c>
      <c r="L4" s="62" t="s">
        <v>307</v>
      </c>
      <c r="M4" s="62" t="s">
        <v>308</v>
      </c>
      <c r="N4" s="62" t="s">
        <v>309</v>
      </c>
      <c r="O4" s="62" t="s">
        <v>204</v>
      </c>
      <c r="P4" s="62" t="s">
        <v>310</v>
      </c>
      <c r="Q4" s="62" t="s">
        <v>311</v>
      </c>
      <c r="R4" s="62" t="s">
        <v>312</v>
      </c>
      <c r="S4" s="62" t="s">
        <v>313</v>
      </c>
      <c r="T4" s="62" t="s">
        <v>200</v>
      </c>
      <c r="U4" s="62" t="s">
        <v>201</v>
      </c>
      <c r="V4" s="62" t="s">
        <v>202</v>
      </c>
      <c r="W4" s="62" t="s">
        <v>314</v>
      </c>
      <c r="X4" s="62" t="s">
        <v>315</v>
      </c>
      <c r="Y4" s="62" t="s">
        <v>316</v>
      </c>
      <c r="Z4" s="62" t="s">
        <v>317</v>
      </c>
      <c r="AA4" s="62" t="s">
        <v>318</v>
      </c>
      <c r="AB4" s="62" t="s">
        <v>319</v>
      </c>
      <c r="AC4" s="62" t="s">
        <v>320</v>
      </c>
      <c r="AD4" s="62" t="s">
        <v>321</v>
      </c>
      <c r="AE4" s="62" t="s">
        <v>322</v>
      </c>
      <c r="AF4" s="62" t="s">
        <v>323</v>
      </c>
      <c r="AG4" s="62" t="s">
        <v>324</v>
      </c>
      <c r="AH4" s="62" t="s">
        <v>325</v>
      </c>
      <c r="AI4" s="62" t="s">
        <v>326</v>
      </c>
      <c r="AJ4" s="62" t="s">
        <v>180</v>
      </c>
      <c r="AK4" s="62" t="s">
        <v>327</v>
      </c>
    </row>
    <row r="5" spans="1:37" ht="80" x14ac:dyDescent="0.2">
      <c r="A5" s="50" t="s">
        <v>803</v>
      </c>
      <c r="B5" s="50" t="s">
        <v>671</v>
      </c>
      <c r="C5" s="50" t="s">
        <v>545</v>
      </c>
      <c r="D5" s="50" t="s">
        <v>804</v>
      </c>
      <c r="E5" s="50" t="s">
        <v>805</v>
      </c>
      <c r="F5" s="50" t="s">
        <v>546</v>
      </c>
      <c r="G5" s="50" t="s">
        <v>604</v>
      </c>
      <c r="H5" s="50" t="s">
        <v>613</v>
      </c>
      <c r="I5" s="50" t="s">
        <v>806</v>
      </c>
      <c r="J5" s="50" t="s">
        <v>688</v>
      </c>
      <c r="K5" s="50">
        <v>6</v>
      </c>
      <c r="L5" s="50" t="s">
        <v>807</v>
      </c>
      <c r="M5" s="52">
        <v>45000</v>
      </c>
      <c r="N5" s="114">
        <v>0</v>
      </c>
      <c r="O5" s="114">
        <v>0</v>
      </c>
      <c r="P5" s="53">
        <f t="shared" ref="P5:P68" si="0">IF(OR(M5="",M5=0),0,M5*(1-N5)*(1+O5))</f>
        <v>45000</v>
      </c>
      <c r="Q5" s="50" t="s">
        <v>546</v>
      </c>
      <c r="R5" s="50">
        <v>12</v>
      </c>
      <c r="S5" s="114">
        <v>0</v>
      </c>
      <c r="T5" s="50" t="s">
        <v>590</v>
      </c>
      <c r="U5" s="50" t="s">
        <v>800</v>
      </c>
      <c r="V5" s="124">
        <v>46298</v>
      </c>
      <c r="W5" s="50" t="s">
        <v>606</v>
      </c>
      <c r="X5" s="50">
        <v>6</v>
      </c>
      <c r="Y5" s="50">
        <v>0</v>
      </c>
      <c r="Z5" s="50">
        <v>0</v>
      </c>
      <c r="AA5" s="50">
        <v>0</v>
      </c>
      <c r="AB5" s="50">
        <v>0</v>
      </c>
      <c r="AC5" s="53">
        <f t="shared" ref="AC5:AC68" si="1">IFERROR(X5*$P5,0)</f>
        <v>270000</v>
      </c>
      <c r="AD5" s="53">
        <f t="shared" ref="AD5:AD68" si="2">IFERROR(Y5*$P5,0)</f>
        <v>0</v>
      </c>
      <c r="AE5" s="53">
        <f t="shared" ref="AE5:AE68" si="3">IFERROR(Z5*$P5,0)</f>
        <v>0</v>
      </c>
      <c r="AF5" s="53">
        <f t="shared" ref="AF5:AF68" si="4">IFERROR(AA5*$P5,0)</f>
        <v>0</v>
      </c>
      <c r="AG5" s="53">
        <f t="shared" ref="AG5:AG68" si="5">IFERROR(AB5*$P5,0)</f>
        <v>0</v>
      </c>
      <c r="AH5" s="53">
        <f t="shared" ref="AH5:AH68" si="6">SUM(AC5:AG5)</f>
        <v>270000</v>
      </c>
      <c r="AI5" s="50" t="s">
        <v>856</v>
      </c>
      <c r="AJ5" s="50" t="s">
        <v>603</v>
      </c>
      <c r="AK5" s="50" t="s">
        <v>1103</v>
      </c>
    </row>
    <row r="6" spans="1:37" ht="80" x14ac:dyDescent="0.2">
      <c r="A6" s="50" t="s">
        <v>808</v>
      </c>
      <c r="B6" s="50" t="s">
        <v>671</v>
      </c>
      <c r="C6" s="50" t="s">
        <v>545</v>
      </c>
      <c r="D6" s="50" t="s">
        <v>809</v>
      </c>
      <c r="E6" s="50" t="s">
        <v>810</v>
      </c>
      <c r="F6" s="50" t="s">
        <v>547</v>
      </c>
      <c r="G6" s="50" t="s">
        <v>651</v>
      </c>
      <c r="H6" s="50" t="s">
        <v>613</v>
      </c>
      <c r="I6" s="50" t="s">
        <v>811</v>
      </c>
      <c r="J6" s="50" t="s">
        <v>656</v>
      </c>
      <c r="K6" s="50">
        <v>10452</v>
      </c>
      <c r="L6" s="50" t="s">
        <v>812</v>
      </c>
      <c r="M6" s="52">
        <v>57.69</v>
      </c>
      <c r="N6" s="114">
        <v>0</v>
      </c>
      <c r="O6" s="114">
        <v>0</v>
      </c>
      <c r="P6" s="53">
        <f t="shared" si="0"/>
        <v>57.69</v>
      </c>
      <c r="Q6" s="50" t="s">
        <v>639</v>
      </c>
      <c r="R6" s="50">
        <v>60</v>
      </c>
      <c r="S6" s="114">
        <v>0.03</v>
      </c>
      <c r="T6" s="50" t="s">
        <v>590</v>
      </c>
      <c r="U6" s="50" t="s">
        <v>800</v>
      </c>
      <c r="V6" s="124">
        <v>46298</v>
      </c>
      <c r="W6" s="50" t="s">
        <v>606</v>
      </c>
      <c r="X6" s="50">
        <v>10452</v>
      </c>
      <c r="Y6" s="50">
        <v>10765.56</v>
      </c>
      <c r="Z6" s="50">
        <v>11088.5268</v>
      </c>
      <c r="AA6" s="50">
        <v>11421.182604</v>
      </c>
      <c r="AB6" s="50">
        <v>11763.818082120002</v>
      </c>
      <c r="AC6" s="53">
        <f t="shared" si="1"/>
        <v>602975.88</v>
      </c>
      <c r="AD6" s="53">
        <f t="shared" si="2"/>
        <v>621065.15639999998</v>
      </c>
      <c r="AE6" s="53">
        <f t="shared" si="3"/>
        <v>639697.11109199992</v>
      </c>
      <c r="AF6" s="53">
        <f t="shared" si="4"/>
        <v>658888.0244247599</v>
      </c>
      <c r="AG6" s="53">
        <f t="shared" si="5"/>
        <v>678654.66515750287</v>
      </c>
      <c r="AH6" s="53">
        <f t="shared" si="6"/>
        <v>3201280.8370742626</v>
      </c>
      <c r="AI6" s="50" t="s">
        <v>857</v>
      </c>
      <c r="AJ6" s="50" t="s">
        <v>603</v>
      </c>
      <c r="AK6" s="50" t="s">
        <v>1104</v>
      </c>
    </row>
    <row r="7" spans="1:37" ht="80" x14ac:dyDescent="0.2">
      <c r="A7" s="50" t="s">
        <v>813</v>
      </c>
      <c r="B7" s="50" t="s">
        <v>671</v>
      </c>
      <c r="C7" s="50" t="s">
        <v>545</v>
      </c>
      <c r="D7" s="50" t="s">
        <v>814</v>
      </c>
      <c r="E7" s="50" t="s">
        <v>815</v>
      </c>
      <c r="F7" s="50" t="s">
        <v>547</v>
      </c>
      <c r="G7" s="50" t="s">
        <v>677</v>
      </c>
      <c r="H7" s="50" t="s">
        <v>796</v>
      </c>
      <c r="I7" s="50" t="s">
        <v>816</v>
      </c>
      <c r="J7" s="50" t="s">
        <v>671</v>
      </c>
      <c r="K7" s="50">
        <v>12</v>
      </c>
      <c r="L7" s="50" t="s">
        <v>817</v>
      </c>
      <c r="M7" s="52">
        <v>2400</v>
      </c>
      <c r="N7" s="114">
        <v>0</v>
      </c>
      <c r="O7" s="114">
        <v>0</v>
      </c>
      <c r="P7" s="53">
        <f t="shared" si="0"/>
        <v>2400</v>
      </c>
      <c r="Q7" s="50" t="s">
        <v>605</v>
      </c>
      <c r="R7" s="50">
        <v>60</v>
      </c>
      <c r="S7" s="114">
        <v>0.03</v>
      </c>
      <c r="T7" s="50" t="s">
        <v>590</v>
      </c>
      <c r="U7" s="50" t="s">
        <v>800</v>
      </c>
      <c r="V7" s="124">
        <v>46298</v>
      </c>
      <c r="W7" s="50" t="s">
        <v>549</v>
      </c>
      <c r="X7" s="50">
        <v>8.0400000000000009</v>
      </c>
      <c r="Y7" s="50">
        <v>8.2812000000000019</v>
      </c>
      <c r="Z7" s="50">
        <v>8.529636</v>
      </c>
      <c r="AA7" s="50">
        <v>8.7855250800000011</v>
      </c>
      <c r="AB7" s="50">
        <v>9.0490908324000028</v>
      </c>
      <c r="AC7" s="53">
        <f t="shared" si="1"/>
        <v>19296.000000000004</v>
      </c>
      <c r="AD7" s="53">
        <f t="shared" si="2"/>
        <v>19874.880000000005</v>
      </c>
      <c r="AE7" s="53">
        <f t="shared" si="3"/>
        <v>20471.126400000001</v>
      </c>
      <c r="AF7" s="53">
        <f t="shared" si="4"/>
        <v>21085.260192000002</v>
      </c>
      <c r="AG7" s="53">
        <f t="shared" si="5"/>
        <v>21717.817997760008</v>
      </c>
      <c r="AH7" s="53">
        <f t="shared" si="6"/>
        <v>102445.08458976001</v>
      </c>
      <c r="AI7" s="50" t="s">
        <v>858</v>
      </c>
      <c r="AJ7" s="50" t="s">
        <v>603</v>
      </c>
      <c r="AK7" s="50" t="s">
        <v>1105</v>
      </c>
    </row>
    <row r="8" spans="1:37" ht="80" x14ac:dyDescent="0.2">
      <c r="A8" s="50" t="s">
        <v>818</v>
      </c>
      <c r="B8" s="50" t="s">
        <v>671</v>
      </c>
      <c r="C8" s="50" t="s">
        <v>545</v>
      </c>
      <c r="D8" s="50" t="s">
        <v>819</v>
      </c>
      <c r="E8" s="50" t="s">
        <v>820</v>
      </c>
      <c r="F8" s="50" t="s">
        <v>548</v>
      </c>
      <c r="G8" s="50" t="s">
        <v>662</v>
      </c>
      <c r="H8" s="50" t="s">
        <v>796</v>
      </c>
      <c r="I8" s="50" t="s">
        <v>821</v>
      </c>
      <c r="J8" s="50" t="s">
        <v>656</v>
      </c>
      <c r="K8" s="50">
        <v>600</v>
      </c>
      <c r="L8" s="50" t="s">
        <v>822</v>
      </c>
      <c r="M8" s="52">
        <v>1.25</v>
      </c>
      <c r="N8" s="114">
        <v>0</v>
      </c>
      <c r="O8" s="114">
        <v>0</v>
      </c>
      <c r="P8" s="53">
        <f t="shared" si="0"/>
        <v>1.25</v>
      </c>
      <c r="Q8" s="50" t="s">
        <v>652</v>
      </c>
      <c r="R8" s="50">
        <v>60</v>
      </c>
      <c r="S8" s="114">
        <v>0</v>
      </c>
      <c r="T8" s="50" t="s">
        <v>590</v>
      </c>
      <c r="U8" s="50" t="s">
        <v>800</v>
      </c>
      <c r="V8" s="124">
        <v>46298</v>
      </c>
      <c r="W8" s="50" t="s">
        <v>549</v>
      </c>
      <c r="X8" s="50">
        <v>600</v>
      </c>
      <c r="Y8" s="50">
        <v>660</v>
      </c>
      <c r="Z8" s="50">
        <v>726.00000000000011</v>
      </c>
      <c r="AA8" s="50">
        <v>798.60000000000025</v>
      </c>
      <c r="AB8" s="50">
        <v>878.46000000000026</v>
      </c>
      <c r="AC8" s="53">
        <f t="shared" si="1"/>
        <v>750</v>
      </c>
      <c r="AD8" s="53">
        <f t="shared" si="2"/>
        <v>825</v>
      </c>
      <c r="AE8" s="53">
        <f t="shared" si="3"/>
        <v>907.50000000000011</v>
      </c>
      <c r="AF8" s="53">
        <f t="shared" si="4"/>
        <v>998.25000000000034</v>
      </c>
      <c r="AG8" s="53">
        <f t="shared" si="5"/>
        <v>1098.0750000000003</v>
      </c>
      <c r="AH8" s="53">
        <f t="shared" si="6"/>
        <v>4578.8250000000007</v>
      </c>
      <c r="AI8" s="50" t="s">
        <v>859</v>
      </c>
      <c r="AJ8" s="50" t="s">
        <v>650</v>
      </c>
      <c r="AK8" s="50" t="s">
        <v>1106</v>
      </c>
    </row>
    <row r="9" spans="1:37" ht="80" x14ac:dyDescent="0.2">
      <c r="A9" s="50" t="s">
        <v>823</v>
      </c>
      <c r="B9" s="50" t="s">
        <v>671</v>
      </c>
      <c r="C9" s="50" t="s">
        <v>545</v>
      </c>
      <c r="D9" s="50" t="s">
        <v>824</v>
      </c>
      <c r="E9" s="50" t="s">
        <v>353</v>
      </c>
      <c r="F9" s="50" t="s">
        <v>547</v>
      </c>
      <c r="G9" s="50" t="s">
        <v>677</v>
      </c>
      <c r="H9" s="50" t="s">
        <v>825</v>
      </c>
      <c r="I9" s="50" t="s">
        <v>826</v>
      </c>
      <c r="J9" s="50" t="s">
        <v>656</v>
      </c>
      <c r="K9" s="50">
        <v>12</v>
      </c>
      <c r="L9" s="50" t="s">
        <v>817</v>
      </c>
      <c r="M9" s="52">
        <v>3000</v>
      </c>
      <c r="N9" s="114">
        <v>0</v>
      </c>
      <c r="O9" s="114">
        <v>0</v>
      </c>
      <c r="P9" s="53">
        <f t="shared" si="0"/>
        <v>3000</v>
      </c>
      <c r="Q9" s="50" t="s">
        <v>605</v>
      </c>
      <c r="R9" s="50">
        <v>60</v>
      </c>
      <c r="S9" s="114">
        <v>0.03</v>
      </c>
      <c r="T9" s="50" t="s">
        <v>590</v>
      </c>
      <c r="U9" s="50" t="s">
        <v>800</v>
      </c>
      <c r="V9" s="124">
        <v>46298</v>
      </c>
      <c r="W9" s="50" t="s">
        <v>606</v>
      </c>
      <c r="X9" s="50">
        <v>8.0400000000000009</v>
      </c>
      <c r="Y9" s="50">
        <v>8.2812000000000019</v>
      </c>
      <c r="Z9" s="50">
        <v>8.529636</v>
      </c>
      <c r="AA9" s="50">
        <v>8.7855250800000011</v>
      </c>
      <c r="AB9" s="50">
        <v>9.0490908324000028</v>
      </c>
      <c r="AC9" s="53">
        <f t="shared" si="1"/>
        <v>24120.000000000004</v>
      </c>
      <c r="AD9" s="53">
        <f t="shared" si="2"/>
        <v>24843.600000000006</v>
      </c>
      <c r="AE9" s="53">
        <f t="shared" si="3"/>
        <v>25588.907999999999</v>
      </c>
      <c r="AF9" s="53">
        <f t="shared" si="4"/>
        <v>26356.575240000002</v>
      </c>
      <c r="AG9" s="53">
        <f t="shared" si="5"/>
        <v>27147.272497200007</v>
      </c>
      <c r="AH9" s="53">
        <f t="shared" si="6"/>
        <v>128056.35573720001</v>
      </c>
      <c r="AI9" s="50" t="s">
        <v>860</v>
      </c>
      <c r="AJ9" s="50" t="s">
        <v>603</v>
      </c>
      <c r="AK9" s="50" t="s">
        <v>1107</v>
      </c>
    </row>
    <row r="10" spans="1:37" ht="80" x14ac:dyDescent="0.2">
      <c r="A10" s="50" t="s">
        <v>827</v>
      </c>
      <c r="B10" s="50" t="s">
        <v>671</v>
      </c>
      <c r="C10" s="50" t="s">
        <v>545</v>
      </c>
      <c r="D10" s="50" t="s">
        <v>828</v>
      </c>
      <c r="E10" s="50" t="s">
        <v>829</v>
      </c>
      <c r="F10" s="50" t="s">
        <v>553</v>
      </c>
      <c r="G10" s="50" t="s">
        <v>669</v>
      </c>
      <c r="H10" s="50" t="s">
        <v>613</v>
      </c>
      <c r="I10" s="50" t="s">
        <v>830</v>
      </c>
      <c r="J10" s="50" t="s">
        <v>656</v>
      </c>
      <c r="K10" s="50">
        <v>1</v>
      </c>
      <c r="L10" s="50" t="s">
        <v>831</v>
      </c>
      <c r="M10" s="52">
        <v>100000</v>
      </c>
      <c r="N10" s="114">
        <v>0</v>
      </c>
      <c r="O10" s="114">
        <v>0</v>
      </c>
      <c r="P10" s="53">
        <f t="shared" si="0"/>
        <v>100000</v>
      </c>
      <c r="Q10" s="50" t="s">
        <v>546</v>
      </c>
      <c r="R10" s="50">
        <v>60</v>
      </c>
      <c r="S10" s="114">
        <v>0</v>
      </c>
      <c r="T10" s="50" t="s">
        <v>590</v>
      </c>
      <c r="U10" s="50" t="s">
        <v>800</v>
      </c>
      <c r="V10" s="124">
        <v>46298</v>
      </c>
      <c r="W10" s="50" t="s">
        <v>550</v>
      </c>
      <c r="X10" s="50">
        <v>0</v>
      </c>
      <c r="Y10" s="50">
        <v>0</v>
      </c>
      <c r="Z10" s="50">
        <v>0</v>
      </c>
      <c r="AA10" s="50">
        <v>0</v>
      </c>
      <c r="AB10" s="50">
        <v>1</v>
      </c>
      <c r="AC10" s="53">
        <f t="shared" si="1"/>
        <v>0</v>
      </c>
      <c r="AD10" s="53">
        <f t="shared" si="2"/>
        <v>0</v>
      </c>
      <c r="AE10" s="53">
        <f t="shared" si="3"/>
        <v>0</v>
      </c>
      <c r="AF10" s="53">
        <f t="shared" si="4"/>
        <v>0</v>
      </c>
      <c r="AG10" s="53">
        <f t="shared" si="5"/>
        <v>100000</v>
      </c>
      <c r="AH10" s="53">
        <f t="shared" si="6"/>
        <v>100000</v>
      </c>
      <c r="AI10" s="50" t="s">
        <v>861</v>
      </c>
      <c r="AJ10" s="50" t="s">
        <v>603</v>
      </c>
      <c r="AK10" s="50" t="s">
        <v>1108</v>
      </c>
    </row>
    <row r="11" spans="1:37" ht="80" x14ac:dyDescent="0.2">
      <c r="A11" s="50" t="s">
        <v>832</v>
      </c>
      <c r="B11" s="50" t="s">
        <v>671</v>
      </c>
      <c r="C11" s="50" t="s">
        <v>555</v>
      </c>
      <c r="D11" s="50" t="s">
        <v>804</v>
      </c>
      <c r="E11" s="50" t="s">
        <v>805</v>
      </c>
      <c r="F11" s="50" t="s">
        <v>546</v>
      </c>
      <c r="G11" s="50" t="s">
        <v>604</v>
      </c>
      <c r="H11" s="50" t="s">
        <v>613</v>
      </c>
      <c r="I11" s="50" t="s">
        <v>806</v>
      </c>
      <c r="J11" s="50" t="s">
        <v>688</v>
      </c>
      <c r="K11" s="50">
        <v>10</v>
      </c>
      <c r="L11" s="50" t="s">
        <v>807</v>
      </c>
      <c r="M11" s="52">
        <v>45000</v>
      </c>
      <c r="N11" s="114">
        <v>0</v>
      </c>
      <c r="O11" s="114">
        <v>0</v>
      </c>
      <c r="P11" s="53">
        <f t="shared" si="0"/>
        <v>45000</v>
      </c>
      <c r="Q11" s="50" t="s">
        <v>546</v>
      </c>
      <c r="R11" s="50">
        <v>12</v>
      </c>
      <c r="S11" s="114">
        <v>0</v>
      </c>
      <c r="T11" s="50" t="s">
        <v>590</v>
      </c>
      <c r="U11" s="50" t="s">
        <v>800</v>
      </c>
      <c r="V11" s="124">
        <v>46298</v>
      </c>
      <c r="W11" s="50" t="s">
        <v>606</v>
      </c>
      <c r="X11" s="50">
        <v>10</v>
      </c>
      <c r="Y11" s="50">
        <v>0</v>
      </c>
      <c r="Z11" s="50">
        <v>0</v>
      </c>
      <c r="AA11" s="50">
        <v>0</v>
      </c>
      <c r="AB11" s="50">
        <v>0</v>
      </c>
      <c r="AC11" s="53">
        <f t="shared" si="1"/>
        <v>450000</v>
      </c>
      <c r="AD11" s="53">
        <f t="shared" si="2"/>
        <v>0</v>
      </c>
      <c r="AE11" s="53">
        <f t="shared" si="3"/>
        <v>0</v>
      </c>
      <c r="AF11" s="53">
        <f t="shared" si="4"/>
        <v>0</v>
      </c>
      <c r="AG11" s="53">
        <f t="shared" si="5"/>
        <v>0</v>
      </c>
      <c r="AH11" s="53">
        <f t="shared" si="6"/>
        <v>450000</v>
      </c>
      <c r="AI11" s="50" t="s">
        <v>856</v>
      </c>
      <c r="AJ11" s="50" t="s">
        <v>603</v>
      </c>
      <c r="AK11" s="50" t="s">
        <v>1103</v>
      </c>
    </row>
    <row r="12" spans="1:37" ht="80" x14ac:dyDescent="0.2">
      <c r="A12" s="50" t="s">
        <v>833</v>
      </c>
      <c r="B12" s="50" t="s">
        <v>671</v>
      </c>
      <c r="C12" s="50" t="s">
        <v>555</v>
      </c>
      <c r="D12" s="50" t="s">
        <v>809</v>
      </c>
      <c r="E12" s="50" t="s">
        <v>810</v>
      </c>
      <c r="F12" s="50" t="s">
        <v>547</v>
      </c>
      <c r="G12" s="50" t="s">
        <v>651</v>
      </c>
      <c r="H12" s="50" t="s">
        <v>613</v>
      </c>
      <c r="I12" s="50" t="s">
        <v>811</v>
      </c>
      <c r="J12" s="50" t="s">
        <v>656</v>
      </c>
      <c r="K12" s="50">
        <v>15600</v>
      </c>
      <c r="L12" s="50" t="s">
        <v>812</v>
      </c>
      <c r="M12" s="52">
        <v>57.69</v>
      </c>
      <c r="N12" s="114">
        <v>0</v>
      </c>
      <c r="O12" s="114">
        <v>0</v>
      </c>
      <c r="P12" s="53">
        <f t="shared" si="0"/>
        <v>57.69</v>
      </c>
      <c r="Q12" s="50" t="s">
        <v>639</v>
      </c>
      <c r="R12" s="50">
        <v>60</v>
      </c>
      <c r="S12" s="114">
        <v>0.03</v>
      </c>
      <c r="T12" s="50" t="s">
        <v>590</v>
      </c>
      <c r="U12" s="50" t="s">
        <v>800</v>
      </c>
      <c r="V12" s="124">
        <v>46298</v>
      </c>
      <c r="W12" s="50" t="s">
        <v>606</v>
      </c>
      <c r="X12" s="50">
        <v>15600</v>
      </c>
      <c r="Y12" s="50">
        <v>16068</v>
      </c>
      <c r="Z12" s="50">
        <v>16550.04</v>
      </c>
      <c r="AA12" s="50">
        <v>17046.5412</v>
      </c>
      <c r="AB12" s="50">
        <v>17557.937436000004</v>
      </c>
      <c r="AC12" s="53">
        <f t="shared" si="1"/>
        <v>899964</v>
      </c>
      <c r="AD12" s="53">
        <f t="shared" si="2"/>
        <v>926962.91999999993</v>
      </c>
      <c r="AE12" s="53">
        <f t="shared" si="3"/>
        <v>954771.80760000006</v>
      </c>
      <c r="AF12" s="53">
        <f t="shared" si="4"/>
        <v>983414.96182799991</v>
      </c>
      <c r="AG12" s="53">
        <f t="shared" si="5"/>
        <v>1012917.4106828402</v>
      </c>
      <c r="AH12" s="53">
        <f t="shared" si="6"/>
        <v>4778031.1001108401</v>
      </c>
      <c r="AI12" s="50" t="s">
        <v>857</v>
      </c>
      <c r="AJ12" s="50" t="s">
        <v>603</v>
      </c>
      <c r="AK12" s="50" t="s">
        <v>1104</v>
      </c>
    </row>
    <row r="13" spans="1:37" ht="80" x14ac:dyDescent="0.2">
      <c r="A13" s="50" t="s">
        <v>834</v>
      </c>
      <c r="B13" s="50" t="s">
        <v>671</v>
      </c>
      <c r="C13" s="50" t="s">
        <v>555</v>
      </c>
      <c r="D13" s="50" t="s">
        <v>814</v>
      </c>
      <c r="E13" s="50" t="s">
        <v>815</v>
      </c>
      <c r="F13" s="50" t="s">
        <v>547</v>
      </c>
      <c r="G13" s="50" t="s">
        <v>677</v>
      </c>
      <c r="H13" s="50" t="s">
        <v>796</v>
      </c>
      <c r="I13" s="50" t="s">
        <v>816</v>
      </c>
      <c r="J13" s="50" t="s">
        <v>671</v>
      </c>
      <c r="K13" s="50">
        <v>12</v>
      </c>
      <c r="L13" s="50" t="s">
        <v>817</v>
      </c>
      <c r="M13" s="52">
        <v>2400</v>
      </c>
      <c r="N13" s="114">
        <v>0</v>
      </c>
      <c r="O13" s="114">
        <v>0</v>
      </c>
      <c r="P13" s="53">
        <f t="shared" si="0"/>
        <v>2400</v>
      </c>
      <c r="Q13" s="50" t="s">
        <v>605</v>
      </c>
      <c r="R13" s="50">
        <v>60</v>
      </c>
      <c r="S13" s="114">
        <v>0.03</v>
      </c>
      <c r="T13" s="50" t="s">
        <v>590</v>
      </c>
      <c r="U13" s="50" t="s">
        <v>800</v>
      </c>
      <c r="V13" s="124">
        <v>46298</v>
      </c>
      <c r="W13" s="50" t="s">
        <v>549</v>
      </c>
      <c r="X13" s="50">
        <v>12</v>
      </c>
      <c r="Y13" s="50">
        <v>12.36</v>
      </c>
      <c r="Z13" s="50">
        <v>12.730799999999999</v>
      </c>
      <c r="AA13" s="50">
        <v>13.112724</v>
      </c>
      <c r="AB13" s="50">
        <v>13.506105720000001</v>
      </c>
      <c r="AC13" s="53">
        <f t="shared" si="1"/>
        <v>28800</v>
      </c>
      <c r="AD13" s="53">
        <f t="shared" si="2"/>
        <v>29664</v>
      </c>
      <c r="AE13" s="53">
        <f t="shared" si="3"/>
        <v>30553.919999999998</v>
      </c>
      <c r="AF13" s="53">
        <f t="shared" si="4"/>
        <v>31470.5376</v>
      </c>
      <c r="AG13" s="53">
        <f t="shared" si="5"/>
        <v>32414.653728000001</v>
      </c>
      <c r="AH13" s="53">
        <f t="shared" si="6"/>
        <v>152903.111328</v>
      </c>
      <c r="AI13" s="50" t="s">
        <v>858</v>
      </c>
      <c r="AJ13" s="50" t="s">
        <v>603</v>
      </c>
      <c r="AK13" s="50" t="s">
        <v>1105</v>
      </c>
    </row>
    <row r="14" spans="1:37" ht="80" x14ac:dyDescent="0.2">
      <c r="A14" s="50" t="s">
        <v>835</v>
      </c>
      <c r="B14" s="50" t="s">
        <v>671</v>
      </c>
      <c r="C14" s="50" t="s">
        <v>555</v>
      </c>
      <c r="D14" s="50" t="s">
        <v>819</v>
      </c>
      <c r="E14" s="50" t="s">
        <v>820</v>
      </c>
      <c r="F14" s="50" t="s">
        <v>548</v>
      </c>
      <c r="G14" s="50" t="s">
        <v>662</v>
      </c>
      <c r="H14" s="50" t="s">
        <v>796</v>
      </c>
      <c r="I14" s="50" t="s">
        <v>821</v>
      </c>
      <c r="J14" s="50" t="s">
        <v>656</v>
      </c>
      <c r="K14" s="50">
        <v>1400</v>
      </c>
      <c r="L14" s="50" t="s">
        <v>822</v>
      </c>
      <c r="M14" s="52">
        <v>1.25</v>
      </c>
      <c r="N14" s="114">
        <v>0</v>
      </c>
      <c r="O14" s="114">
        <v>0</v>
      </c>
      <c r="P14" s="53">
        <f t="shared" si="0"/>
        <v>1.25</v>
      </c>
      <c r="Q14" s="50" t="s">
        <v>652</v>
      </c>
      <c r="R14" s="50">
        <v>60</v>
      </c>
      <c r="S14" s="114">
        <v>0</v>
      </c>
      <c r="T14" s="50" t="s">
        <v>590</v>
      </c>
      <c r="U14" s="50" t="s">
        <v>800</v>
      </c>
      <c r="V14" s="124">
        <v>46298</v>
      </c>
      <c r="W14" s="50" t="s">
        <v>549</v>
      </c>
      <c r="X14" s="50">
        <v>1400</v>
      </c>
      <c r="Y14" s="50">
        <v>1540.0000000000002</v>
      </c>
      <c r="Z14" s="50">
        <v>1694.0000000000002</v>
      </c>
      <c r="AA14" s="50">
        <v>1863.4000000000005</v>
      </c>
      <c r="AB14" s="50">
        <v>2049.7400000000007</v>
      </c>
      <c r="AC14" s="53">
        <f t="shared" si="1"/>
        <v>1750</v>
      </c>
      <c r="AD14" s="53">
        <f t="shared" si="2"/>
        <v>1925.0000000000002</v>
      </c>
      <c r="AE14" s="53">
        <f t="shared" si="3"/>
        <v>2117.5000000000005</v>
      </c>
      <c r="AF14" s="53">
        <f t="shared" si="4"/>
        <v>2329.2500000000009</v>
      </c>
      <c r="AG14" s="53">
        <f t="shared" si="5"/>
        <v>2562.1750000000011</v>
      </c>
      <c r="AH14" s="53">
        <f t="shared" si="6"/>
        <v>10683.925000000003</v>
      </c>
      <c r="AI14" s="50" t="s">
        <v>859</v>
      </c>
      <c r="AJ14" s="50" t="s">
        <v>650</v>
      </c>
      <c r="AK14" s="50" t="s">
        <v>1106</v>
      </c>
    </row>
    <row r="15" spans="1:37" ht="80" x14ac:dyDescent="0.2">
      <c r="A15" s="50" t="s">
        <v>836</v>
      </c>
      <c r="B15" s="50" t="s">
        <v>671</v>
      </c>
      <c r="C15" s="50" t="s">
        <v>555</v>
      </c>
      <c r="D15" s="50" t="s">
        <v>824</v>
      </c>
      <c r="E15" s="50" t="s">
        <v>353</v>
      </c>
      <c r="F15" s="50" t="s">
        <v>547</v>
      </c>
      <c r="G15" s="50" t="s">
        <v>677</v>
      </c>
      <c r="H15" s="50" t="s">
        <v>825</v>
      </c>
      <c r="I15" s="50" t="s">
        <v>826</v>
      </c>
      <c r="J15" s="50" t="s">
        <v>656</v>
      </c>
      <c r="K15" s="50">
        <v>12</v>
      </c>
      <c r="L15" s="50" t="s">
        <v>817</v>
      </c>
      <c r="M15" s="52">
        <v>3000</v>
      </c>
      <c r="N15" s="114">
        <v>0</v>
      </c>
      <c r="O15" s="114">
        <v>0</v>
      </c>
      <c r="P15" s="53">
        <f t="shared" si="0"/>
        <v>3000</v>
      </c>
      <c r="Q15" s="50" t="s">
        <v>605</v>
      </c>
      <c r="R15" s="50">
        <v>60</v>
      </c>
      <c r="S15" s="114">
        <v>0.03</v>
      </c>
      <c r="T15" s="50" t="s">
        <v>590</v>
      </c>
      <c r="U15" s="50" t="s">
        <v>800</v>
      </c>
      <c r="V15" s="124">
        <v>46298</v>
      </c>
      <c r="W15" s="50" t="s">
        <v>606</v>
      </c>
      <c r="X15" s="50">
        <v>12</v>
      </c>
      <c r="Y15" s="50">
        <v>12.36</v>
      </c>
      <c r="Z15" s="50">
        <v>12.730799999999999</v>
      </c>
      <c r="AA15" s="50">
        <v>13.112724</v>
      </c>
      <c r="AB15" s="50">
        <v>13.506105720000001</v>
      </c>
      <c r="AC15" s="53">
        <f t="shared" si="1"/>
        <v>36000</v>
      </c>
      <c r="AD15" s="53">
        <f t="shared" si="2"/>
        <v>37080</v>
      </c>
      <c r="AE15" s="53">
        <f t="shared" si="3"/>
        <v>38192.399999999994</v>
      </c>
      <c r="AF15" s="53">
        <f t="shared" si="4"/>
        <v>39338.171999999999</v>
      </c>
      <c r="AG15" s="53">
        <f t="shared" si="5"/>
        <v>40518.317159999999</v>
      </c>
      <c r="AH15" s="53">
        <f t="shared" si="6"/>
        <v>191128.88915999999</v>
      </c>
      <c r="AI15" s="50" t="s">
        <v>860</v>
      </c>
      <c r="AJ15" s="50" t="s">
        <v>603</v>
      </c>
      <c r="AK15" s="50" t="s">
        <v>1107</v>
      </c>
    </row>
    <row r="16" spans="1:37" ht="80" x14ac:dyDescent="0.2">
      <c r="A16" s="50" t="s">
        <v>837</v>
      </c>
      <c r="B16" s="50" t="s">
        <v>671</v>
      </c>
      <c r="C16" s="50" t="s">
        <v>555</v>
      </c>
      <c r="D16" s="50" t="s">
        <v>828</v>
      </c>
      <c r="E16" s="50" t="s">
        <v>829</v>
      </c>
      <c r="F16" s="50" t="s">
        <v>553</v>
      </c>
      <c r="G16" s="50" t="s">
        <v>669</v>
      </c>
      <c r="H16" s="50" t="s">
        <v>613</v>
      </c>
      <c r="I16" s="50" t="s">
        <v>830</v>
      </c>
      <c r="J16" s="50" t="s">
        <v>656</v>
      </c>
      <c r="K16" s="50">
        <v>1</v>
      </c>
      <c r="L16" s="50" t="s">
        <v>831</v>
      </c>
      <c r="M16" s="52">
        <v>100000</v>
      </c>
      <c r="N16" s="114">
        <v>0</v>
      </c>
      <c r="O16" s="114">
        <v>0</v>
      </c>
      <c r="P16" s="53">
        <f t="shared" si="0"/>
        <v>100000</v>
      </c>
      <c r="Q16" s="50" t="s">
        <v>546</v>
      </c>
      <c r="R16" s="50">
        <v>60</v>
      </c>
      <c r="S16" s="114">
        <v>0</v>
      </c>
      <c r="T16" s="50" t="s">
        <v>590</v>
      </c>
      <c r="U16" s="50" t="s">
        <v>800</v>
      </c>
      <c r="V16" s="124">
        <v>46298</v>
      </c>
      <c r="W16" s="50" t="s">
        <v>550</v>
      </c>
      <c r="X16" s="50">
        <v>0</v>
      </c>
      <c r="Y16" s="50">
        <v>0</v>
      </c>
      <c r="Z16" s="50">
        <v>0</v>
      </c>
      <c r="AA16" s="50">
        <v>0</v>
      </c>
      <c r="AB16" s="50">
        <v>1</v>
      </c>
      <c r="AC16" s="53">
        <f t="shared" si="1"/>
        <v>0</v>
      </c>
      <c r="AD16" s="53">
        <f t="shared" si="2"/>
        <v>0</v>
      </c>
      <c r="AE16" s="53">
        <f t="shared" si="3"/>
        <v>0</v>
      </c>
      <c r="AF16" s="53">
        <f t="shared" si="4"/>
        <v>0</v>
      </c>
      <c r="AG16" s="53">
        <f t="shared" si="5"/>
        <v>100000</v>
      </c>
      <c r="AH16" s="53">
        <f t="shared" si="6"/>
        <v>100000</v>
      </c>
      <c r="AI16" s="50" t="s">
        <v>861</v>
      </c>
      <c r="AJ16" s="50" t="s">
        <v>603</v>
      </c>
      <c r="AK16" s="50" t="s">
        <v>1108</v>
      </c>
    </row>
    <row r="17" spans="1:37" ht="80" x14ac:dyDescent="0.2">
      <c r="A17" s="50" t="s">
        <v>838</v>
      </c>
      <c r="B17" s="50" t="s">
        <v>671</v>
      </c>
      <c r="C17" s="50" t="s">
        <v>556</v>
      </c>
      <c r="D17" s="50" t="s">
        <v>804</v>
      </c>
      <c r="E17" s="50" t="s">
        <v>805</v>
      </c>
      <c r="F17" s="50" t="s">
        <v>546</v>
      </c>
      <c r="G17" s="50" t="s">
        <v>604</v>
      </c>
      <c r="H17" s="50" t="s">
        <v>613</v>
      </c>
      <c r="I17" s="50" t="s">
        <v>806</v>
      </c>
      <c r="J17" s="50" t="s">
        <v>688</v>
      </c>
      <c r="K17" s="50">
        <v>10</v>
      </c>
      <c r="L17" s="50" t="s">
        <v>807</v>
      </c>
      <c r="M17" s="52">
        <v>45000</v>
      </c>
      <c r="N17" s="114">
        <v>0</v>
      </c>
      <c r="O17" s="114">
        <v>0</v>
      </c>
      <c r="P17" s="53">
        <f t="shared" si="0"/>
        <v>45000</v>
      </c>
      <c r="Q17" s="50" t="s">
        <v>546</v>
      </c>
      <c r="R17" s="50">
        <v>12</v>
      </c>
      <c r="S17" s="114">
        <v>0</v>
      </c>
      <c r="T17" s="50" t="s">
        <v>590</v>
      </c>
      <c r="U17" s="50" t="s">
        <v>800</v>
      </c>
      <c r="V17" s="124">
        <v>46298</v>
      </c>
      <c r="W17" s="50" t="s">
        <v>606</v>
      </c>
      <c r="X17" s="50">
        <v>10</v>
      </c>
      <c r="Y17" s="50">
        <v>0</v>
      </c>
      <c r="Z17" s="50">
        <v>0</v>
      </c>
      <c r="AA17" s="50">
        <v>0</v>
      </c>
      <c r="AB17" s="50">
        <v>0</v>
      </c>
      <c r="AC17" s="53">
        <f t="shared" si="1"/>
        <v>450000</v>
      </c>
      <c r="AD17" s="53">
        <f t="shared" si="2"/>
        <v>0</v>
      </c>
      <c r="AE17" s="53">
        <f t="shared" si="3"/>
        <v>0</v>
      </c>
      <c r="AF17" s="53">
        <f t="shared" si="4"/>
        <v>0</v>
      </c>
      <c r="AG17" s="53">
        <f t="shared" si="5"/>
        <v>0</v>
      </c>
      <c r="AH17" s="53">
        <f t="shared" si="6"/>
        <v>450000</v>
      </c>
      <c r="AI17" s="50" t="s">
        <v>856</v>
      </c>
      <c r="AJ17" s="50" t="s">
        <v>603</v>
      </c>
      <c r="AK17" s="50" t="s">
        <v>1103</v>
      </c>
    </row>
    <row r="18" spans="1:37" ht="80" x14ac:dyDescent="0.2">
      <c r="A18" s="50" t="s">
        <v>839</v>
      </c>
      <c r="B18" s="50" t="s">
        <v>671</v>
      </c>
      <c r="C18" s="50" t="s">
        <v>556</v>
      </c>
      <c r="D18" s="50" t="s">
        <v>809</v>
      </c>
      <c r="E18" s="50" t="s">
        <v>810</v>
      </c>
      <c r="F18" s="50" t="s">
        <v>547</v>
      </c>
      <c r="G18" s="50" t="s">
        <v>651</v>
      </c>
      <c r="H18" s="50" t="s">
        <v>613</v>
      </c>
      <c r="I18" s="50" t="s">
        <v>811</v>
      </c>
      <c r="J18" s="50" t="s">
        <v>656</v>
      </c>
      <c r="K18" s="50">
        <v>18720</v>
      </c>
      <c r="L18" s="50" t="s">
        <v>812</v>
      </c>
      <c r="M18" s="52">
        <v>57.69</v>
      </c>
      <c r="N18" s="114">
        <v>0</v>
      </c>
      <c r="O18" s="114">
        <v>0</v>
      </c>
      <c r="P18" s="53">
        <f t="shared" si="0"/>
        <v>57.69</v>
      </c>
      <c r="Q18" s="50" t="s">
        <v>639</v>
      </c>
      <c r="R18" s="50">
        <v>60</v>
      </c>
      <c r="S18" s="114">
        <v>0.03</v>
      </c>
      <c r="T18" s="50" t="s">
        <v>590</v>
      </c>
      <c r="U18" s="50" t="s">
        <v>800</v>
      </c>
      <c r="V18" s="124">
        <v>46298</v>
      </c>
      <c r="W18" s="50" t="s">
        <v>606</v>
      </c>
      <c r="X18" s="50">
        <v>18720</v>
      </c>
      <c r="Y18" s="50">
        <v>19281.600000000002</v>
      </c>
      <c r="Z18" s="50">
        <v>19860.047999999999</v>
      </c>
      <c r="AA18" s="50">
        <v>20455.849440000002</v>
      </c>
      <c r="AB18" s="50">
        <v>21069.524923200002</v>
      </c>
      <c r="AC18" s="53">
        <f t="shared" si="1"/>
        <v>1079956.8</v>
      </c>
      <c r="AD18" s="53">
        <f t="shared" si="2"/>
        <v>1112355.5040000002</v>
      </c>
      <c r="AE18" s="53">
        <f t="shared" si="3"/>
        <v>1145726.16912</v>
      </c>
      <c r="AF18" s="53">
        <f t="shared" si="4"/>
        <v>1180097.9541936</v>
      </c>
      <c r="AG18" s="53">
        <f t="shared" si="5"/>
        <v>1215500.8928194081</v>
      </c>
      <c r="AH18" s="53">
        <f t="shared" si="6"/>
        <v>5733637.3201330081</v>
      </c>
      <c r="AI18" s="50" t="s">
        <v>857</v>
      </c>
      <c r="AJ18" s="50" t="s">
        <v>603</v>
      </c>
      <c r="AK18" s="50" t="s">
        <v>1104</v>
      </c>
    </row>
    <row r="19" spans="1:37" ht="80" x14ac:dyDescent="0.2">
      <c r="A19" s="50" t="s">
        <v>840</v>
      </c>
      <c r="B19" s="50" t="s">
        <v>671</v>
      </c>
      <c r="C19" s="50" t="s">
        <v>556</v>
      </c>
      <c r="D19" s="50" t="s">
        <v>814</v>
      </c>
      <c r="E19" s="50" t="s">
        <v>815</v>
      </c>
      <c r="F19" s="50" t="s">
        <v>547</v>
      </c>
      <c r="G19" s="50" t="s">
        <v>677</v>
      </c>
      <c r="H19" s="50" t="s">
        <v>796</v>
      </c>
      <c r="I19" s="50" t="s">
        <v>816</v>
      </c>
      <c r="J19" s="50" t="s">
        <v>671</v>
      </c>
      <c r="K19" s="50">
        <v>12</v>
      </c>
      <c r="L19" s="50" t="s">
        <v>817</v>
      </c>
      <c r="M19" s="52">
        <v>2400</v>
      </c>
      <c r="N19" s="114">
        <v>0</v>
      </c>
      <c r="O19" s="114">
        <v>0</v>
      </c>
      <c r="P19" s="53">
        <f t="shared" si="0"/>
        <v>2400</v>
      </c>
      <c r="Q19" s="50" t="s">
        <v>605</v>
      </c>
      <c r="R19" s="50">
        <v>60</v>
      </c>
      <c r="S19" s="114">
        <v>0.03</v>
      </c>
      <c r="T19" s="50" t="s">
        <v>590</v>
      </c>
      <c r="U19" s="50" t="s">
        <v>800</v>
      </c>
      <c r="V19" s="124">
        <v>46298</v>
      </c>
      <c r="W19" s="50" t="s">
        <v>549</v>
      </c>
      <c r="X19" s="50">
        <v>14.399999999999999</v>
      </c>
      <c r="Y19" s="50">
        <v>14.831999999999999</v>
      </c>
      <c r="Z19" s="50">
        <v>15.276959999999997</v>
      </c>
      <c r="AA19" s="50">
        <v>15.735268799999998</v>
      </c>
      <c r="AB19" s="50">
        <v>16.207326863999999</v>
      </c>
      <c r="AC19" s="53">
        <f t="shared" si="1"/>
        <v>34560</v>
      </c>
      <c r="AD19" s="53">
        <f t="shared" si="2"/>
        <v>35596.799999999996</v>
      </c>
      <c r="AE19" s="53">
        <f t="shared" si="3"/>
        <v>36664.703999999991</v>
      </c>
      <c r="AF19" s="53">
        <f t="shared" si="4"/>
        <v>37764.645119999994</v>
      </c>
      <c r="AG19" s="53">
        <f t="shared" si="5"/>
        <v>38897.5844736</v>
      </c>
      <c r="AH19" s="53">
        <f t="shared" si="6"/>
        <v>183483.73359359999</v>
      </c>
      <c r="AI19" s="50" t="s">
        <v>858</v>
      </c>
      <c r="AJ19" s="50" t="s">
        <v>603</v>
      </c>
      <c r="AK19" s="50" t="s">
        <v>1105</v>
      </c>
    </row>
    <row r="20" spans="1:37" ht="80" x14ac:dyDescent="0.2">
      <c r="A20" s="50" t="s">
        <v>841</v>
      </c>
      <c r="B20" s="50" t="s">
        <v>671</v>
      </c>
      <c r="C20" s="50" t="s">
        <v>556</v>
      </c>
      <c r="D20" s="50" t="s">
        <v>819</v>
      </c>
      <c r="E20" s="50" t="s">
        <v>820</v>
      </c>
      <c r="F20" s="50" t="s">
        <v>548</v>
      </c>
      <c r="G20" s="50" t="s">
        <v>662</v>
      </c>
      <c r="H20" s="50" t="s">
        <v>796</v>
      </c>
      <c r="I20" s="50" t="s">
        <v>821</v>
      </c>
      <c r="J20" s="50" t="s">
        <v>656</v>
      </c>
      <c r="K20" s="50">
        <v>2400</v>
      </c>
      <c r="L20" s="50" t="s">
        <v>822</v>
      </c>
      <c r="M20" s="52">
        <v>1.25</v>
      </c>
      <c r="N20" s="114">
        <v>0</v>
      </c>
      <c r="O20" s="114">
        <v>0</v>
      </c>
      <c r="P20" s="53">
        <f t="shared" si="0"/>
        <v>1.25</v>
      </c>
      <c r="Q20" s="50" t="s">
        <v>652</v>
      </c>
      <c r="R20" s="50">
        <v>60</v>
      </c>
      <c r="S20" s="114">
        <v>0</v>
      </c>
      <c r="T20" s="50" t="s">
        <v>590</v>
      </c>
      <c r="U20" s="50" t="s">
        <v>800</v>
      </c>
      <c r="V20" s="124">
        <v>46298</v>
      </c>
      <c r="W20" s="50" t="s">
        <v>549</v>
      </c>
      <c r="X20" s="50">
        <v>2400</v>
      </c>
      <c r="Y20" s="50">
        <v>2640</v>
      </c>
      <c r="Z20" s="50">
        <v>2904.0000000000005</v>
      </c>
      <c r="AA20" s="50">
        <v>3194.400000000001</v>
      </c>
      <c r="AB20" s="50">
        <v>3513.8400000000011</v>
      </c>
      <c r="AC20" s="53">
        <f t="shared" si="1"/>
        <v>3000</v>
      </c>
      <c r="AD20" s="53">
        <f t="shared" si="2"/>
        <v>3300</v>
      </c>
      <c r="AE20" s="53">
        <f t="shared" si="3"/>
        <v>3630.0000000000005</v>
      </c>
      <c r="AF20" s="53">
        <f t="shared" si="4"/>
        <v>3993.0000000000014</v>
      </c>
      <c r="AG20" s="53">
        <f t="shared" si="5"/>
        <v>4392.3000000000011</v>
      </c>
      <c r="AH20" s="53">
        <f t="shared" si="6"/>
        <v>18315.300000000003</v>
      </c>
      <c r="AI20" s="50" t="s">
        <v>859</v>
      </c>
      <c r="AJ20" s="50" t="s">
        <v>650</v>
      </c>
      <c r="AK20" s="50" t="s">
        <v>1106</v>
      </c>
    </row>
    <row r="21" spans="1:37" ht="80" x14ac:dyDescent="0.2">
      <c r="A21" s="50" t="s">
        <v>842</v>
      </c>
      <c r="B21" s="50" t="s">
        <v>671</v>
      </c>
      <c r="C21" s="50" t="s">
        <v>556</v>
      </c>
      <c r="D21" s="50" t="s">
        <v>824</v>
      </c>
      <c r="E21" s="50" t="s">
        <v>353</v>
      </c>
      <c r="F21" s="50" t="s">
        <v>547</v>
      </c>
      <c r="G21" s="50" t="s">
        <v>677</v>
      </c>
      <c r="H21" s="50" t="s">
        <v>825</v>
      </c>
      <c r="I21" s="50" t="s">
        <v>826</v>
      </c>
      <c r="J21" s="50" t="s">
        <v>656</v>
      </c>
      <c r="K21" s="50">
        <v>12</v>
      </c>
      <c r="L21" s="50" t="s">
        <v>817</v>
      </c>
      <c r="M21" s="52">
        <v>3000</v>
      </c>
      <c r="N21" s="114">
        <v>0</v>
      </c>
      <c r="O21" s="114">
        <v>0</v>
      </c>
      <c r="P21" s="53">
        <f t="shared" si="0"/>
        <v>3000</v>
      </c>
      <c r="Q21" s="50" t="s">
        <v>605</v>
      </c>
      <c r="R21" s="50">
        <v>60</v>
      </c>
      <c r="S21" s="114">
        <v>0.03</v>
      </c>
      <c r="T21" s="50" t="s">
        <v>590</v>
      </c>
      <c r="U21" s="50" t="s">
        <v>800</v>
      </c>
      <c r="V21" s="124">
        <v>46298</v>
      </c>
      <c r="W21" s="50" t="s">
        <v>606</v>
      </c>
      <c r="X21" s="50">
        <v>14.399999999999999</v>
      </c>
      <c r="Y21" s="50">
        <v>14.831999999999999</v>
      </c>
      <c r="Z21" s="50">
        <v>15.276959999999997</v>
      </c>
      <c r="AA21" s="50">
        <v>15.735268799999998</v>
      </c>
      <c r="AB21" s="50">
        <v>16.207326863999999</v>
      </c>
      <c r="AC21" s="53">
        <f t="shared" si="1"/>
        <v>43199.999999999993</v>
      </c>
      <c r="AD21" s="53">
        <f t="shared" si="2"/>
        <v>44496</v>
      </c>
      <c r="AE21" s="53">
        <f t="shared" si="3"/>
        <v>45830.87999999999</v>
      </c>
      <c r="AF21" s="53">
        <f t="shared" si="4"/>
        <v>47205.806399999994</v>
      </c>
      <c r="AG21" s="53">
        <f t="shared" si="5"/>
        <v>48621.980592</v>
      </c>
      <c r="AH21" s="53">
        <f t="shared" si="6"/>
        <v>229354.66699200001</v>
      </c>
      <c r="AI21" s="50" t="s">
        <v>860</v>
      </c>
      <c r="AJ21" s="50" t="s">
        <v>603</v>
      </c>
      <c r="AK21" s="50" t="s">
        <v>1107</v>
      </c>
    </row>
    <row r="22" spans="1:37" ht="80" x14ac:dyDescent="0.2">
      <c r="A22" s="50" t="s">
        <v>843</v>
      </c>
      <c r="B22" s="50" t="s">
        <v>671</v>
      </c>
      <c r="C22" s="50" t="s">
        <v>556</v>
      </c>
      <c r="D22" s="50" t="s">
        <v>828</v>
      </c>
      <c r="E22" s="50" t="s">
        <v>829</v>
      </c>
      <c r="F22" s="50" t="s">
        <v>553</v>
      </c>
      <c r="G22" s="50" t="s">
        <v>669</v>
      </c>
      <c r="H22" s="50" t="s">
        <v>613</v>
      </c>
      <c r="I22" s="50" t="s">
        <v>830</v>
      </c>
      <c r="J22" s="50" t="s">
        <v>656</v>
      </c>
      <c r="K22" s="50">
        <v>1</v>
      </c>
      <c r="L22" s="50" t="s">
        <v>831</v>
      </c>
      <c r="M22" s="52">
        <v>100000</v>
      </c>
      <c r="N22" s="114">
        <v>0</v>
      </c>
      <c r="O22" s="114">
        <v>0</v>
      </c>
      <c r="P22" s="53">
        <f t="shared" si="0"/>
        <v>100000</v>
      </c>
      <c r="Q22" s="50" t="s">
        <v>546</v>
      </c>
      <c r="R22" s="50">
        <v>60</v>
      </c>
      <c r="S22" s="114">
        <v>0</v>
      </c>
      <c r="T22" s="50" t="s">
        <v>590</v>
      </c>
      <c r="U22" s="50" t="s">
        <v>800</v>
      </c>
      <c r="V22" s="124">
        <v>46298</v>
      </c>
      <c r="W22" s="50" t="s">
        <v>550</v>
      </c>
      <c r="X22" s="50">
        <v>0</v>
      </c>
      <c r="Y22" s="50">
        <v>0</v>
      </c>
      <c r="Z22" s="50">
        <v>0</v>
      </c>
      <c r="AA22" s="50">
        <v>0</v>
      </c>
      <c r="AB22" s="50">
        <v>1</v>
      </c>
      <c r="AC22" s="53">
        <f t="shared" si="1"/>
        <v>0</v>
      </c>
      <c r="AD22" s="53">
        <f t="shared" si="2"/>
        <v>0</v>
      </c>
      <c r="AE22" s="53">
        <f t="shared" si="3"/>
        <v>0</v>
      </c>
      <c r="AF22" s="53">
        <f t="shared" si="4"/>
        <v>0</v>
      </c>
      <c r="AG22" s="53">
        <f t="shared" si="5"/>
        <v>100000</v>
      </c>
      <c r="AH22" s="53">
        <f t="shared" si="6"/>
        <v>100000</v>
      </c>
      <c r="AI22" s="50" t="s">
        <v>861</v>
      </c>
      <c r="AJ22" s="50" t="s">
        <v>603</v>
      </c>
      <c r="AK22" s="50" t="s">
        <v>1108</v>
      </c>
    </row>
    <row r="23" spans="1:37" ht="80" x14ac:dyDescent="0.2">
      <c r="A23" s="50" t="s">
        <v>844</v>
      </c>
      <c r="B23" s="50" t="s">
        <v>671</v>
      </c>
      <c r="C23" s="50" t="s">
        <v>557</v>
      </c>
      <c r="D23" s="50" t="s">
        <v>804</v>
      </c>
      <c r="E23" s="50" t="s">
        <v>805</v>
      </c>
      <c r="F23" s="50" t="s">
        <v>546</v>
      </c>
      <c r="G23" s="50" t="s">
        <v>604</v>
      </c>
      <c r="H23" s="50" t="s">
        <v>613</v>
      </c>
      <c r="I23" s="50" t="s">
        <v>806</v>
      </c>
      <c r="J23" s="50" t="s">
        <v>688</v>
      </c>
      <c r="K23" s="50">
        <v>10</v>
      </c>
      <c r="L23" s="50" t="s">
        <v>807</v>
      </c>
      <c r="M23" s="52">
        <v>45000</v>
      </c>
      <c r="N23" s="114">
        <v>0</v>
      </c>
      <c r="O23" s="114">
        <v>0</v>
      </c>
      <c r="P23" s="53">
        <f t="shared" si="0"/>
        <v>45000</v>
      </c>
      <c r="Q23" s="50" t="s">
        <v>546</v>
      </c>
      <c r="R23" s="50">
        <v>12</v>
      </c>
      <c r="S23" s="114">
        <v>0</v>
      </c>
      <c r="T23" s="50" t="s">
        <v>590</v>
      </c>
      <c r="U23" s="50" t="s">
        <v>800</v>
      </c>
      <c r="V23" s="124">
        <v>46298</v>
      </c>
      <c r="W23" s="50" t="s">
        <v>606</v>
      </c>
      <c r="X23" s="50">
        <v>10</v>
      </c>
      <c r="Y23" s="50">
        <v>0</v>
      </c>
      <c r="Z23" s="50">
        <v>0</v>
      </c>
      <c r="AA23" s="50">
        <v>0</v>
      </c>
      <c r="AB23" s="50">
        <v>0</v>
      </c>
      <c r="AC23" s="53">
        <f t="shared" si="1"/>
        <v>450000</v>
      </c>
      <c r="AD23" s="53">
        <f t="shared" si="2"/>
        <v>0</v>
      </c>
      <c r="AE23" s="53">
        <f t="shared" si="3"/>
        <v>0</v>
      </c>
      <c r="AF23" s="53">
        <f t="shared" si="4"/>
        <v>0</v>
      </c>
      <c r="AG23" s="53">
        <f t="shared" si="5"/>
        <v>0</v>
      </c>
      <c r="AH23" s="53">
        <f t="shared" si="6"/>
        <v>450000</v>
      </c>
      <c r="AI23" s="50" t="s">
        <v>856</v>
      </c>
      <c r="AJ23" s="50" t="s">
        <v>603</v>
      </c>
      <c r="AK23" s="50" t="s">
        <v>1103</v>
      </c>
    </row>
    <row r="24" spans="1:37" ht="80" x14ac:dyDescent="0.2">
      <c r="A24" s="50" t="s">
        <v>845</v>
      </c>
      <c r="B24" s="50" t="s">
        <v>671</v>
      </c>
      <c r="C24" s="50" t="s">
        <v>557</v>
      </c>
      <c r="D24" s="50" t="s">
        <v>809</v>
      </c>
      <c r="E24" s="50" t="s">
        <v>810</v>
      </c>
      <c r="F24" s="50" t="s">
        <v>547</v>
      </c>
      <c r="G24" s="50" t="s">
        <v>651</v>
      </c>
      <c r="H24" s="50" t="s">
        <v>613</v>
      </c>
      <c r="I24" s="50" t="s">
        <v>811</v>
      </c>
      <c r="J24" s="50" t="s">
        <v>656</v>
      </c>
      <c r="K24" s="50">
        <v>21840</v>
      </c>
      <c r="L24" s="50" t="s">
        <v>812</v>
      </c>
      <c r="M24" s="52">
        <v>57.69</v>
      </c>
      <c r="N24" s="114">
        <v>0</v>
      </c>
      <c r="O24" s="114">
        <v>0</v>
      </c>
      <c r="P24" s="53">
        <f t="shared" si="0"/>
        <v>57.69</v>
      </c>
      <c r="Q24" s="50" t="s">
        <v>639</v>
      </c>
      <c r="R24" s="50">
        <v>60</v>
      </c>
      <c r="S24" s="114">
        <v>0.03</v>
      </c>
      <c r="T24" s="50" t="s">
        <v>590</v>
      </c>
      <c r="U24" s="50" t="s">
        <v>800</v>
      </c>
      <c r="V24" s="124">
        <v>46298</v>
      </c>
      <c r="W24" s="50" t="s">
        <v>606</v>
      </c>
      <c r="X24" s="50">
        <v>21840</v>
      </c>
      <c r="Y24" s="50">
        <v>22495.200000000001</v>
      </c>
      <c r="Z24" s="50">
        <v>23170.056</v>
      </c>
      <c r="AA24" s="50">
        <v>23865.15768</v>
      </c>
      <c r="AB24" s="50">
        <v>24581.112410400005</v>
      </c>
      <c r="AC24" s="53">
        <f t="shared" si="1"/>
        <v>1259949.5999999999</v>
      </c>
      <c r="AD24" s="53">
        <f t="shared" si="2"/>
        <v>1297748.088</v>
      </c>
      <c r="AE24" s="53">
        <f t="shared" si="3"/>
        <v>1336680.53064</v>
      </c>
      <c r="AF24" s="53">
        <f t="shared" si="4"/>
        <v>1376780.9465592001</v>
      </c>
      <c r="AG24" s="53">
        <f t="shared" si="5"/>
        <v>1418084.3749559761</v>
      </c>
      <c r="AH24" s="53">
        <f t="shared" si="6"/>
        <v>6689243.5401551761</v>
      </c>
      <c r="AI24" s="50" t="s">
        <v>857</v>
      </c>
      <c r="AJ24" s="50" t="s">
        <v>603</v>
      </c>
      <c r="AK24" s="50" t="s">
        <v>1104</v>
      </c>
    </row>
    <row r="25" spans="1:37" ht="80" x14ac:dyDescent="0.2">
      <c r="A25" s="50" t="s">
        <v>846</v>
      </c>
      <c r="B25" s="50" t="s">
        <v>671</v>
      </c>
      <c r="C25" s="50" t="s">
        <v>557</v>
      </c>
      <c r="D25" s="50" t="s">
        <v>814</v>
      </c>
      <c r="E25" s="50" t="s">
        <v>815</v>
      </c>
      <c r="F25" s="50" t="s">
        <v>547</v>
      </c>
      <c r="G25" s="50" t="s">
        <v>677</v>
      </c>
      <c r="H25" s="50" t="s">
        <v>796</v>
      </c>
      <c r="I25" s="50" t="s">
        <v>816</v>
      </c>
      <c r="J25" s="50" t="s">
        <v>671</v>
      </c>
      <c r="K25" s="50">
        <v>12</v>
      </c>
      <c r="L25" s="50" t="s">
        <v>817</v>
      </c>
      <c r="M25" s="52">
        <v>2400</v>
      </c>
      <c r="N25" s="114">
        <v>0</v>
      </c>
      <c r="O25" s="114">
        <v>0</v>
      </c>
      <c r="P25" s="53">
        <f t="shared" si="0"/>
        <v>2400</v>
      </c>
      <c r="Q25" s="50" t="s">
        <v>605</v>
      </c>
      <c r="R25" s="50">
        <v>60</v>
      </c>
      <c r="S25" s="114">
        <v>0.03</v>
      </c>
      <c r="T25" s="50" t="s">
        <v>590</v>
      </c>
      <c r="U25" s="50" t="s">
        <v>800</v>
      </c>
      <c r="V25" s="124">
        <v>46298</v>
      </c>
      <c r="W25" s="50" t="s">
        <v>549</v>
      </c>
      <c r="X25" s="50">
        <v>16.799999999999997</v>
      </c>
      <c r="Y25" s="50">
        <v>17.303999999999998</v>
      </c>
      <c r="Z25" s="50">
        <v>17.823119999999996</v>
      </c>
      <c r="AA25" s="50">
        <v>18.357813599999997</v>
      </c>
      <c r="AB25" s="50">
        <v>18.908548008</v>
      </c>
      <c r="AC25" s="53">
        <f t="shared" si="1"/>
        <v>40319.999999999993</v>
      </c>
      <c r="AD25" s="53">
        <f t="shared" si="2"/>
        <v>41529.599999999999</v>
      </c>
      <c r="AE25" s="53">
        <f t="shared" si="3"/>
        <v>42775.48799999999</v>
      </c>
      <c r="AF25" s="53">
        <f t="shared" si="4"/>
        <v>44058.752639999992</v>
      </c>
      <c r="AG25" s="53">
        <f t="shared" si="5"/>
        <v>45380.515219200002</v>
      </c>
      <c r="AH25" s="53">
        <f t="shared" si="6"/>
        <v>214064.35585919998</v>
      </c>
      <c r="AI25" s="50" t="s">
        <v>858</v>
      </c>
      <c r="AJ25" s="50" t="s">
        <v>603</v>
      </c>
      <c r="AK25" s="50" t="s">
        <v>1105</v>
      </c>
    </row>
    <row r="26" spans="1:37" ht="80" x14ac:dyDescent="0.2">
      <c r="A26" s="50" t="s">
        <v>847</v>
      </c>
      <c r="B26" s="50" t="s">
        <v>671</v>
      </c>
      <c r="C26" s="50" t="s">
        <v>557</v>
      </c>
      <c r="D26" s="50" t="s">
        <v>819</v>
      </c>
      <c r="E26" s="50" t="s">
        <v>820</v>
      </c>
      <c r="F26" s="50" t="s">
        <v>548</v>
      </c>
      <c r="G26" s="50" t="s">
        <v>662</v>
      </c>
      <c r="H26" s="50" t="s">
        <v>796</v>
      </c>
      <c r="I26" s="50" t="s">
        <v>821</v>
      </c>
      <c r="J26" s="50" t="s">
        <v>656</v>
      </c>
      <c r="K26" s="50">
        <v>3600</v>
      </c>
      <c r="L26" s="50" t="s">
        <v>822</v>
      </c>
      <c r="M26" s="52">
        <v>1.25</v>
      </c>
      <c r="N26" s="114">
        <v>0</v>
      </c>
      <c r="O26" s="114">
        <v>0</v>
      </c>
      <c r="P26" s="53">
        <f t="shared" si="0"/>
        <v>1.25</v>
      </c>
      <c r="Q26" s="50" t="s">
        <v>652</v>
      </c>
      <c r="R26" s="50">
        <v>60</v>
      </c>
      <c r="S26" s="114">
        <v>0</v>
      </c>
      <c r="T26" s="50" t="s">
        <v>590</v>
      </c>
      <c r="U26" s="50" t="s">
        <v>800</v>
      </c>
      <c r="V26" s="124">
        <v>46298</v>
      </c>
      <c r="W26" s="50" t="s">
        <v>549</v>
      </c>
      <c r="X26" s="50">
        <v>3600</v>
      </c>
      <c r="Y26" s="50">
        <v>3960.0000000000005</v>
      </c>
      <c r="Z26" s="50">
        <v>4356.0000000000009</v>
      </c>
      <c r="AA26" s="50">
        <v>4791.6000000000013</v>
      </c>
      <c r="AB26" s="50">
        <v>5270.7600000000011</v>
      </c>
      <c r="AC26" s="53">
        <f t="shared" si="1"/>
        <v>4500</v>
      </c>
      <c r="AD26" s="53">
        <f t="shared" si="2"/>
        <v>4950.0000000000009</v>
      </c>
      <c r="AE26" s="53">
        <f t="shared" si="3"/>
        <v>5445.0000000000009</v>
      </c>
      <c r="AF26" s="53">
        <f t="shared" si="4"/>
        <v>5989.5000000000018</v>
      </c>
      <c r="AG26" s="53">
        <f t="shared" si="5"/>
        <v>6588.4500000000016</v>
      </c>
      <c r="AH26" s="53">
        <f t="shared" si="6"/>
        <v>27472.95</v>
      </c>
      <c r="AI26" s="50" t="s">
        <v>859</v>
      </c>
      <c r="AJ26" s="50" t="s">
        <v>650</v>
      </c>
      <c r="AK26" s="50" t="s">
        <v>1106</v>
      </c>
    </row>
    <row r="27" spans="1:37" ht="80" x14ac:dyDescent="0.2">
      <c r="A27" s="50" t="s">
        <v>848</v>
      </c>
      <c r="B27" s="50" t="s">
        <v>671</v>
      </c>
      <c r="C27" s="50" t="s">
        <v>557</v>
      </c>
      <c r="D27" s="50" t="s">
        <v>824</v>
      </c>
      <c r="E27" s="50" t="s">
        <v>353</v>
      </c>
      <c r="F27" s="50" t="s">
        <v>547</v>
      </c>
      <c r="G27" s="50" t="s">
        <v>677</v>
      </c>
      <c r="H27" s="50" t="s">
        <v>825</v>
      </c>
      <c r="I27" s="50" t="s">
        <v>826</v>
      </c>
      <c r="J27" s="50" t="s">
        <v>656</v>
      </c>
      <c r="K27" s="50">
        <v>12</v>
      </c>
      <c r="L27" s="50" t="s">
        <v>817</v>
      </c>
      <c r="M27" s="52">
        <v>3000</v>
      </c>
      <c r="N27" s="114">
        <v>0</v>
      </c>
      <c r="O27" s="114">
        <v>0</v>
      </c>
      <c r="P27" s="53">
        <f t="shared" si="0"/>
        <v>3000</v>
      </c>
      <c r="Q27" s="50" t="s">
        <v>605</v>
      </c>
      <c r="R27" s="50">
        <v>60</v>
      </c>
      <c r="S27" s="114">
        <v>0.03</v>
      </c>
      <c r="T27" s="50" t="s">
        <v>590</v>
      </c>
      <c r="U27" s="50" t="s">
        <v>800</v>
      </c>
      <c r="V27" s="124">
        <v>46298</v>
      </c>
      <c r="W27" s="50" t="s">
        <v>606</v>
      </c>
      <c r="X27" s="50">
        <v>16.799999999999997</v>
      </c>
      <c r="Y27" s="50">
        <v>17.303999999999998</v>
      </c>
      <c r="Z27" s="50">
        <v>17.823119999999996</v>
      </c>
      <c r="AA27" s="50">
        <v>18.357813599999997</v>
      </c>
      <c r="AB27" s="50">
        <v>18.908548008</v>
      </c>
      <c r="AC27" s="53">
        <f t="shared" si="1"/>
        <v>50399.999999999993</v>
      </c>
      <c r="AD27" s="53">
        <f t="shared" si="2"/>
        <v>51911.999999999993</v>
      </c>
      <c r="AE27" s="53">
        <f t="shared" si="3"/>
        <v>53469.359999999986</v>
      </c>
      <c r="AF27" s="53">
        <f t="shared" si="4"/>
        <v>55073.440799999989</v>
      </c>
      <c r="AG27" s="53">
        <f t="shared" si="5"/>
        <v>56725.644024000001</v>
      </c>
      <c r="AH27" s="53">
        <f t="shared" si="6"/>
        <v>267580.44482399995</v>
      </c>
      <c r="AI27" s="50" t="s">
        <v>860</v>
      </c>
      <c r="AJ27" s="50" t="s">
        <v>603</v>
      </c>
      <c r="AK27" s="50" t="s">
        <v>1107</v>
      </c>
    </row>
    <row r="28" spans="1:37" ht="80" x14ac:dyDescent="0.2">
      <c r="A28" s="50" t="s">
        <v>849</v>
      </c>
      <c r="B28" s="50" t="s">
        <v>671</v>
      </c>
      <c r="C28" s="50" t="s">
        <v>557</v>
      </c>
      <c r="D28" s="50" t="s">
        <v>828</v>
      </c>
      <c r="E28" s="50" t="s">
        <v>829</v>
      </c>
      <c r="F28" s="50" t="s">
        <v>553</v>
      </c>
      <c r="G28" s="50" t="s">
        <v>669</v>
      </c>
      <c r="H28" s="50" t="s">
        <v>613</v>
      </c>
      <c r="I28" s="50" t="s">
        <v>830</v>
      </c>
      <c r="J28" s="50" t="s">
        <v>656</v>
      </c>
      <c r="K28" s="50">
        <v>1</v>
      </c>
      <c r="L28" s="50" t="s">
        <v>831</v>
      </c>
      <c r="M28" s="52">
        <v>100000</v>
      </c>
      <c r="N28" s="114">
        <v>0</v>
      </c>
      <c r="O28" s="114">
        <v>0</v>
      </c>
      <c r="P28" s="53">
        <f t="shared" si="0"/>
        <v>100000</v>
      </c>
      <c r="Q28" s="50" t="s">
        <v>546</v>
      </c>
      <c r="R28" s="50">
        <v>60</v>
      </c>
      <c r="S28" s="114">
        <v>0</v>
      </c>
      <c r="T28" s="50" t="s">
        <v>590</v>
      </c>
      <c r="U28" s="50" t="s">
        <v>800</v>
      </c>
      <c r="V28" s="124">
        <v>46298</v>
      </c>
      <c r="W28" s="50" t="s">
        <v>550</v>
      </c>
      <c r="X28" s="50">
        <v>0</v>
      </c>
      <c r="Y28" s="50">
        <v>0</v>
      </c>
      <c r="Z28" s="50">
        <v>0</v>
      </c>
      <c r="AA28" s="50">
        <v>0</v>
      </c>
      <c r="AB28" s="50">
        <v>1</v>
      </c>
      <c r="AC28" s="53">
        <f t="shared" si="1"/>
        <v>0</v>
      </c>
      <c r="AD28" s="53">
        <f t="shared" si="2"/>
        <v>0</v>
      </c>
      <c r="AE28" s="53">
        <f t="shared" si="3"/>
        <v>0</v>
      </c>
      <c r="AF28" s="53">
        <f t="shared" si="4"/>
        <v>0</v>
      </c>
      <c r="AG28" s="53">
        <f t="shared" si="5"/>
        <v>100000</v>
      </c>
      <c r="AH28" s="53">
        <f t="shared" si="6"/>
        <v>100000</v>
      </c>
      <c r="AI28" s="50" t="s">
        <v>861</v>
      </c>
      <c r="AJ28" s="50" t="s">
        <v>603</v>
      </c>
      <c r="AK28" s="50" t="s">
        <v>1108</v>
      </c>
    </row>
    <row r="29" spans="1:37" ht="80" x14ac:dyDescent="0.2">
      <c r="A29" s="50" t="s">
        <v>850</v>
      </c>
      <c r="B29" s="50" t="s">
        <v>671</v>
      </c>
      <c r="C29" s="50" t="s">
        <v>558</v>
      </c>
      <c r="D29" s="50" t="s">
        <v>804</v>
      </c>
      <c r="E29" s="50" t="s">
        <v>805</v>
      </c>
      <c r="F29" s="50" t="s">
        <v>546</v>
      </c>
      <c r="G29" s="50" t="s">
        <v>604</v>
      </c>
      <c r="H29" s="50" t="s">
        <v>613</v>
      </c>
      <c r="I29" s="50" t="s">
        <v>806</v>
      </c>
      <c r="J29" s="50" t="s">
        <v>688</v>
      </c>
      <c r="K29" s="50">
        <v>10</v>
      </c>
      <c r="L29" s="50" t="s">
        <v>807</v>
      </c>
      <c r="M29" s="52">
        <v>45000</v>
      </c>
      <c r="N29" s="114">
        <v>0</v>
      </c>
      <c r="O29" s="114">
        <v>0</v>
      </c>
      <c r="P29" s="53">
        <f t="shared" si="0"/>
        <v>45000</v>
      </c>
      <c r="Q29" s="50" t="s">
        <v>546</v>
      </c>
      <c r="R29" s="50">
        <v>12</v>
      </c>
      <c r="S29" s="114">
        <v>0</v>
      </c>
      <c r="T29" s="50" t="s">
        <v>590</v>
      </c>
      <c r="U29" s="50" t="s">
        <v>800</v>
      </c>
      <c r="V29" s="124">
        <v>46298</v>
      </c>
      <c r="W29" s="50" t="s">
        <v>606</v>
      </c>
      <c r="X29" s="50">
        <v>10</v>
      </c>
      <c r="Y29" s="50">
        <v>0</v>
      </c>
      <c r="Z29" s="50">
        <v>0</v>
      </c>
      <c r="AA29" s="50">
        <v>0</v>
      </c>
      <c r="AB29" s="50">
        <v>0</v>
      </c>
      <c r="AC29" s="53">
        <f t="shared" si="1"/>
        <v>450000</v>
      </c>
      <c r="AD29" s="53">
        <f t="shared" si="2"/>
        <v>0</v>
      </c>
      <c r="AE29" s="53">
        <f t="shared" si="3"/>
        <v>0</v>
      </c>
      <c r="AF29" s="53">
        <f t="shared" si="4"/>
        <v>0</v>
      </c>
      <c r="AG29" s="53">
        <f t="shared" si="5"/>
        <v>0</v>
      </c>
      <c r="AH29" s="53">
        <f t="shared" si="6"/>
        <v>450000</v>
      </c>
      <c r="AI29" s="50" t="s">
        <v>856</v>
      </c>
      <c r="AJ29" s="50" t="s">
        <v>661</v>
      </c>
      <c r="AK29" s="50" t="s">
        <v>1103</v>
      </c>
    </row>
    <row r="30" spans="1:37" ht="80" x14ac:dyDescent="0.2">
      <c r="A30" s="50" t="s">
        <v>851</v>
      </c>
      <c r="B30" s="50" t="s">
        <v>671</v>
      </c>
      <c r="C30" s="50" t="s">
        <v>558</v>
      </c>
      <c r="D30" s="50" t="s">
        <v>809</v>
      </c>
      <c r="E30" s="50" t="s">
        <v>810</v>
      </c>
      <c r="F30" s="50" t="s">
        <v>547</v>
      </c>
      <c r="G30" s="50" t="s">
        <v>651</v>
      </c>
      <c r="H30" s="50" t="s">
        <v>613</v>
      </c>
      <c r="I30" s="50" t="s">
        <v>811</v>
      </c>
      <c r="J30" s="50" t="s">
        <v>656</v>
      </c>
      <c r="K30" s="50">
        <v>15600</v>
      </c>
      <c r="L30" s="50" t="s">
        <v>812</v>
      </c>
      <c r="M30" s="52">
        <v>57.69</v>
      </c>
      <c r="N30" s="114">
        <v>0</v>
      </c>
      <c r="O30" s="114">
        <v>0</v>
      </c>
      <c r="P30" s="53">
        <f t="shared" si="0"/>
        <v>57.69</v>
      </c>
      <c r="Q30" s="50" t="s">
        <v>639</v>
      </c>
      <c r="R30" s="50">
        <v>60</v>
      </c>
      <c r="S30" s="114">
        <v>0.03</v>
      </c>
      <c r="T30" s="50" t="s">
        <v>590</v>
      </c>
      <c r="U30" s="50" t="s">
        <v>800</v>
      </c>
      <c r="V30" s="124">
        <v>46298</v>
      </c>
      <c r="W30" s="50" t="s">
        <v>606</v>
      </c>
      <c r="X30" s="50">
        <v>15600</v>
      </c>
      <c r="Y30" s="50">
        <v>16068</v>
      </c>
      <c r="Z30" s="50">
        <v>16550.04</v>
      </c>
      <c r="AA30" s="50">
        <v>17046.5412</v>
      </c>
      <c r="AB30" s="50">
        <v>17557.937436000004</v>
      </c>
      <c r="AC30" s="53">
        <f t="shared" si="1"/>
        <v>899964</v>
      </c>
      <c r="AD30" s="53">
        <f t="shared" si="2"/>
        <v>926962.91999999993</v>
      </c>
      <c r="AE30" s="53">
        <f t="shared" si="3"/>
        <v>954771.80760000006</v>
      </c>
      <c r="AF30" s="53">
        <f t="shared" si="4"/>
        <v>983414.96182799991</v>
      </c>
      <c r="AG30" s="53">
        <f t="shared" si="5"/>
        <v>1012917.4106828402</v>
      </c>
      <c r="AH30" s="53">
        <f t="shared" si="6"/>
        <v>4778031.1001108401</v>
      </c>
      <c r="AI30" s="50" t="s">
        <v>857</v>
      </c>
      <c r="AJ30" s="50" t="s">
        <v>661</v>
      </c>
      <c r="AK30" s="50" t="s">
        <v>1104</v>
      </c>
    </row>
    <row r="31" spans="1:37" ht="80" x14ac:dyDescent="0.2">
      <c r="A31" s="50" t="s">
        <v>852</v>
      </c>
      <c r="B31" s="50" t="s">
        <v>671</v>
      </c>
      <c r="C31" s="50" t="s">
        <v>558</v>
      </c>
      <c r="D31" s="50" t="s">
        <v>814</v>
      </c>
      <c r="E31" s="50" t="s">
        <v>815</v>
      </c>
      <c r="F31" s="50" t="s">
        <v>547</v>
      </c>
      <c r="G31" s="50" t="s">
        <v>677</v>
      </c>
      <c r="H31" s="50" t="s">
        <v>796</v>
      </c>
      <c r="I31" s="50" t="s">
        <v>816</v>
      </c>
      <c r="J31" s="50" t="s">
        <v>671</v>
      </c>
      <c r="K31" s="50">
        <v>12</v>
      </c>
      <c r="L31" s="50" t="s">
        <v>817</v>
      </c>
      <c r="M31" s="52">
        <v>2400</v>
      </c>
      <c r="N31" s="114">
        <v>0</v>
      </c>
      <c r="O31" s="114">
        <v>0</v>
      </c>
      <c r="P31" s="53">
        <f t="shared" si="0"/>
        <v>2400</v>
      </c>
      <c r="Q31" s="50" t="s">
        <v>605</v>
      </c>
      <c r="R31" s="50">
        <v>60</v>
      </c>
      <c r="S31" s="114">
        <v>0.03</v>
      </c>
      <c r="T31" s="50" t="s">
        <v>590</v>
      </c>
      <c r="U31" s="50" t="s">
        <v>800</v>
      </c>
      <c r="V31" s="124">
        <v>46298</v>
      </c>
      <c r="W31" s="50" t="s">
        <v>549</v>
      </c>
      <c r="X31" s="50">
        <v>12</v>
      </c>
      <c r="Y31" s="50">
        <v>12.36</v>
      </c>
      <c r="Z31" s="50">
        <v>12.730799999999999</v>
      </c>
      <c r="AA31" s="50">
        <v>13.112724</v>
      </c>
      <c r="AB31" s="50">
        <v>13.506105720000001</v>
      </c>
      <c r="AC31" s="53">
        <f t="shared" si="1"/>
        <v>28800</v>
      </c>
      <c r="AD31" s="53">
        <f t="shared" si="2"/>
        <v>29664</v>
      </c>
      <c r="AE31" s="53">
        <f t="shared" si="3"/>
        <v>30553.919999999998</v>
      </c>
      <c r="AF31" s="53">
        <f t="shared" si="4"/>
        <v>31470.5376</v>
      </c>
      <c r="AG31" s="53">
        <f t="shared" si="5"/>
        <v>32414.653728000001</v>
      </c>
      <c r="AH31" s="53">
        <f t="shared" si="6"/>
        <v>152903.111328</v>
      </c>
      <c r="AI31" s="50" t="s">
        <v>858</v>
      </c>
      <c r="AJ31" s="50" t="s">
        <v>661</v>
      </c>
      <c r="AK31" s="50" t="s">
        <v>1105</v>
      </c>
    </row>
    <row r="32" spans="1:37" ht="80" x14ac:dyDescent="0.2">
      <c r="A32" s="50" t="s">
        <v>853</v>
      </c>
      <c r="B32" s="50" t="s">
        <v>671</v>
      </c>
      <c r="C32" s="50" t="s">
        <v>558</v>
      </c>
      <c r="D32" s="50" t="s">
        <v>819</v>
      </c>
      <c r="E32" s="50" t="s">
        <v>820</v>
      </c>
      <c r="F32" s="50" t="s">
        <v>548</v>
      </c>
      <c r="G32" s="50" t="s">
        <v>662</v>
      </c>
      <c r="H32" s="50" t="s">
        <v>796</v>
      </c>
      <c r="I32" s="50" t="s">
        <v>821</v>
      </c>
      <c r="J32" s="50" t="s">
        <v>656</v>
      </c>
      <c r="K32" s="50">
        <v>1800</v>
      </c>
      <c r="L32" s="50" t="s">
        <v>822</v>
      </c>
      <c r="M32" s="52">
        <v>1.25</v>
      </c>
      <c r="N32" s="114">
        <v>0</v>
      </c>
      <c r="O32" s="114">
        <v>0</v>
      </c>
      <c r="P32" s="53">
        <f t="shared" si="0"/>
        <v>1.25</v>
      </c>
      <c r="Q32" s="50" t="s">
        <v>652</v>
      </c>
      <c r="R32" s="50">
        <v>60</v>
      </c>
      <c r="S32" s="114">
        <v>0</v>
      </c>
      <c r="T32" s="50" t="s">
        <v>590</v>
      </c>
      <c r="U32" s="50" t="s">
        <v>800</v>
      </c>
      <c r="V32" s="124">
        <v>46298</v>
      </c>
      <c r="W32" s="50" t="s">
        <v>549</v>
      </c>
      <c r="X32" s="50">
        <v>1800</v>
      </c>
      <c r="Y32" s="50">
        <v>1980.0000000000002</v>
      </c>
      <c r="Z32" s="50">
        <v>2178.0000000000005</v>
      </c>
      <c r="AA32" s="50">
        <v>2395.8000000000006</v>
      </c>
      <c r="AB32" s="50">
        <v>2635.3800000000006</v>
      </c>
      <c r="AC32" s="53">
        <f t="shared" si="1"/>
        <v>2250</v>
      </c>
      <c r="AD32" s="53">
        <f t="shared" si="2"/>
        <v>2475.0000000000005</v>
      </c>
      <c r="AE32" s="53">
        <f t="shared" si="3"/>
        <v>2722.5000000000005</v>
      </c>
      <c r="AF32" s="53">
        <f t="shared" si="4"/>
        <v>2994.7500000000009</v>
      </c>
      <c r="AG32" s="53">
        <f t="shared" si="5"/>
        <v>3294.2250000000008</v>
      </c>
      <c r="AH32" s="53">
        <f t="shared" si="6"/>
        <v>13736.475</v>
      </c>
      <c r="AI32" s="50" t="s">
        <v>859</v>
      </c>
      <c r="AJ32" s="50" t="s">
        <v>650</v>
      </c>
      <c r="AK32" s="50" t="s">
        <v>1106</v>
      </c>
    </row>
    <row r="33" spans="1:37" ht="80" x14ac:dyDescent="0.2">
      <c r="A33" s="50" t="s">
        <v>854</v>
      </c>
      <c r="B33" s="50" t="s">
        <v>671</v>
      </c>
      <c r="C33" s="50" t="s">
        <v>558</v>
      </c>
      <c r="D33" s="50" t="s">
        <v>824</v>
      </c>
      <c r="E33" s="50" t="s">
        <v>353</v>
      </c>
      <c r="F33" s="50" t="s">
        <v>547</v>
      </c>
      <c r="G33" s="50" t="s">
        <v>677</v>
      </c>
      <c r="H33" s="50" t="s">
        <v>825</v>
      </c>
      <c r="I33" s="50" t="s">
        <v>826</v>
      </c>
      <c r="J33" s="50" t="s">
        <v>656</v>
      </c>
      <c r="K33" s="50">
        <v>12</v>
      </c>
      <c r="L33" s="50" t="s">
        <v>817</v>
      </c>
      <c r="M33" s="52">
        <v>3000</v>
      </c>
      <c r="N33" s="114">
        <v>0</v>
      </c>
      <c r="O33" s="114">
        <v>0</v>
      </c>
      <c r="P33" s="53">
        <f t="shared" si="0"/>
        <v>3000</v>
      </c>
      <c r="Q33" s="50" t="s">
        <v>605</v>
      </c>
      <c r="R33" s="50">
        <v>60</v>
      </c>
      <c r="S33" s="114">
        <v>0.03</v>
      </c>
      <c r="T33" s="50" t="s">
        <v>590</v>
      </c>
      <c r="U33" s="50" t="s">
        <v>800</v>
      </c>
      <c r="V33" s="124">
        <v>46298</v>
      </c>
      <c r="W33" s="50" t="s">
        <v>606</v>
      </c>
      <c r="X33" s="50">
        <v>12</v>
      </c>
      <c r="Y33" s="50">
        <v>12.36</v>
      </c>
      <c r="Z33" s="50">
        <v>12.730799999999999</v>
      </c>
      <c r="AA33" s="50">
        <v>13.112724</v>
      </c>
      <c r="AB33" s="50">
        <v>13.506105720000001</v>
      </c>
      <c r="AC33" s="53">
        <f t="shared" si="1"/>
        <v>36000</v>
      </c>
      <c r="AD33" s="53">
        <f t="shared" si="2"/>
        <v>37080</v>
      </c>
      <c r="AE33" s="53">
        <f t="shared" si="3"/>
        <v>38192.399999999994</v>
      </c>
      <c r="AF33" s="53">
        <f t="shared" si="4"/>
        <v>39338.171999999999</v>
      </c>
      <c r="AG33" s="53">
        <f t="shared" si="5"/>
        <v>40518.317159999999</v>
      </c>
      <c r="AH33" s="53">
        <f t="shared" si="6"/>
        <v>191128.88915999999</v>
      </c>
      <c r="AI33" s="50" t="s">
        <v>860</v>
      </c>
      <c r="AJ33" s="50" t="s">
        <v>661</v>
      </c>
      <c r="AK33" s="50" t="s">
        <v>1107</v>
      </c>
    </row>
    <row r="34" spans="1:37" ht="80" x14ac:dyDescent="0.2">
      <c r="A34" s="50" t="s">
        <v>855</v>
      </c>
      <c r="B34" s="50" t="s">
        <v>671</v>
      </c>
      <c r="C34" s="50" t="s">
        <v>558</v>
      </c>
      <c r="D34" s="50" t="s">
        <v>828</v>
      </c>
      <c r="E34" s="50" t="s">
        <v>829</v>
      </c>
      <c r="F34" s="50" t="s">
        <v>553</v>
      </c>
      <c r="G34" s="50" t="s">
        <v>669</v>
      </c>
      <c r="H34" s="50" t="s">
        <v>613</v>
      </c>
      <c r="I34" s="50" t="s">
        <v>830</v>
      </c>
      <c r="J34" s="50" t="s">
        <v>656</v>
      </c>
      <c r="K34" s="50">
        <v>1</v>
      </c>
      <c r="L34" s="50" t="s">
        <v>831</v>
      </c>
      <c r="M34" s="52">
        <v>100000</v>
      </c>
      <c r="N34" s="114">
        <v>0</v>
      </c>
      <c r="O34" s="114">
        <v>0</v>
      </c>
      <c r="P34" s="53">
        <f t="shared" si="0"/>
        <v>100000</v>
      </c>
      <c r="Q34" s="50" t="s">
        <v>546</v>
      </c>
      <c r="R34" s="50">
        <v>60</v>
      </c>
      <c r="S34" s="114">
        <v>0</v>
      </c>
      <c r="T34" s="50" t="s">
        <v>590</v>
      </c>
      <c r="U34" s="50" t="s">
        <v>800</v>
      </c>
      <c r="V34" s="124">
        <v>46298</v>
      </c>
      <c r="W34" s="50" t="s">
        <v>550</v>
      </c>
      <c r="X34" s="50">
        <v>0</v>
      </c>
      <c r="Y34" s="50">
        <v>0</v>
      </c>
      <c r="Z34" s="50">
        <v>0</v>
      </c>
      <c r="AA34" s="50">
        <v>0</v>
      </c>
      <c r="AB34" s="50">
        <v>1</v>
      </c>
      <c r="AC34" s="53">
        <f t="shared" si="1"/>
        <v>0</v>
      </c>
      <c r="AD34" s="53">
        <f t="shared" si="2"/>
        <v>0</v>
      </c>
      <c r="AE34" s="53">
        <f t="shared" si="3"/>
        <v>0</v>
      </c>
      <c r="AF34" s="53">
        <f t="shared" si="4"/>
        <v>0</v>
      </c>
      <c r="AG34" s="53">
        <f t="shared" si="5"/>
        <v>100000</v>
      </c>
      <c r="AH34" s="53">
        <f t="shared" si="6"/>
        <v>100000</v>
      </c>
      <c r="AI34" s="50" t="s">
        <v>861</v>
      </c>
      <c r="AJ34" s="50" t="s">
        <v>661</v>
      </c>
      <c r="AK34" s="50" t="s">
        <v>1108</v>
      </c>
    </row>
    <row r="35" spans="1:37" x14ac:dyDescent="0.2">
      <c r="A35" s="50"/>
      <c r="B35" s="50"/>
      <c r="C35" s="50"/>
      <c r="D35" s="50"/>
      <c r="E35" s="50"/>
      <c r="F35" s="50"/>
      <c r="G35" s="50"/>
      <c r="H35" s="50"/>
      <c r="I35" s="50"/>
      <c r="J35" s="50"/>
      <c r="K35" s="50"/>
      <c r="L35" s="50"/>
      <c r="M35" s="52"/>
      <c r="N35" s="51"/>
      <c r="O35" s="51"/>
      <c r="P35" s="53">
        <f t="shared" si="0"/>
        <v>0</v>
      </c>
      <c r="Q35" s="50"/>
      <c r="R35" s="50"/>
      <c r="S35" s="51"/>
      <c r="T35" s="50"/>
      <c r="U35" s="50"/>
      <c r="V35" s="50"/>
      <c r="W35" s="50"/>
      <c r="X35" s="50"/>
      <c r="Y35" s="50"/>
      <c r="Z35" s="50"/>
      <c r="AA35" s="50"/>
      <c r="AB35" s="50"/>
      <c r="AC35" s="53">
        <f t="shared" si="1"/>
        <v>0</v>
      </c>
      <c r="AD35" s="53">
        <f t="shared" si="2"/>
        <v>0</v>
      </c>
      <c r="AE35" s="53">
        <f t="shared" si="3"/>
        <v>0</v>
      </c>
      <c r="AF35" s="53">
        <f t="shared" si="4"/>
        <v>0</v>
      </c>
      <c r="AG35" s="53">
        <f t="shared" si="5"/>
        <v>0</v>
      </c>
      <c r="AH35" s="53">
        <f t="shared" si="6"/>
        <v>0</v>
      </c>
      <c r="AI35" s="50"/>
      <c r="AJ35" s="50"/>
      <c r="AK35" s="50"/>
    </row>
    <row r="36" spans="1:37" x14ac:dyDescent="0.2">
      <c r="A36" s="50"/>
      <c r="B36" s="50"/>
      <c r="C36" s="50"/>
      <c r="D36" s="50"/>
      <c r="E36" s="50"/>
      <c r="F36" s="50"/>
      <c r="G36" s="50"/>
      <c r="H36" s="50"/>
      <c r="I36" s="50"/>
      <c r="J36" s="50"/>
      <c r="K36" s="50"/>
      <c r="L36" s="50"/>
      <c r="M36" s="52"/>
      <c r="N36" s="51"/>
      <c r="O36" s="51"/>
      <c r="P36" s="53">
        <f t="shared" si="0"/>
        <v>0</v>
      </c>
      <c r="Q36" s="50"/>
      <c r="R36" s="50"/>
      <c r="S36" s="51"/>
      <c r="T36" s="50"/>
      <c r="U36" s="50"/>
      <c r="V36" s="50"/>
      <c r="W36" s="50"/>
      <c r="X36" s="50"/>
      <c r="Y36" s="50"/>
      <c r="Z36" s="50"/>
      <c r="AA36" s="50"/>
      <c r="AB36" s="50"/>
      <c r="AC36" s="53">
        <f t="shared" si="1"/>
        <v>0</v>
      </c>
      <c r="AD36" s="53">
        <f t="shared" si="2"/>
        <v>0</v>
      </c>
      <c r="AE36" s="53">
        <f t="shared" si="3"/>
        <v>0</v>
      </c>
      <c r="AF36" s="53">
        <f t="shared" si="4"/>
        <v>0</v>
      </c>
      <c r="AG36" s="53">
        <f t="shared" si="5"/>
        <v>0</v>
      </c>
      <c r="AH36" s="53">
        <f t="shared" si="6"/>
        <v>0</v>
      </c>
      <c r="AI36" s="50"/>
      <c r="AJ36" s="50"/>
      <c r="AK36" s="50"/>
    </row>
    <row r="37" spans="1:37" x14ac:dyDescent="0.2">
      <c r="A37" s="50"/>
      <c r="B37" s="50"/>
      <c r="C37" s="50"/>
      <c r="D37" s="50"/>
      <c r="E37" s="50"/>
      <c r="F37" s="50"/>
      <c r="G37" s="50"/>
      <c r="H37" s="50"/>
      <c r="I37" s="50"/>
      <c r="J37" s="50"/>
      <c r="K37" s="50"/>
      <c r="L37" s="50"/>
      <c r="M37" s="52"/>
      <c r="N37" s="51"/>
      <c r="O37" s="51"/>
      <c r="P37" s="53">
        <f t="shared" si="0"/>
        <v>0</v>
      </c>
      <c r="Q37" s="50"/>
      <c r="R37" s="50"/>
      <c r="S37" s="51"/>
      <c r="T37" s="50"/>
      <c r="U37" s="50"/>
      <c r="V37" s="50"/>
      <c r="W37" s="50"/>
      <c r="X37" s="50"/>
      <c r="Y37" s="50"/>
      <c r="Z37" s="50"/>
      <c r="AA37" s="50"/>
      <c r="AB37" s="50"/>
      <c r="AC37" s="53">
        <f t="shared" si="1"/>
        <v>0</v>
      </c>
      <c r="AD37" s="53">
        <f t="shared" si="2"/>
        <v>0</v>
      </c>
      <c r="AE37" s="53">
        <f t="shared" si="3"/>
        <v>0</v>
      </c>
      <c r="AF37" s="53">
        <f t="shared" si="4"/>
        <v>0</v>
      </c>
      <c r="AG37" s="53">
        <f t="shared" si="5"/>
        <v>0</v>
      </c>
      <c r="AH37" s="53">
        <f t="shared" si="6"/>
        <v>0</v>
      </c>
      <c r="AI37" s="50"/>
      <c r="AJ37" s="50"/>
      <c r="AK37" s="50"/>
    </row>
    <row r="38" spans="1:37" x14ac:dyDescent="0.2">
      <c r="A38" s="50"/>
      <c r="B38" s="50"/>
      <c r="C38" s="50"/>
      <c r="D38" s="50"/>
      <c r="E38" s="50"/>
      <c r="F38" s="50"/>
      <c r="G38" s="50"/>
      <c r="H38" s="50"/>
      <c r="I38" s="50"/>
      <c r="J38" s="50"/>
      <c r="K38" s="50"/>
      <c r="L38" s="50"/>
      <c r="M38" s="52"/>
      <c r="N38" s="51"/>
      <c r="O38" s="51"/>
      <c r="P38" s="53">
        <f t="shared" si="0"/>
        <v>0</v>
      </c>
      <c r="Q38" s="50"/>
      <c r="R38" s="50"/>
      <c r="S38" s="51"/>
      <c r="T38" s="50"/>
      <c r="U38" s="50"/>
      <c r="V38" s="50"/>
      <c r="W38" s="50"/>
      <c r="X38" s="50"/>
      <c r="Y38" s="50"/>
      <c r="Z38" s="50"/>
      <c r="AA38" s="50"/>
      <c r="AB38" s="50"/>
      <c r="AC38" s="53">
        <f t="shared" si="1"/>
        <v>0</v>
      </c>
      <c r="AD38" s="53">
        <f t="shared" si="2"/>
        <v>0</v>
      </c>
      <c r="AE38" s="53">
        <f t="shared" si="3"/>
        <v>0</v>
      </c>
      <c r="AF38" s="53">
        <f t="shared" si="4"/>
        <v>0</v>
      </c>
      <c r="AG38" s="53">
        <f t="shared" si="5"/>
        <v>0</v>
      </c>
      <c r="AH38" s="53">
        <f t="shared" si="6"/>
        <v>0</v>
      </c>
      <c r="AI38" s="50"/>
      <c r="AJ38" s="50"/>
      <c r="AK38" s="50"/>
    </row>
    <row r="39" spans="1:37" x14ac:dyDescent="0.2">
      <c r="A39" s="50"/>
      <c r="B39" s="50"/>
      <c r="C39" s="50"/>
      <c r="D39" s="50"/>
      <c r="E39" s="50"/>
      <c r="F39" s="50"/>
      <c r="G39" s="50"/>
      <c r="H39" s="50"/>
      <c r="I39" s="50"/>
      <c r="J39" s="50"/>
      <c r="K39" s="50"/>
      <c r="L39" s="50"/>
      <c r="M39" s="52"/>
      <c r="N39" s="51"/>
      <c r="O39" s="51"/>
      <c r="P39" s="53">
        <f t="shared" si="0"/>
        <v>0</v>
      </c>
      <c r="Q39" s="50"/>
      <c r="R39" s="50"/>
      <c r="S39" s="51"/>
      <c r="T39" s="50"/>
      <c r="U39" s="50"/>
      <c r="V39" s="50"/>
      <c r="W39" s="50"/>
      <c r="X39" s="50"/>
      <c r="Y39" s="50"/>
      <c r="Z39" s="50"/>
      <c r="AA39" s="50"/>
      <c r="AB39" s="50"/>
      <c r="AC39" s="53">
        <f t="shared" si="1"/>
        <v>0</v>
      </c>
      <c r="AD39" s="53">
        <f t="shared" si="2"/>
        <v>0</v>
      </c>
      <c r="AE39" s="53">
        <f t="shared" si="3"/>
        <v>0</v>
      </c>
      <c r="AF39" s="53">
        <f t="shared" si="4"/>
        <v>0</v>
      </c>
      <c r="AG39" s="53">
        <f t="shared" si="5"/>
        <v>0</v>
      </c>
      <c r="AH39" s="53">
        <f t="shared" si="6"/>
        <v>0</v>
      </c>
      <c r="AI39" s="50"/>
      <c r="AJ39" s="50"/>
      <c r="AK39" s="50"/>
    </row>
    <row r="40" spans="1:37" x14ac:dyDescent="0.2">
      <c r="A40" s="50"/>
      <c r="B40" s="50"/>
      <c r="C40" s="50"/>
      <c r="D40" s="50"/>
      <c r="E40" s="50"/>
      <c r="F40" s="50"/>
      <c r="G40" s="50"/>
      <c r="H40" s="50"/>
      <c r="I40" s="50"/>
      <c r="J40" s="50"/>
      <c r="K40" s="50"/>
      <c r="L40" s="50"/>
      <c r="M40" s="52"/>
      <c r="N40" s="51"/>
      <c r="O40" s="51"/>
      <c r="P40" s="53">
        <f t="shared" si="0"/>
        <v>0</v>
      </c>
      <c r="Q40" s="50"/>
      <c r="R40" s="50"/>
      <c r="S40" s="51"/>
      <c r="T40" s="50"/>
      <c r="U40" s="50"/>
      <c r="V40" s="50"/>
      <c r="W40" s="50"/>
      <c r="X40" s="50"/>
      <c r="Y40" s="50"/>
      <c r="Z40" s="50"/>
      <c r="AA40" s="50"/>
      <c r="AB40" s="50"/>
      <c r="AC40" s="53">
        <f t="shared" si="1"/>
        <v>0</v>
      </c>
      <c r="AD40" s="53">
        <f t="shared" si="2"/>
        <v>0</v>
      </c>
      <c r="AE40" s="53">
        <f t="shared" si="3"/>
        <v>0</v>
      </c>
      <c r="AF40" s="53">
        <f t="shared" si="4"/>
        <v>0</v>
      </c>
      <c r="AG40" s="53">
        <f t="shared" si="5"/>
        <v>0</v>
      </c>
      <c r="AH40" s="53">
        <f t="shared" si="6"/>
        <v>0</v>
      </c>
      <c r="AI40" s="50"/>
      <c r="AJ40" s="50"/>
      <c r="AK40" s="50"/>
    </row>
    <row r="41" spans="1:37" x14ac:dyDescent="0.2">
      <c r="A41" s="50"/>
      <c r="B41" s="50"/>
      <c r="C41" s="50"/>
      <c r="D41" s="50"/>
      <c r="E41" s="50"/>
      <c r="F41" s="50"/>
      <c r="G41" s="50"/>
      <c r="H41" s="50"/>
      <c r="I41" s="50"/>
      <c r="J41" s="50"/>
      <c r="K41" s="50"/>
      <c r="L41" s="50"/>
      <c r="M41" s="52"/>
      <c r="N41" s="51"/>
      <c r="O41" s="51"/>
      <c r="P41" s="53">
        <f t="shared" si="0"/>
        <v>0</v>
      </c>
      <c r="Q41" s="50"/>
      <c r="R41" s="50"/>
      <c r="S41" s="51"/>
      <c r="T41" s="50"/>
      <c r="U41" s="50"/>
      <c r="V41" s="50"/>
      <c r="W41" s="50"/>
      <c r="X41" s="50"/>
      <c r="Y41" s="50"/>
      <c r="Z41" s="50"/>
      <c r="AA41" s="50"/>
      <c r="AB41" s="50"/>
      <c r="AC41" s="53">
        <f t="shared" si="1"/>
        <v>0</v>
      </c>
      <c r="AD41" s="53">
        <f t="shared" si="2"/>
        <v>0</v>
      </c>
      <c r="AE41" s="53">
        <f t="shared" si="3"/>
        <v>0</v>
      </c>
      <c r="AF41" s="53">
        <f t="shared" si="4"/>
        <v>0</v>
      </c>
      <c r="AG41" s="53">
        <f t="shared" si="5"/>
        <v>0</v>
      </c>
      <c r="AH41" s="53">
        <f t="shared" si="6"/>
        <v>0</v>
      </c>
      <c r="AI41" s="50"/>
      <c r="AJ41" s="50"/>
      <c r="AK41" s="50"/>
    </row>
    <row r="42" spans="1:37" x14ac:dyDescent="0.2">
      <c r="A42" s="50"/>
      <c r="B42" s="50"/>
      <c r="C42" s="50"/>
      <c r="D42" s="50"/>
      <c r="E42" s="50"/>
      <c r="F42" s="50"/>
      <c r="G42" s="50"/>
      <c r="H42" s="50"/>
      <c r="I42" s="50"/>
      <c r="J42" s="50"/>
      <c r="K42" s="50"/>
      <c r="L42" s="50"/>
      <c r="M42" s="52"/>
      <c r="N42" s="51"/>
      <c r="O42" s="51"/>
      <c r="P42" s="53">
        <f t="shared" si="0"/>
        <v>0</v>
      </c>
      <c r="Q42" s="50"/>
      <c r="R42" s="50"/>
      <c r="S42" s="51"/>
      <c r="T42" s="50"/>
      <c r="U42" s="50"/>
      <c r="V42" s="50"/>
      <c r="W42" s="50"/>
      <c r="X42" s="50"/>
      <c r="Y42" s="50"/>
      <c r="Z42" s="50"/>
      <c r="AA42" s="50"/>
      <c r="AB42" s="50"/>
      <c r="AC42" s="53">
        <f t="shared" si="1"/>
        <v>0</v>
      </c>
      <c r="AD42" s="53">
        <f t="shared" si="2"/>
        <v>0</v>
      </c>
      <c r="AE42" s="53">
        <f t="shared" si="3"/>
        <v>0</v>
      </c>
      <c r="AF42" s="53">
        <f t="shared" si="4"/>
        <v>0</v>
      </c>
      <c r="AG42" s="53">
        <f t="shared" si="5"/>
        <v>0</v>
      </c>
      <c r="AH42" s="53">
        <f t="shared" si="6"/>
        <v>0</v>
      </c>
      <c r="AI42" s="50"/>
      <c r="AJ42" s="50"/>
      <c r="AK42" s="50"/>
    </row>
    <row r="43" spans="1:37" x14ac:dyDescent="0.2">
      <c r="A43" s="50"/>
      <c r="B43" s="50"/>
      <c r="C43" s="50"/>
      <c r="D43" s="50"/>
      <c r="E43" s="50"/>
      <c r="F43" s="50"/>
      <c r="G43" s="50"/>
      <c r="H43" s="50"/>
      <c r="I43" s="50"/>
      <c r="J43" s="50"/>
      <c r="K43" s="50"/>
      <c r="L43" s="50"/>
      <c r="M43" s="52"/>
      <c r="N43" s="51"/>
      <c r="O43" s="51"/>
      <c r="P43" s="53">
        <f t="shared" si="0"/>
        <v>0</v>
      </c>
      <c r="Q43" s="50"/>
      <c r="R43" s="50"/>
      <c r="S43" s="51"/>
      <c r="T43" s="50"/>
      <c r="U43" s="50"/>
      <c r="V43" s="50"/>
      <c r="W43" s="50"/>
      <c r="X43" s="50"/>
      <c r="Y43" s="50"/>
      <c r="Z43" s="50"/>
      <c r="AA43" s="50"/>
      <c r="AB43" s="50"/>
      <c r="AC43" s="53">
        <f t="shared" si="1"/>
        <v>0</v>
      </c>
      <c r="AD43" s="53">
        <f t="shared" si="2"/>
        <v>0</v>
      </c>
      <c r="AE43" s="53">
        <f t="shared" si="3"/>
        <v>0</v>
      </c>
      <c r="AF43" s="53">
        <f t="shared" si="4"/>
        <v>0</v>
      </c>
      <c r="AG43" s="53">
        <f t="shared" si="5"/>
        <v>0</v>
      </c>
      <c r="AH43" s="53">
        <f t="shared" si="6"/>
        <v>0</v>
      </c>
      <c r="AI43" s="50"/>
      <c r="AJ43" s="50"/>
      <c r="AK43" s="50"/>
    </row>
    <row r="44" spans="1:37" x14ac:dyDescent="0.2">
      <c r="A44" s="50"/>
      <c r="B44" s="50"/>
      <c r="C44" s="50"/>
      <c r="D44" s="50"/>
      <c r="E44" s="50"/>
      <c r="F44" s="50"/>
      <c r="G44" s="50"/>
      <c r="H44" s="50"/>
      <c r="I44" s="50"/>
      <c r="J44" s="50"/>
      <c r="K44" s="50"/>
      <c r="L44" s="50"/>
      <c r="M44" s="52"/>
      <c r="N44" s="51"/>
      <c r="O44" s="51"/>
      <c r="P44" s="53">
        <f t="shared" si="0"/>
        <v>0</v>
      </c>
      <c r="Q44" s="50"/>
      <c r="R44" s="50"/>
      <c r="S44" s="51"/>
      <c r="T44" s="50"/>
      <c r="U44" s="50"/>
      <c r="V44" s="50"/>
      <c r="W44" s="50"/>
      <c r="X44" s="50"/>
      <c r="Y44" s="50"/>
      <c r="Z44" s="50"/>
      <c r="AA44" s="50"/>
      <c r="AB44" s="50"/>
      <c r="AC44" s="53">
        <f t="shared" si="1"/>
        <v>0</v>
      </c>
      <c r="AD44" s="53">
        <f t="shared" si="2"/>
        <v>0</v>
      </c>
      <c r="AE44" s="53">
        <f t="shared" si="3"/>
        <v>0</v>
      </c>
      <c r="AF44" s="53">
        <f t="shared" si="4"/>
        <v>0</v>
      </c>
      <c r="AG44" s="53">
        <f t="shared" si="5"/>
        <v>0</v>
      </c>
      <c r="AH44" s="53">
        <f t="shared" si="6"/>
        <v>0</v>
      </c>
      <c r="AI44" s="50"/>
      <c r="AJ44" s="50"/>
      <c r="AK44" s="50"/>
    </row>
    <row r="45" spans="1:37" x14ac:dyDescent="0.2">
      <c r="A45" s="50"/>
      <c r="B45" s="50"/>
      <c r="C45" s="50"/>
      <c r="D45" s="50"/>
      <c r="E45" s="50"/>
      <c r="F45" s="50"/>
      <c r="G45" s="50"/>
      <c r="H45" s="50"/>
      <c r="I45" s="50"/>
      <c r="J45" s="50"/>
      <c r="K45" s="50"/>
      <c r="L45" s="50"/>
      <c r="M45" s="52"/>
      <c r="N45" s="51"/>
      <c r="O45" s="51"/>
      <c r="P45" s="53">
        <f t="shared" si="0"/>
        <v>0</v>
      </c>
      <c r="Q45" s="50"/>
      <c r="R45" s="50"/>
      <c r="S45" s="51"/>
      <c r="T45" s="50"/>
      <c r="U45" s="50"/>
      <c r="V45" s="50"/>
      <c r="W45" s="50"/>
      <c r="X45" s="50"/>
      <c r="Y45" s="50"/>
      <c r="Z45" s="50"/>
      <c r="AA45" s="50"/>
      <c r="AB45" s="50"/>
      <c r="AC45" s="53">
        <f t="shared" si="1"/>
        <v>0</v>
      </c>
      <c r="AD45" s="53">
        <f t="shared" si="2"/>
        <v>0</v>
      </c>
      <c r="AE45" s="53">
        <f t="shared" si="3"/>
        <v>0</v>
      </c>
      <c r="AF45" s="53">
        <f t="shared" si="4"/>
        <v>0</v>
      </c>
      <c r="AG45" s="53">
        <f t="shared" si="5"/>
        <v>0</v>
      </c>
      <c r="AH45" s="53">
        <f t="shared" si="6"/>
        <v>0</v>
      </c>
      <c r="AI45" s="50"/>
      <c r="AJ45" s="50"/>
      <c r="AK45" s="50"/>
    </row>
    <row r="46" spans="1:37" x14ac:dyDescent="0.2">
      <c r="A46" s="50"/>
      <c r="B46" s="50"/>
      <c r="C46" s="50"/>
      <c r="D46" s="50"/>
      <c r="E46" s="50"/>
      <c r="F46" s="50"/>
      <c r="G46" s="50"/>
      <c r="H46" s="50"/>
      <c r="I46" s="50"/>
      <c r="J46" s="50"/>
      <c r="K46" s="50"/>
      <c r="L46" s="50"/>
      <c r="M46" s="52"/>
      <c r="N46" s="51"/>
      <c r="O46" s="51"/>
      <c r="P46" s="53">
        <f t="shared" si="0"/>
        <v>0</v>
      </c>
      <c r="Q46" s="50"/>
      <c r="R46" s="50"/>
      <c r="S46" s="51"/>
      <c r="T46" s="50"/>
      <c r="U46" s="50"/>
      <c r="V46" s="50"/>
      <c r="W46" s="50"/>
      <c r="X46" s="50"/>
      <c r="Y46" s="50"/>
      <c r="Z46" s="50"/>
      <c r="AA46" s="50"/>
      <c r="AB46" s="50"/>
      <c r="AC46" s="53">
        <f t="shared" si="1"/>
        <v>0</v>
      </c>
      <c r="AD46" s="53">
        <f t="shared" si="2"/>
        <v>0</v>
      </c>
      <c r="AE46" s="53">
        <f t="shared" si="3"/>
        <v>0</v>
      </c>
      <c r="AF46" s="53">
        <f t="shared" si="4"/>
        <v>0</v>
      </c>
      <c r="AG46" s="53">
        <f t="shared" si="5"/>
        <v>0</v>
      </c>
      <c r="AH46" s="53">
        <f t="shared" si="6"/>
        <v>0</v>
      </c>
      <c r="AI46" s="50"/>
      <c r="AJ46" s="50"/>
      <c r="AK46" s="50"/>
    </row>
    <row r="47" spans="1:37" x14ac:dyDescent="0.2">
      <c r="A47" s="50"/>
      <c r="B47" s="50"/>
      <c r="C47" s="50"/>
      <c r="D47" s="50"/>
      <c r="E47" s="50"/>
      <c r="F47" s="50"/>
      <c r="G47" s="50"/>
      <c r="H47" s="50"/>
      <c r="I47" s="50"/>
      <c r="J47" s="50"/>
      <c r="K47" s="50"/>
      <c r="L47" s="50"/>
      <c r="M47" s="52"/>
      <c r="N47" s="51"/>
      <c r="O47" s="51"/>
      <c r="P47" s="53">
        <f t="shared" si="0"/>
        <v>0</v>
      </c>
      <c r="Q47" s="50"/>
      <c r="R47" s="50"/>
      <c r="S47" s="51"/>
      <c r="T47" s="50"/>
      <c r="U47" s="50"/>
      <c r="V47" s="50"/>
      <c r="W47" s="50"/>
      <c r="X47" s="50"/>
      <c r="Y47" s="50"/>
      <c r="Z47" s="50"/>
      <c r="AA47" s="50"/>
      <c r="AB47" s="50"/>
      <c r="AC47" s="53">
        <f t="shared" si="1"/>
        <v>0</v>
      </c>
      <c r="AD47" s="53">
        <f t="shared" si="2"/>
        <v>0</v>
      </c>
      <c r="AE47" s="53">
        <f t="shared" si="3"/>
        <v>0</v>
      </c>
      <c r="AF47" s="53">
        <f t="shared" si="4"/>
        <v>0</v>
      </c>
      <c r="AG47" s="53">
        <f t="shared" si="5"/>
        <v>0</v>
      </c>
      <c r="AH47" s="53">
        <f t="shared" si="6"/>
        <v>0</v>
      </c>
      <c r="AI47" s="50"/>
      <c r="AJ47" s="50"/>
      <c r="AK47" s="50"/>
    </row>
    <row r="48" spans="1:37" x14ac:dyDescent="0.2">
      <c r="A48" s="50"/>
      <c r="B48" s="50"/>
      <c r="C48" s="50"/>
      <c r="D48" s="50"/>
      <c r="E48" s="50"/>
      <c r="F48" s="50"/>
      <c r="G48" s="50"/>
      <c r="H48" s="50"/>
      <c r="I48" s="50"/>
      <c r="J48" s="50"/>
      <c r="K48" s="50"/>
      <c r="L48" s="50"/>
      <c r="M48" s="52"/>
      <c r="N48" s="51"/>
      <c r="O48" s="51"/>
      <c r="P48" s="53">
        <f t="shared" si="0"/>
        <v>0</v>
      </c>
      <c r="Q48" s="50"/>
      <c r="R48" s="50"/>
      <c r="S48" s="51"/>
      <c r="T48" s="50"/>
      <c r="U48" s="50"/>
      <c r="V48" s="50"/>
      <c r="W48" s="50"/>
      <c r="X48" s="50"/>
      <c r="Y48" s="50"/>
      <c r="Z48" s="50"/>
      <c r="AA48" s="50"/>
      <c r="AB48" s="50"/>
      <c r="AC48" s="53">
        <f t="shared" si="1"/>
        <v>0</v>
      </c>
      <c r="AD48" s="53">
        <f t="shared" si="2"/>
        <v>0</v>
      </c>
      <c r="AE48" s="53">
        <f t="shared" si="3"/>
        <v>0</v>
      </c>
      <c r="AF48" s="53">
        <f t="shared" si="4"/>
        <v>0</v>
      </c>
      <c r="AG48" s="53">
        <f t="shared" si="5"/>
        <v>0</v>
      </c>
      <c r="AH48" s="53">
        <f t="shared" si="6"/>
        <v>0</v>
      </c>
      <c r="AI48" s="50"/>
      <c r="AJ48" s="50"/>
      <c r="AK48" s="50"/>
    </row>
    <row r="49" spans="1:37" x14ac:dyDescent="0.2">
      <c r="A49" s="50"/>
      <c r="B49" s="50"/>
      <c r="C49" s="50"/>
      <c r="D49" s="50"/>
      <c r="E49" s="50"/>
      <c r="F49" s="50"/>
      <c r="G49" s="50"/>
      <c r="H49" s="50"/>
      <c r="I49" s="50"/>
      <c r="J49" s="50"/>
      <c r="K49" s="50"/>
      <c r="L49" s="50"/>
      <c r="M49" s="52"/>
      <c r="N49" s="51"/>
      <c r="O49" s="51"/>
      <c r="P49" s="53">
        <f t="shared" si="0"/>
        <v>0</v>
      </c>
      <c r="Q49" s="50"/>
      <c r="R49" s="50"/>
      <c r="S49" s="51"/>
      <c r="T49" s="50"/>
      <c r="U49" s="50"/>
      <c r="V49" s="50"/>
      <c r="W49" s="50"/>
      <c r="X49" s="50"/>
      <c r="Y49" s="50"/>
      <c r="Z49" s="50"/>
      <c r="AA49" s="50"/>
      <c r="AB49" s="50"/>
      <c r="AC49" s="53">
        <f t="shared" si="1"/>
        <v>0</v>
      </c>
      <c r="AD49" s="53">
        <f t="shared" si="2"/>
        <v>0</v>
      </c>
      <c r="AE49" s="53">
        <f t="shared" si="3"/>
        <v>0</v>
      </c>
      <c r="AF49" s="53">
        <f t="shared" si="4"/>
        <v>0</v>
      </c>
      <c r="AG49" s="53">
        <f t="shared" si="5"/>
        <v>0</v>
      </c>
      <c r="AH49" s="53">
        <f t="shared" si="6"/>
        <v>0</v>
      </c>
      <c r="AI49" s="50"/>
      <c r="AJ49" s="50"/>
      <c r="AK49" s="50"/>
    </row>
    <row r="50" spans="1:37" x14ac:dyDescent="0.2">
      <c r="A50" s="50"/>
      <c r="B50" s="50"/>
      <c r="C50" s="50"/>
      <c r="D50" s="50"/>
      <c r="E50" s="50"/>
      <c r="F50" s="50"/>
      <c r="G50" s="50"/>
      <c r="H50" s="50"/>
      <c r="I50" s="50"/>
      <c r="J50" s="50"/>
      <c r="K50" s="50"/>
      <c r="L50" s="50"/>
      <c r="M50" s="52"/>
      <c r="N50" s="51"/>
      <c r="O50" s="51"/>
      <c r="P50" s="53">
        <f t="shared" si="0"/>
        <v>0</v>
      </c>
      <c r="Q50" s="50"/>
      <c r="R50" s="50"/>
      <c r="S50" s="51"/>
      <c r="T50" s="50"/>
      <c r="U50" s="50"/>
      <c r="V50" s="50"/>
      <c r="W50" s="50"/>
      <c r="X50" s="50"/>
      <c r="Y50" s="50"/>
      <c r="Z50" s="50"/>
      <c r="AA50" s="50"/>
      <c r="AB50" s="50"/>
      <c r="AC50" s="53">
        <f t="shared" si="1"/>
        <v>0</v>
      </c>
      <c r="AD50" s="53">
        <f t="shared" si="2"/>
        <v>0</v>
      </c>
      <c r="AE50" s="53">
        <f t="shared" si="3"/>
        <v>0</v>
      </c>
      <c r="AF50" s="53">
        <f t="shared" si="4"/>
        <v>0</v>
      </c>
      <c r="AG50" s="53">
        <f t="shared" si="5"/>
        <v>0</v>
      </c>
      <c r="AH50" s="53">
        <f t="shared" si="6"/>
        <v>0</v>
      </c>
      <c r="AI50" s="50"/>
      <c r="AJ50" s="50"/>
      <c r="AK50" s="50"/>
    </row>
    <row r="51" spans="1:37" x14ac:dyDescent="0.2">
      <c r="A51" s="50"/>
      <c r="B51" s="50"/>
      <c r="C51" s="50"/>
      <c r="D51" s="50"/>
      <c r="E51" s="50"/>
      <c r="F51" s="50"/>
      <c r="G51" s="50"/>
      <c r="H51" s="50"/>
      <c r="I51" s="50"/>
      <c r="J51" s="50"/>
      <c r="K51" s="50"/>
      <c r="L51" s="50"/>
      <c r="M51" s="52"/>
      <c r="N51" s="51"/>
      <c r="O51" s="51"/>
      <c r="P51" s="53">
        <f t="shared" si="0"/>
        <v>0</v>
      </c>
      <c r="Q51" s="50"/>
      <c r="R51" s="50"/>
      <c r="S51" s="51"/>
      <c r="T51" s="50"/>
      <c r="U51" s="50"/>
      <c r="V51" s="50"/>
      <c r="W51" s="50"/>
      <c r="X51" s="50"/>
      <c r="Y51" s="50"/>
      <c r="Z51" s="50"/>
      <c r="AA51" s="50"/>
      <c r="AB51" s="50"/>
      <c r="AC51" s="53">
        <f t="shared" si="1"/>
        <v>0</v>
      </c>
      <c r="AD51" s="53">
        <f t="shared" si="2"/>
        <v>0</v>
      </c>
      <c r="AE51" s="53">
        <f t="shared" si="3"/>
        <v>0</v>
      </c>
      <c r="AF51" s="53">
        <f t="shared" si="4"/>
        <v>0</v>
      </c>
      <c r="AG51" s="53">
        <f t="shared" si="5"/>
        <v>0</v>
      </c>
      <c r="AH51" s="53">
        <f t="shared" si="6"/>
        <v>0</v>
      </c>
      <c r="AI51" s="50"/>
      <c r="AJ51" s="50"/>
      <c r="AK51" s="50"/>
    </row>
    <row r="52" spans="1:37" x14ac:dyDescent="0.2">
      <c r="A52" s="50"/>
      <c r="B52" s="50"/>
      <c r="C52" s="50"/>
      <c r="D52" s="50"/>
      <c r="E52" s="50"/>
      <c r="F52" s="50"/>
      <c r="G52" s="50"/>
      <c r="H52" s="50"/>
      <c r="I52" s="50"/>
      <c r="J52" s="50"/>
      <c r="K52" s="50"/>
      <c r="L52" s="50"/>
      <c r="M52" s="52"/>
      <c r="N52" s="51"/>
      <c r="O52" s="51"/>
      <c r="P52" s="53">
        <f t="shared" si="0"/>
        <v>0</v>
      </c>
      <c r="Q52" s="50"/>
      <c r="R52" s="50"/>
      <c r="S52" s="51"/>
      <c r="T52" s="50"/>
      <c r="U52" s="50"/>
      <c r="V52" s="50"/>
      <c r="W52" s="50"/>
      <c r="X52" s="50"/>
      <c r="Y52" s="50"/>
      <c r="Z52" s="50"/>
      <c r="AA52" s="50"/>
      <c r="AB52" s="50"/>
      <c r="AC52" s="53">
        <f t="shared" si="1"/>
        <v>0</v>
      </c>
      <c r="AD52" s="53">
        <f t="shared" si="2"/>
        <v>0</v>
      </c>
      <c r="AE52" s="53">
        <f t="shared" si="3"/>
        <v>0</v>
      </c>
      <c r="AF52" s="53">
        <f t="shared" si="4"/>
        <v>0</v>
      </c>
      <c r="AG52" s="53">
        <f t="shared" si="5"/>
        <v>0</v>
      </c>
      <c r="AH52" s="53">
        <f t="shared" si="6"/>
        <v>0</v>
      </c>
      <c r="AI52" s="50"/>
      <c r="AJ52" s="50"/>
      <c r="AK52" s="50"/>
    </row>
    <row r="53" spans="1:37" x14ac:dyDescent="0.2">
      <c r="A53" s="50"/>
      <c r="B53" s="50"/>
      <c r="C53" s="50"/>
      <c r="D53" s="50"/>
      <c r="E53" s="50"/>
      <c r="F53" s="50"/>
      <c r="G53" s="50"/>
      <c r="H53" s="50"/>
      <c r="I53" s="50"/>
      <c r="J53" s="50"/>
      <c r="K53" s="50"/>
      <c r="L53" s="50"/>
      <c r="M53" s="52"/>
      <c r="N53" s="51"/>
      <c r="O53" s="51"/>
      <c r="P53" s="53">
        <f t="shared" si="0"/>
        <v>0</v>
      </c>
      <c r="Q53" s="50"/>
      <c r="R53" s="50"/>
      <c r="S53" s="51"/>
      <c r="T53" s="50"/>
      <c r="U53" s="50"/>
      <c r="V53" s="50"/>
      <c r="W53" s="50"/>
      <c r="X53" s="50"/>
      <c r="Y53" s="50"/>
      <c r="Z53" s="50"/>
      <c r="AA53" s="50"/>
      <c r="AB53" s="50"/>
      <c r="AC53" s="53">
        <f t="shared" si="1"/>
        <v>0</v>
      </c>
      <c r="AD53" s="53">
        <f t="shared" si="2"/>
        <v>0</v>
      </c>
      <c r="AE53" s="53">
        <f t="shared" si="3"/>
        <v>0</v>
      </c>
      <c r="AF53" s="53">
        <f t="shared" si="4"/>
        <v>0</v>
      </c>
      <c r="AG53" s="53">
        <f t="shared" si="5"/>
        <v>0</v>
      </c>
      <c r="AH53" s="53">
        <f t="shared" si="6"/>
        <v>0</v>
      </c>
      <c r="AI53" s="50"/>
      <c r="AJ53" s="50"/>
      <c r="AK53" s="50"/>
    </row>
    <row r="54" spans="1:37" x14ac:dyDescent="0.2">
      <c r="A54" s="50"/>
      <c r="B54" s="50"/>
      <c r="C54" s="50"/>
      <c r="D54" s="50"/>
      <c r="E54" s="50"/>
      <c r="F54" s="50"/>
      <c r="G54" s="50"/>
      <c r="H54" s="50"/>
      <c r="I54" s="50"/>
      <c r="J54" s="50"/>
      <c r="K54" s="50"/>
      <c r="L54" s="50"/>
      <c r="M54" s="52"/>
      <c r="N54" s="51"/>
      <c r="O54" s="51"/>
      <c r="P54" s="53">
        <f t="shared" si="0"/>
        <v>0</v>
      </c>
      <c r="Q54" s="50"/>
      <c r="R54" s="50"/>
      <c r="S54" s="51"/>
      <c r="T54" s="50"/>
      <c r="U54" s="50"/>
      <c r="V54" s="50"/>
      <c r="W54" s="50"/>
      <c r="X54" s="50"/>
      <c r="Y54" s="50"/>
      <c r="Z54" s="50"/>
      <c r="AA54" s="50"/>
      <c r="AB54" s="50"/>
      <c r="AC54" s="53">
        <f t="shared" si="1"/>
        <v>0</v>
      </c>
      <c r="AD54" s="53">
        <f t="shared" si="2"/>
        <v>0</v>
      </c>
      <c r="AE54" s="53">
        <f t="shared" si="3"/>
        <v>0</v>
      </c>
      <c r="AF54" s="53">
        <f t="shared" si="4"/>
        <v>0</v>
      </c>
      <c r="AG54" s="53">
        <f t="shared" si="5"/>
        <v>0</v>
      </c>
      <c r="AH54" s="53">
        <f t="shared" si="6"/>
        <v>0</v>
      </c>
      <c r="AI54" s="50"/>
      <c r="AJ54" s="50"/>
      <c r="AK54" s="50"/>
    </row>
    <row r="55" spans="1:37" x14ac:dyDescent="0.2">
      <c r="A55" s="50"/>
      <c r="B55" s="50"/>
      <c r="C55" s="50"/>
      <c r="D55" s="50"/>
      <c r="E55" s="50"/>
      <c r="F55" s="50"/>
      <c r="G55" s="50"/>
      <c r="H55" s="50"/>
      <c r="I55" s="50"/>
      <c r="J55" s="50"/>
      <c r="K55" s="50"/>
      <c r="L55" s="50"/>
      <c r="M55" s="52"/>
      <c r="N55" s="51"/>
      <c r="O55" s="51"/>
      <c r="P55" s="53">
        <f t="shared" si="0"/>
        <v>0</v>
      </c>
      <c r="Q55" s="50"/>
      <c r="R55" s="50"/>
      <c r="S55" s="51"/>
      <c r="T55" s="50"/>
      <c r="U55" s="50"/>
      <c r="V55" s="50"/>
      <c r="W55" s="50"/>
      <c r="X55" s="50"/>
      <c r="Y55" s="50"/>
      <c r="Z55" s="50"/>
      <c r="AA55" s="50"/>
      <c r="AB55" s="50"/>
      <c r="AC55" s="53">
        <f t="shared" si="1"/>
        <v>0</v>
      </c>
      <c r="AD55" s="53">
        <f t="shared" si="2"/>
        <v>0</v>
      </c>
      <c r="AE55" s="53">
        <f t="shared" si="3"/>
        <v>0</v>
      </c>
      <c r="AF55" s="53">
        <f t="shared" si="4"/>
        <v>0</v>
      </c>
      <c r="AG55" s="53">
        <f t="shared" si="5"/>
        <v>0</v>
      </c>
      <c r="AH55" s="53">
        <f t="shared" si="6"/>
        <v>0</v>
      </c>
      <c r="AI55" s="50"/>
      <c r="AJ55" s="50"/>
      <c r="AK55" s="50"/>
    </row>
    <row r="56" spans="1:37" x14ac:dyDescent="0.2">
      <c r="A56" s="50"/>
      <c r="B56" s="50"/>
      <c r="C56" s="50"/>
      <c r="D56" s="50"/>
      <c r="E56" s="50"/>
      <c r="F56" s="50"/>
      <c r="G56" s="50"/>
      <c r="H56" s="50"/>
      <c r="I56" s="50"/>
      <c r="J56" s="50"/>
      <c r="K56" s="50"/>
      <c r="L56" s="50"/>
      <c r="M56" s="52"/>
      <c r="N56" s="51"/>
      <c r="O56" s="51"/>
      <c r="P56" s="53">
        <f t="shared" si="0"/>
        <v>0</v>
      </c>
      <c r="Q56" s="50"/>
      <c r="R56" s="50"/>
      <c r="S56" s="51"/>
      <c r="T56" s="50"/>
      <c r="U56" s="50"/>
      <c r="V56" s="50"/>
      <c r="W56" s="50"/>
      <c r="X56" s="50"/>
      <c r="Y56" s="50"/>
      <c r="Z56" s="50"/>
      <c r="AA56" s="50"/>
      <c r="AB56" s="50"/>
      <c r="AC56" s="53">
        <f t="shared" si="1"/>
        <v>0</v>
      </c>
      <c r="AD56" s="53">
        <f t="shared" si="2"/>
        <v>0</v>
      </c>
      <c r="AE56" s="53">
        <f t="shared" si="3"/>
        <v>0</v>
      </c>
      <c r="AF56" s="53">
        <f t="shared" si="4"/>
        <v>0</v>
      </c>
      <c r="AG56" s="53">
        <f t="shared" si="5"/>
        <v>0</v>
      </c>
      <c r="AH56" s="53">
        <f t="shared" si="6"/>
        <v>0</v>
      </c>
      <c r="AI56" s="50"/>
      <c r="AJ56" s="50"/>
      <c r="AK56" s="50"/>
    </row>
    <row r="57" spans="1:37" x14ac:dyDescent="0.2">
      <c r="A57" s="50"/>
      <c r="B57" s="50"/>
      <c r="C57" s="50"/>
      <c r="D57" s="50"/>
      <c r="E57" s="50"/>
      <c r="F57" s="50"/>
      <c r="G57" s="50"/>
      <c r="H57" s="50"/>
      <c r="I57" s="50"/>
      <c r="J57" s="50"/>
      <c r="K57" s="50"/>
      <c r="L57" s="50"/>
      <c r="M57" s="52"/>
      <c r="N57" s="51"/>
      <c r="O57" s="51"/>
      <c r="P57" s="53">
        <f t="shared" si="0"/>
        <v>0</v>
      </c>
      <c r="Q57" s="50"/>
      <c r="R57" s="50"/>
      <c r="S57" s="51"/>
      <c r="T57" s="50"/>
      <c r="U57" s="50"/>
      <c r="V57" s="50"/>
      <c r="W57" s="50"/>
      <c r="X57" s="50"/>
      <c r="Y57" s="50"/>
      <c r="Z57" s="50"/>
      <c r="AA57" s="50"/>
      <c r="AB57" s="50"/>
      <c r="AC57" s="53">
        <f t="shared" si="1"/>
        <v>0</v>
      </c>
      <c r="AD57" s="53">
        <f t="shared" si="2"/>
        <v>0</v>
      </c>
      <c r="AE57" s="53">
        <f t="shared" si="3"/>
        <v>0</v>
      </c>
      <c r="AF57" s="53">
        <f t="shared" si="4"/>
        <v>0</v>
      </c>
      <c r="AG57" s="53">
        <f t="shared" si="5"/>
        <v>0</v>
      </c>
      <c r="AH57" s="53">
        <f t="shared" si="6"/>
        <v>0</v>
      </c>
      <c r="AI57" s="50"/>
      <c r="AJ57" s="50"/>
      <c r="AK57" s="50"/>
    </row>
    <row r="58" spans="1:37" x14ac:dyDescent="0.2">
      <c r="A58" s="50"/>
      <c r="B58" s="50"/>
      <c r="C58" s="50"/>
      <c r="D58" s="50"/>
      <c r="E58" s="50"/>
      <c r="F58" s="50"/>
      <c r="G58" s="50"/>
      <c r="H58" s="50"/>
      <c r="I58" s="50"/>
      <c r="J58" s="50"/>
      <c r="K58" s="50"/>
      <c r="L58" s="50"/>
      <c r="M58" s="52"/>
      <c r="N58" s="51"/>
      <c r="O58" s="51"/>
      <c r="P58" s="53">
        <f t="shared" si="0"/>
        <v>0</v>
      </c>
      <c r="Q58" s="50"/>
      <c r="R58" s="50"/>
      <c r="S58" s="51"/>
      <c r="T58" s="50"/>
      <c r="U58" s="50"/>
      <c r="V58" s="50"/>
      <c r="W58" s="50"/>
      <c r="X58" s="50"/>
      <c r="Y58" s="50"/>
      <c r="Z58" s="50"/>
      <c r="AA58" s="50"/>
      <c r="AB58" s="50"/>
      <c r="AC58" s="53">
        <f t="shared" si="1"/>
        <v>0</v>
      </c>
      <c r="AD58" s="53">
        <f t="shared" si="2"/>
        <v>0</v>
      </c>
      <c r="AE58" s="53">
        <f t="shared" si="3"/>
        <v>0</v>
      </c>
      <c r="AF58" s="53">
        <f t="shared" si="4"/>
        <v>0</v>
      </c>
      <c r="AG58" s="53">
        <f t="shared" si="5"/>
        <v>0</v>
      </c>
      <c r="AH58" s="53">
        <f t="shared" si="6"/>
        <v>0</v>
      </c>
      <c r="AI58" s="50"/>
      <c r="AJ58" s="50"/>
      <c r="AK58" s="50"/>
    </row>
    <row r="59" spans="1:37" x14ac:dyDescent="0.2">
      <c r="A59" s="50"/>
      <c r="B59" s="50"/>
      <c r="C59" s="50"/>
      <c r="D59" s="50"/>
      <c r="E59" s="50"/>
      <c r="F59" s="50"/>
      <c r="G59" s="50"/>
      <c r="H59" s="50"/>
      <c r="I59" s="50"/>
      <c r="J59" s="50"/>
      <c r="K59" s="50"/>
      <c r="L59" s="50"/>
      <c r="M59" s="52"/>
      <c r="N59" s="51"/>
      <c r="O59" s="51"/>
      <c r="P59" s="53">
        <f t="shared" si="0"/>
        <v>0</v>
      </c>
      <c r="Q59" s="50"/>
      <c r="R59" s="50"/>
      <c r="S59" s="51"/>
      <c r="T59" s="50"/>
      <c r="U59" s="50"/>
      <c r="V59" s="50"/>
      <c r="W59" s="50"/>
      <c r="X59" s="50"/>
      <c r="Y59" s="50"/>
      <c r="Z59" s="50"/>
      <c r="AA59" s="50"/>
      <c r="AB59" s="50"/>
      <c r="AC59" s="53">
        <f t="shared" si="1"/>
        <v>0</v>
      </c>
      <c r="AD59" s="53">
        <f t="shared" si="2"/>
        <v>0</v>
      </c>
      <c r="AE59" s="53">
        <f t="shared" si="3"/>
        <v>0</v>
      </c>
      <c r="AF59" s="53">
        <f t="shared" si="4"/>
        <v>0</v>
      </c>
      <c r="AG59" s="53">
        <f t="shared" si="5"/>
        <v>0</v>
      </c>
      <c r="AH59" s="53">
        <f t="shared" si="6"/>
        <v>0</v>
      </c>
      <c r="AI59" s="50"/>
      <c r="AJ59" s="50"/>
      <c r="AK59" s="50"/>
    </row>
    <row r="60" spans="1:37" x14ac:dyDescent="0.2">
      <c r="A60" s="50"/>
      <c r="B60" s="50"/>
      <c r="C60" s="50"/>
      <c r="D60" s="50"/>
      <c r="E60" s="50"/>
      <c r="F60" s="50"/>
      <c r="G60" s="50"/>
      <c r="H60" s="50"/>
      <c r="I60" s="50"/>
      <c r="J60" s="50"/>
      <c r="K60" s="50"/>
      <c r="L60" s="50"/>
      <c r="M60" s="52"/>
      <c r="N60" s="51"/>
      <c r="O60" s="51"/>
      <c r="P60" s="53">
        <f t="shared" si="0"/>
        <v>0</v>
      </c>
      <c r="Q60" s="50"/>
      <c r="R60" s="50"/>
      <c r="S60" s="51"/>
      <c r="T60" s="50"/>
      <c r="U60" s="50"/>
      <c r="V60" s="50"/>
      <c r="W60" s="50"/>
      <c r="X60" s="50"/>
      <c r="Y60" s="50"/>
      <c r="Z60" s="50"/>
      <c r="AA60" s="50"/>
      <c r="AB60" s="50"/>
      <c r="AC60" s="53">
        <f t="shared" si="1"/>
        <v>0</v>
      </c>
      <c r="AD60" s="53">
        <f t="shared" si="2"/>
        <v>0</v>
      </c>
      <c r="AE60" s="53">
        <f t="shared" si="3"/>
        <v>0</v>
      </c>
      <c r="AF60" s="53">
        <f t="shared" si="4"/>
        <v>0</v>
      </c>
      <c r="AG60" s="53">
        <f t="shared" si="5"/>
        <v>0</v>
      </c>
      <c r="AH60" s="53">
        <f t="shared" si="6"/>
        <v>0</v>
      </c>
      <c r="AI60" s="50"/>
      <c r="AJ60" s="50"/>
      <c r="AK60" s="50"/>
    </row>
    <row r="61" spans="1:37" x14ac:dyDescent="0.2">
      <c r="A61" s="50"/>
      <c r="B61" s="50"/>
      <c r="C61" s="50"/>
      <c r="D61" s="50"/>
      <c r="E61" s="50"/>
      <c r="F61" s="50"/>
      <c r="G61" s="50"/>
      <c r="H61" s="50"/>
      <c r="I61" s="50"/>
      <c r="J61" s="50"/>
      <c r="K61" s="50"/>
      <c r="L61" s="50"/>
      <c r="M61" s="52"/>
      <c r="N61" s="51"/>
      <c r="O61" s="51"/>
      <c r="P61" s="53">
        <f t="shared" si="0"/>
        <v>0</v>
      </c>
      <c r="Q61" s="50"/>
      <c r="R61" s="50"/>
      <c r="S61" s="51"/>
      <c r="T61" s="50"/>
      <c r="U61" s="50"/>
      <c r="V61" s="50"/>
      <c r="W61" s="50"/>
      <c r="X61" s="50"/>
      <c r="Y61" s="50"/>
      <c r="Z61" s="50"/>
      <c r="AA61" s="50"/>
      <c r="AB61" s="50"/>
      <c r="AC61" s="53">
        <f t="shared" si="1"/>
        <v>0</v>
      </c>
      <c r="AD61" s="53">
        <f t="shared" si="2"/>
        <v>0</v>
      </c>
      <c r="AE61" s="53">
        <f t="shared" si="3"/>
        <v>0</v>
      </c>
      <c r="AF61" s="53">
        <f t="shared" si="4"/>
        <v>0</v>
      </c>
      <c r="AG61" s="53">
        <f t="shared" si="5"/>
        <v>0</v>
      </c>
      <c r="AH61" s="53">
        <f t="shared" si="6"/>
        <v>0</v>
      </c>
      <c r="AI61" s="50"/>
      <c r="AJ61" s="50"/>
      <c r="AK61" s="50"/>
    </row>
    <row r="62" spans="1:37" x14ac:dyDescent="0.2">
      <c r="A62" s="50"/>
      <c r="B62" s="50"/>
      <c r="C62" s="50"/>
      <c r="D62" s="50"/>
      <c r="E62" s="50"/>
      <c r="F62" s="50"/>
      <c r="G62" s="50"/>
      <c r="H62" s="50"/>
      <c r="I62" s="50"/>
      <c r="J62" s="50"/>
      <c r="K62" s="50"/>
      <c r="L62" s="50"/>
      <c r="M62" s="52"/>
      <c r="N62" s="51"/>
      <c r="O62" s="51"/>
      <c r="P62" s="53">
        <f t="shared" si="0"/>
        <v>0</v>
      </c>
      <c r="Q62" s="50"/>
      <c r="R62" s="50"/>
      <c r="S62" s="51"/>
      <c r="T62" s="50"/>
      <c r="U62" s="50"/>
      <c r="V62" s="50"/>
      <c r="W62" s="50"/>
      <c r="X62" s="50"/>
      <c r="Y62" s="50"/>
      <c r="Z62" s="50"/>
      <c r="AA62" s="50"/>
      <c r="AB62" s="50"/>
      <c r="AC62" s="53">
        <f t="shared" si="1"/>
        <v>0</v>
      </c>
      <c r="AD62" s="53">
        <f t="shared" si="2"/>
        <v>0</v>
      </c>
      <c r="AE62" s="53">
        <f t="shared" si="3"/>
        <v>0</v>
      </c>
      <c r="AF62" s="53">
        <f t="shared" si="4"/>
        <v>0</v>
      </c>
      <c r="AG62" s="53">
        <f t="shared" si="5"/>
        <v>0</v>
      </c>
      <c r="AH62" s="53">
        <f t="shared" si="6"/>
        <v>0</v>
      </c>
      <c r="AI62" s="50"/>
      <c r="AJ62" s="50"/>
      <c r="AK62" s="50"/>
    </row>
    <row r="63" spans="1:37" x14ac:dyDescent="0.2">
      <c r="A63" s="50"/>
      <c r="B63" s="50"/>
      <c r="C63" s="50"/>
      <c r="D63" s="50"/>
      <c r="E63" s="50"/>
      <c r="F63" s="50"/>
      <c r="G63" s="50"/>
      <c r="H63" s="50"/>
      <c r="I63" s="50"/>
      <c r="J63" s="50"/>
      <c r="K63" s="50"/>
      <c r="L63" s="50"/>
      <c r="M63" s="52"/>
      <c r="N63" s="51"/>
      <c r="O63" s="51"/>
      <c r="P63" s="53">
        <f t="shared" si="0"/>
        <v>0</v>
      </c>
      <c r="Q63" s="50"/>
      <c r="R63" s="50"/>
      <c r="S63" s="51"/>
      <c r="T63" s="50"/>
      <c r="U63" s="50"/>
      <c r="V63" s="50"/>
      <c r="W63" s="50"/>
      <c r="X63" s="50"/>
      <c r="Y63" s="50"/>
      <c r="Z63" s="50"/>
      <c r="AA63" s="50"/>
      <c r="AB63" s="50"/>
      <c r="AC63" s="53">
        <f t="shared" si="1"/>
        <v>0</v>
      </c>
      <c r="AD63" s="53">
        <f t="shared" si="2"/>
        <v>0</v>
      </c>
      <c r="AE63" s="53">
        <f t="shared" si="3"/>
        <v>0</v>
      </c>
      <c r="AF63" s="53">
        <f t="shared" si="4"/>
        <v>0</v>
      </c>
      <c r="AG63" s="53">
        <f t="shared" si="5"/>
        <v>0</v>
      </c>
      <c r="AH63" s="53">
        <f t="shared" si="6"/>
        <v>0</v>
      </c>
      <c r="AI63" s="50"/>
      <c r="AJ63" s="50"/>
      <c r="AK63" s="50"/>
    </row>
    <row r="64" spans="1:37" x14ac:dyDescent="0.2">
      <c r="A64" s="50"/>
      <c r="B64" s="50"/>
      <c r="C64" s="50"/>
      <c r="D64" s="50"/>
      <c r="E64" s="50"/>
      <c r="F64" s="50"/>
      <c r="G64" s="50"/>
      <c r="H64" s="50"/>
      <c r="I64" s="50"/>
      <c r="J64" s="50"/>
      <c r="K64" s="50"/>
      <c r="L64" s="50"/>
      <c r="M64" s="52"/>
      <c r="N64" s="51"/>
      <c r="O64" s="51"/>
      <c r="P64" s="53">
        <f t="shared" si="0"/>
        <v>0</v>
      </c>
      <c r="Q64" s="50"/>
      <c r="R64" s="50"/>
      <c r="S64" s="51"/>
      <c r="T64" s="50"/>
      <c r="U64" s="50"/>
      <c r="V64" s="50"/>
      <c r="W64" s="50"/>
      <c r="X64" s="50"/>
      <c r="Y64" s="50"/>
      <c r="Z64" s="50"/>
      <c r="AA64" s="50"/>
      <c r="AB64" s="50"/>
      <c r="AC64" s="53">
        <f t="shared" si="1"/>
        <v>0</v>
      </c>
      <c r="AD64" s="53">
        <f t="shared" si="2"/>
        <v>0</v>
      </c>
      <c r="AE64" s="53">
        <f t="shared" si="3"/>
        <v>0</v>
      </c>
      <c r="AF64" s="53">
        <f t="shared" si="4"/>
        <v>0</v>
      </c>
      <c r="AG64" s="53">
        <f t="shared" si="5"/>
        <v>0</v>
      </c>
      <c r="AH64" s="53">
        <f t="shared" si="6"/>
        <v>0</v>
      </c>
      <c r="AI64" s="50"/>
      <c r="AJ64" s="50"/>
      <c r="AK64" s="50"/>
    </row>
    <row r="65" spans="1:37" x14ac:dyDescent="0.2">
      <c r="A65" s="50"/>
      <c r="B65" s="50"/>
      <c r="C65" s="50"/>
      <c r="D65" s="50"/>
      <c r="E65" s="50"/>
      <c r="F65" s="50"/>
      <c r="G65" s="50"/>
      <c r="H65" s="50"/>
      <c r="I65" s="50"/>
      <c r="J65" s="50"/>
      <c r="K65" s="50"/>
      <c r="L65" s="50"/>
      <c r="M65" s="52"/>
      <c r="N65" s="51"/>
      <c r="O65" s="51"/>
      <c r="P65" s="53">
        <f t="shared" si="0"/>
        <v>0</v>
      </c>
      <c r="Q65" s="50"/>
      <c r="R65" s="50"/>
      <c r="S65" s="51"/>
      <c r="T65" s="50"/>
      <c r="U65" s="50"/>
      <c r="V65" s="50"/>
      <c r="W65" s="50"/>
      <c r="X65" s="50"/>
      <c r="Y65" s="50"/>
      <c r="Z65" s="50"/>
      <c r="AA65" s="50"/>
      <c r="AB65" s="50"/>
      <c r="AC65" s="53">
        <f t="shared" si="1"/>
        <v>0</v>
      </c>
      <c r="AD65" s="53">
        <f t="shared" si="2"/>
        <v>0</v>
      </c>
      <c r="AE65" s="53">
        <f t="shared" si="3"/>
        <v>0</v>
      </c>
      <c r="AF65" s="53">
        <f t="shared" si="4"/>
        <v>0</v>
      </c>
      <c r="AG65" s="53">
        <f t="shared" si="5"/>
        <v>0</v>
      </c>
      <c r="AH65" s="53">
        <f t="shared" si="6"/>
        <v>0</v>
      </c>
      <c r="AI65" s="50"/>
      <c r="AJ65" s="50"/>
      <c r="AK65" s="50"/>
    </row>
    <row r="66" spans="1:37" x14ac:dyDescent="0.2">
      <c r="A66" s="50"/>
      <c r="B66" s="50"/>
      <c r="C66" s="50"/>
      <c r="D66" s="50"/>
      <c r="E66" s="50"/>
      <c r="F66" s="50"/>
      <c r="G66" s="50"/>
      <c r="H66" s="50"/>
      <c r="I66" s="50"/>
      <c r="J66" s="50"/>
      <c r="K66" s="50"/>
      <c r="L66" s="50"/>
      <c r="M66" s="52"/>
      <c r="N66" s="51"/>
      <c r="O66" s="51"/>
      <c r="P66" s="53">
        <f t="shared" si="0"/>
        <v>0</v>
      </c>
      <c r="Q66" s="50"/>
      <c r="R66" s="50"/>
      <c r="S66" s="51"/>
      <c r="T66" s="50"/>
      <c r="U66" s="50"/>
      <c r="V66" s="50"/>
      <c r="W66" s="50"/>
      <c r="X66" s="50"/>
      <c r="Y66" s="50"/>
      <c r="Z66" s="50"/>
      <c r="AA66" s="50"/>
      <c r="AB66" s="50"/>
      <c r="AC66" s="53">
        <f t="shared" si="1"/>
        <v>0</v>
      </c>
      <c r="AD66" s="53">
        <f t="shared" si="2"/>
        <v>0</v>
      </c>
      <c r="AE66" s="53">
        <f t="shared" si="3"/>
        <v>0</v>
      </c>
      <c r="AF66" s="53">
        <f t="shared" si="4"/>
        <v>0</v>
      </c>
      <c r="AG66" s="53">
        <f t="shared" si="5"/>
        <v>0</v>
      </c>
      <c r="AH66" s="53">
        <f t="shared" si="6"/>
        <v>0</v>
      </c>
      <c r="AI66" s="50"/>
      <c r="AJ66" s="50"/>
      <c r="AK66" s="50"/>
    </row>
    <row r="67" spans="1:37" x14ac:dyDescent="0.2">
      <c r="A67" s="50"/>
      <c r="B67" s="50"/>
      <c r="C67" s="50"/>
      <c r="D67" s="50"/>
      <c r="E67" s="50"/>
      <c r="F67" s="50"/>
      <c r="G67" s="50"/>
      <c r="H67" s="50"/>
      <c r="I67" s="50"/>
      <c r="J67" s="50"/>
      <c r="K67" s="50"/>
      <c r="L67" s="50"/>
      <c r="M67" s="52"/>
      <c r="N67" s="51"/>
      <c r="O67" s="51"/>
      <c r="P67" s="53">
        <f t="shared" si="0"/>
        <v>0</v>
      </c>
      <c r="Q67" s="50"/>
      <c r="R67" s="50"/>
      <c r="S67" s="51"/>
      <c r="T67" s="50"/>
      <c r="U67" s="50"/>
      <c r="V67" s="50"/>
      <c r="W67" s="50"/>
      <c r="X67" s="50"/>
      <c r="Y67" s="50"/>
      <c r="Z67" s="50"/>
      <c r="AA67" s="50"/>
      <c r="AB67" s="50"/>
      <c r="AC67" s="53">
        <f t="shared" si="1"/>
        <v>0</v>
      </c>
      <c r="AD67" s="53">
        <f t="shared" si="2"/>
        <v>0</v>
      </c>
      <c r="AE67" s="53">
        <f t="shared" si="3"/>
        <v>0</v>
      </c>
      <c r="AF67" s="53">
        <f t="shared" si="4"/>
        <v>0</v>
      </c>
      <c r="AG67" s="53">
        <f t="shared" si="5"/>
        <v>0</v>
      </c>
      <c r="AH67" s="53">
        <f t="shared" si="6"/>
        <v>0</v>
      </c>
      <c r="AI67" s="50"/>
      <c r="AJ67" s="50"/>
      <c r="AK67" s="50"/>
    </row>
    <row r="68" spans="1:37" x14ac:dyDescent="0.2">
      <c r="A68" s="50"/>
      <c r="B68" s="50"/>
      <c r="C68" s="50"/>
      <c r="D68" s="50"/>
      <c r="E68" s="50"/>
      <c r="F68" s="50"/>
      <c r="G68" s="50"/>
      <c r="H68" s="50"/>
      <c r="I68" s="50"/>
      <c r="J68" s="50"/>
      <c r="K68" s="50"/>
      <c r="L68" s="50"/>
      <c r="M68" s="52"/>
      <c r="N68" s="51"/>
      <c r="O68" s="51"/>
      <c r="P68" s="53">
        <f t="shared" si="0"/>
        <v>0</v>
      </c>
      <c r="Q68" s="50"/>
      <c r="R68" s="50"/>
      <c r="S68" s="51"/>
      <c r="T68" s="50"/>
      <c r="U68" s="50"/>
      <c r="V68" s="50"/>
      <c r="W68" s="50"/>
      <c r="X68" s="50"/>
      <c r="Y68" s="50"/>
      <c r="Z68" s="50"/>
      <c r="AA68" s="50"/>
      <c r="AB68" s="50"/>
      <c r="AC68" s="53">
        <f t="shared" si="1"/>
        <v>0</v>
      </c>
      <c r="AD68" s="53">
        <f t="shared" si="2"/>
        <v>0</v>
      </c>
      <c r="AE68" s="53">
        <f t="shared" si="3"/>
        <v>0</v>
      </c>
      <c r="AF68" s="53">
        <f t="shared" si="4"/>
        <v>0</v>
      </c>
      <c r="AG68" s="53">
        <f t="shared" si="5"/>
        <v>0</v>
      </c>
      <c r="AH68" s="53">
        <f t="shared" si="6"/>
        <v>0</v>
      </c>
      <c r="AI68" s="50"/>
      <c r="AJ68" s="50"/>
      <c r="AK68" s="50"/>
    </row>
    <row r="69" spans="1:37" x14ac:dyDescent="0.2">
      <c r="A69" s="50"/>
      <c r="B69" s="50"/>
      <c r="C69" s="50"/>
      <c r="D69" s="50"/>
      <c r="E69" s="50"/>
      <c r="F69" s="50"/>
      <c r="G69" s="50"/>
      <c r="H69" s="50"/>
      <c r="I69" s="50"/>
      <c r="J69" s="50"/>
      <c r="K69" s="50"/>
      <c r="L69" s="50"/>
      <c r="M69" s="52"/>
      <c r="N69" s="51"/>
      <c r="O69" s="51"/>
      <c r="P69" s="53">
        <f t="shared" ref="P69:P132" si="7">IF(OR(M69="",M69=0),0,M69*(1-N69)*(1+O69))</f>
        <v>0</v>
      </c>
      <c r="Q69" s="50"/>
      <c r="R69" s="50"/>
      <c r="S69" s="51"/>
      <c r="T69" s="50"/>
      <c r="U69" s="50"/>
      <c r="V69" s="50"/>
      <c r="W69" s="50"/>
      <c r="X69" s="50"/>
      <c r="Y69" s="50"/>
      <c r="Z69" s="50"/>
      <c r="AA69" s="50"/>
      <c r="AB69" s="50"/>
      <c r="AC69" s="53">
        <f t="shared" ref="AC69:AC132" si="8">IFERROR(X69*$P69,0)</f>
        <v>0</v>
      </c>
      <c r="AD69" s="53">
        <f t="shared" ref="AD69:AD132" si="9">IFERROR(Y69*$P69,0)</f>
        <v>0</v>
      </c>
      <c r="AE69" s="53">
        <f t="shared" ref="AE69:AE132" si="10">IFERROR(Z69*$P69,0)</f>
        <v>0</v>
      </c>
      <c r="AF69" s="53">
        <f t="shared" ref="AF69:AF132" si="11">IFERROR(AA69*$P69,0)</f>
        <v>0</v>
      </c>
      <c r="AG69" s="53">
        <f t="shared" ref="AG69:AG132" si="12">IFERROR(AB69*$P69,0)</f>
        <v>0</v>
      </c>
      <c r="AH69" s="53">
        <f t="shared" ref="AH69:AH132" si="13">SUM(AC69:AG69)</f>
        <v>0</v>
      </c>
      <c r="AI69" s="50"/>
      <c r="AJ69" s="50"/>
      <c r="AK69" s="50"/>
    </row>
    <row r="70" spans="1:37" x14ac:dyDescent="0.2">
      <c r="A70" s="50"/>
      <c r="B70" s="50"/>
      <c r="C70" s="50"/>
      <c r="D70" s="50"/>
      <c r="E70" s="50"/>
      <c r="F70" s="50"/>
      <c r="G70" s="50"/>
      <c r="H70" s="50"/>
      <c r="I70" s="50"/>
      <c r="J70" s="50"/>
      <c r="K70" s="50"/>
      <c r="L70" s="50"/>
      <c r="M70" s="52"/>
      <c r="N70" s="51"/>
      <c r="O70" s="51"/>
      <c r="P70" s="53">
        <f t="shared" si="7"/>
        <v>0</v>
      </c>
      <c r="Q70" s="50"/>
      <c r="R70" s="50"/>
      <c r="S70" s="51"/>
      <c r="T70" s="50"/>
      <c r="U70" s="50"/>
      <c r="V70" s="50"/>
      <c r="W70" s="50"/>
      <c r="X70" s="50"/>
      <c r="Y70" s="50"/>
      <c r="Z70" s="50"/>
      <c r="AA70" s="50"/>
      <c r="AB70" s="50"/>
      <c r="AC70" s="53">
        <f t="shared" si="8"/>
        <v>0</v>
      </c>
      <c r="AD70" s="53">
        <f t="shared" si="9"/>
        <v>0</v>
      </c>
      <c r="AE70" s="53">
        <f t="shared" si="10"/>
        <v>0</v>
      </c>
      <c r="AF70" s="53">
        <f t="shared" si="11"/>
        <v>0</v>
      </c>
      <c r="AG70" s="53">
        <f t="shared" si="12"/>
        <v>0</v>
      </c>
      <c r="AH70" s="53">
        <f t="shared" si="13"/>
        <v>0</v>
      </c>
      <c r="AI70" s="50"/>
      <c r="AJ70" s="50"/>
      <c r="AK70" s="50"/>
    </row>
    <row r="71" spans="1:37" x14ac:dyDescent="0.2">
      <c r="A71" s="50"/>
      <c r="B71" s="50"/>
      <c r="C71" s="50"/>
      <c r="D71" s="50"/>
      <c r="E71" s="50"/>
      <c r="F71" s="50"/>
      <c r="G71" s="50"/>
      <c r="H71" s="50"/>
      <c r="I71" s="50"/>
      <c r="J71" s="50"/>
      <c r="K71" s="50"/>
      <c r="L71" s="50"/>
      <c r="M71" s="52"/>
      <c r="N71" s="51"/>
      <c r="O71" s="51"/>
      <c r="P71" s="53">
        <f t="shared" si="7"/>
        <v>0</v>
      </c>
      <c r="Q71" s="50"/>
      <c r="R71" s="50"/>
      <c r="S71" s="51"/>
      <c r="T71" s="50"/>
      <c r="U71" s="50"/>
      <c r="V71" s="50"/>
      <c r="W71" s="50"/>
      <c r="X71" s="50"/>
      <c r="Y71" s="50"/>
      <c r="Z71" s="50"/>
      <c r="AA71" s="50"/>
      <c r="AB71" s="50"/>
      <c r="AC71" s="53">
        <f t="shared" si="8"/>
        <v>0</v>
      </c>
      <c r="AD71" s="53">
        <f t="shared" si="9"/>
        <v>0</v>
      </c>
      <c r="AE71" s="53">
        <f t="shared" si="10"/>
        <v>0</v>
      </c>
      <c r="AF71" s="53">
        <f t="shared" si="11"/>
        <v>0</v>
      </c>
      <c r="AG71" s="53">
        <f t="shared" si="12"/>
        <v>0</v>
      </c>
      <c r="AH71" s="53">
        <f t="shared" si="13"/>
        <v>0</v>
      </c>
      <c r="AI71" s="50"/>
      <c r="AJ71" s="50"/>
      <c r="AK71" s="50"/>
    </row>
    <row r="72" spans="1:37" x14ac:dyDescent="0.2">
      <c r="A72" s="50"/>
      <c r="B72" s="50"/>
      <c r="C72" s="50"/>
      <c r="D72" s="50"/>
      <c r="E72" s="50"/>
      <c r="F72" s="50"/>
      <c r="G72" s="50"/>
      <c r="H72" s="50"/>
      <c r="I72" s="50"/>
      <c r="J72" s="50"/>
      <c r="K72" s="50"/>
      <c r="L72" s="50"/>
      <c r="M72" s="52"/>
      <c r="N72" s="51"/>
      <c r="O72" s="51"/>
      <c r="P72" s="53">
        <f t="shared" si="7"/>
        <v>0</v>
      </c>
      <c r="Q72" s="50"/>
      <c r="R72" s="50"/>
      <c r="S72" s="51"/>
      <c r="T72" s="50"/>
      <c r="U72" s="50"/>
      <c r="V72" s="50"/>
      <c r="W72" s="50"/>
      <c r="X72" s="50"/>
      <c r="Y72" s="50"/>
      <c r="Z72" s="50"/>
      <c r="AA72" s="50"/>
      <c r="AB72" s="50"/>
      <c r="AC72" s="53">
        <f t="shared" si="8"/>
        <v>0</v>
      </c>
      <c r="AD72" s="53">
        <f t="shared" si="9"/>
        <v>0</v>
      </c>
      <c r="AE72" s="53">
        <f t="shared" si="10"/>
        <v>0</v>
      </c>
      <c r="AF72" s="53">
        <f t="shared" si="11"/>
        <v>0</v>
      </c>
      <c r="AG72" s="53">
        <f t="shared" si="12"/>
        <v>0</v>
      </c>
      <c r="AH72" s="53">
        <f t="shared" si="13"/>
        <v>0</v>
      </c>
      <c r="AI72" s="50"/>
      <c r="AJ72" s="50"/>
      <c r="AK72" s="50"/>
    </row>
    <row r="73" spans="1:37" x14ac:dyDescent="0.2">
      <c r="A73" s="50"/>
      <c r="B73" s="50"/>
      <c r="C73" s="50"/>
      <c r="D73" s="50"/>
      <c r="E73" s="50"/>
      <c r="F73" s="50"/>
      <c r="G73" s="50"/>
      <c r="H73" s="50"/>
      <c r="I73" s="50"/>
      <c r="J73" s="50"/>
      <c r="K73" s="50"/>
      <c r="L73" s="50"/>
      <c r="M73" s="52"/>
      <c r="N73" s="51"/>
      <c r="O73" s="51"/>
      <c r="P73" s="53">
        <f t="shared" si="7"/>
        <v>0</v>
      </c>
      <c r="Q73" s="50"/>
      <c r="R73" s="50"/>
      <c r="S73" s="51"/>
      <c r="T73" s="50"/>
      <c r="U73" s="50"/>
      <c r="V73" s="50"/>
      <c r="W73" s="50"/>
      <c r="X73" s="50"/>
      <c r="Y73" s="50"/>
      <c r="Z73" s="50"/>
      <c r="AA73" s="50"/>
      <c r="AB73" s="50"/>
      <c r="AC73" s="53">
        <f t="shared" si="8"/>
        <v>0</v>
      </c>
      <c r="AD73" s="53">
        <f t="shared" si="9"/>
        <v>0</v>
      </c>
      <c r="AE73" s="53">
        <f t="shared" si="10"/>
        <v>0</v>
      </c>
      <c r="AF73" s="53">
        <f t="shared" si="11"/>
        <v>0</v>
      </c>
      <c r="AG73" s="53">
        <f t="shared" si="12"/>
        <v>0</v>
      </c>
      <c r="AH73" s="53">
        <f t="shared" si="13"/>
        <v>0</v>
      </c>
      <c r="AI73" s="50"/>
      <c r="AJ73" s="50"/>
      <c r="AK73" s="50"/>
    </row>
    <row r="74" spans="1:37" x14ac:dyDescent="0.2">
      <c r="A74" s="50"/>
      <c r="B74" s="50"/>
      <c r="C74" s="50"/>
      <c r="D74" s="50"/>
      <c r="E74" s="50"/>
      <c r="F74" s="50"/>
      <c r="G74" s="50"/>
      <c r="H74" s="50"/>
      <c r="I74" s="50"/>
      <c r="J74" s="50"/>
      <c r="K74" s="50"/>
      <c r="L74" s="50"/>
      <c r="M74" s="52"/>
      <c r="N74" s="51"/>
      <c r="O74" s="51"/>
      <c r="P74" s="53">
        <f t="shared" si="7"/>
        <v>0</v>
      </c>
      <c r="Q74" s="50"/>
      <c r="R74" s="50"/>
      <c r="S74" s="51"/>
      <c r="T74" s="50"/>
      <c r="U74" s="50"/>
      <c r="V74" s="50"/>
      <c r="W74" s="50"/>
      <c r="X74" s="50"/>
      <c r="Y74" s="50"/>
      <c r="Z74" s="50"/>
      <c r="AA74" s="50"/>
      <c r="AB74" s="50"/>
      <c r="AC74" s="53">
        <f t="shared" si="8"/>
        <v>0</v>
      </c>
      <c r="AD74" s="53">
        <f t="shared" si="9"/>
        <v>0</v>
      </c>
      <c r="AE74" s="53">
        <f t="shared" si="10"/>
        <v>0</v>
      </c>
      <c r="AF74" s="53">
        <f t="shared" si="11"/>
        <v>0</v>
      </c>
      <c r="AG74" s="53">
        <f t="shared" si="12"/>
        <v>0</v>
      </c>
      <c r="AH74" s="53">
        <f t="shared" si="13"/>
        <v>0</v>
      </c>
      <c r="AI74" s="50"/>
      <c r="AJ74" s="50"/>
      <c r="AK74" s="50"/>
    </row>
    <row r="75" spans="1:37" x14ac:dyDescent="0.2">
      <c r="A75" s="50"/>
      <c r="B75" s="50"/>
      <c r="C75" s="50"/>
      <c r="D75" s="50"/>
      <c r="E75" s="50"/>
      <c r="F75" s="50"/>
      <c r="G75" s="50"/>
      <c r="H75" s="50"/>
      <c r="I75" s="50"/>
      <c r="J75" s="50"/>
      <c r="K75" s="50"/>
      <c r="L75" s="50"/>
      <c r="M75" s="52"/>
      <c r="N75" s="51"/>
      <c r="O75" s="51"/>
      <c r="P75" s="53">
        <f t="shared" si="7"/>
        <v>0</v>
      </c>
      <c r="Q75" s="50"/>
      <c r="R75" s="50"/>
      <c r="S75" s="51"/>
      <c r="T75" s="50"/>
      <c r="U75" s="50"/>
      <c r="V75" s="50"/>
      <c r="W75" s="50"/>
      <c r="X75" s="50"/>
      <c r="Y75" s="50"/>
      <c r="Z75" s="50"/>
      <c r="AA75" s="50"/>
      <c r="AB75" s="50"/>
      <c r="AC75" s="53">
        <f t="shared" si="8"/>
        <v>0</v>
      </c>
      <c r="AD75" s="53">
        <f t="shared" si="9"/>
        <v>0</v>
      </c>
      <c r="AE75" s="53">
        <f t="shared" si="10"/>
        <v>0</v>
      </c>
      <c r="AF75" s="53">
        <f t="shared" si="11"/>
        <v>0</v>
      </c>
      <c r="AG75" s="53">
        <f t="shared" si="12"/>
        <v>0</v>
      </c>
      <c r="AH75" s="53">
        <f t="shared" si="13"/>
        <v>0</v>
      </c>
      <c r="AI75" s="50"/>
      <c r="AJ75" s="50"/>
      <c r="AK75" s="50"/>
    </row>
    <row r="76" spans="1:37" x14ac:dyDescent="0.2">
      <c r="A76" s="50"/>
      <c r="B76" s="50"/>
      <c r="C76" s="50"/>
      <c r="D76" s="50"/>
      <c r="E76" s="50"/>
      <c r="F76" s="50"/>
      <c r="G76" s="50"/>
      <c r="H76" s="50"/>
      <c r="I76" s="50"/>
      <c r="J76" s="50"/>
      <c r="K76" s="50"/>
      <c r="L76" s="50"/>
      <c r="M76" s="52"/>
      <c r="N76" s="51"/>
      <c r="O76" s="51"/>
      <c r="P76" s="53">
        <f t="shared" si="7"/>
        <v>0</v>
      </c>
      <c r="Q76" s="50"/>
      <c r="R76" s="50"/>
      <c r="S76" s="51"/>
      <c r="T76" s="50"/>
      <c r="U76" s="50"/>
      <c r="V76" s="50"/>
      <c r="W76" s="50"/>
      <c r="X76" s="50"/>
      <c r="Y76" s="50"/>
      <c r="Z76" s="50"/>
      <c r="AA76" s="50"/>
      <c r="AB76" s="50"/>
      <c r="AC76" s="53">
        <f t="shared" si="8"/>
        <v>0</v>
      </c>
      <c r="AD76" s="53">
        <f t="shared" si="9"/>
        <v>0</v>
      </c>
      <c r="AE76" s="53">
        <f t="shared" si="10"/>
        <v>0</v>
      </c>
      <c r="AF76" s="53">
        <f t="shared" si="11"/>
        <v>0</v>
      </c>
      <c r="AG76" s="53">
        <f t="shared" si="12"/>
        <v>0</v>
      </c>
      <c r="AH76" s="53">
        <f t="shared" si="13"/>
        <v>0</v>
      </c>
      <c r="AI76" s="50"/>
      <c r="AJ76" s="50"/>
      <c r="AK76" s="50"/>
    </row>
    <row r="77" spans="1:37" x14ac:dyDescent="0.2">
      <c r="A77" s="50"/>
      <c r="B77" s="50"/>
      <c r="C77" s="50"/>
      <c r="D77" s="50"/>
      <c r="E77" s="50"/>
      <c r="F77" s="50"/>
      <c r="G77" s="50"/>
      <c r="H77" s="50"/>
      <c r="I77" s="50"/>
      <c r="J77" s="50"/>
      <c r="K77" s="50"/>
      <c r="L77" s="50"/>
      <c r="M77" s="52"/>
      <c r="N77" s="51"/>
      <c r="O77" s="51"/>
      <c r="P77" s="53">
        <f t="shared" si="7"/>
        <v>0</v>
      </c>
      <c r="Q77" s="50"/>
      <c r="R77" s="50"/>
      <c r="S77" s="51"/>
      <c r="T77" s="50"/>
      <c r="U77" s="50"/>
      <c r="V77" s="50"/>
      <c r="W77" s="50"/>
      <c r="X77" s="50"/>
      <c r="Y77" s="50"/>
      <c r="Z77" s="50"/>
      <c r="AA77" s="50"/>
      <c r="AB77" s="50"/>
      <c r="AC77" s="53">
        <f t="shared" si="8"/>
        <v>0</v>
      </c>
      <c r="AD77" s="53">
        <f t="shared" si="9"/>
        <v>0</v>
      </c>
      <c r="AE77" s="53">
        <f t="shared" si="10"/>
        <v>0</v>
      </c>
      <c r="AF77" s="53">
        <f t="shared" si="11"/>
        <v>0</v>
      </c>
      <c r="AG77" s="53">
        <f t="shared" si="12"/>
        <v>0</v>
      </c>
      <c r="AH77" s="53">
        <f t="shared" si="13"/>
        <v>0</v>
      </c>
      <c r="AI77" s="50"/>
      <c r="AJ77" s="50"/>
      <c r="AK77" s="50"/>
    </row>
    <row r="78" spans="1:37" x14ac:dyDescent="0.2">
      <c r="A78" s="50"/>
      <c r="B78" s="50"/>
      <c r="C78" s="50"/>
      <c r="D78" s="50"/>
      <c r="E78" s="50"/>
      <c r="F78" s="50"/>
      <c r="G78" s="50"/>
      <c r="H78" s="50"/>
      <c r="I78" s="50"/>
      <c r="J78" s="50"/>
      <c r="K78" s="50"/>
      <c r="L78" s="50"/>
      <c r="M78" s="52"/>
      <c r="N78" s="51"/>
      <c r="O78" s="51"/>
      <c r="P78" s="53">
        <f t="shared" si="7"/>
        <v>0</v>
      </c>
      <c r="Q78" s="50"/>
      <c r="R78" s="50"/>
      <c r="S78" s="51"/>
      <c r="T78" s="50"/>
      <c r="U78" s="50"/>
      <c r="V78" s="50"/>
      <c r="W78" s="50"/>
      <c r="X78" s="50"/>
      <c r="Y78" s="50"/>
      <c r="Z78" s="50"/>
      <c r="AA78" s="50"/>
      <c r="AB78" s="50"/>
      <c r="AC78" s="53">
        <f t="shared" si="8"/>
        <v>0</v>
      </c>
      <c r="AD78" s="53">
        <f t="shared" si="9"/>
        <v>0</v>
      </c>
      <c r="AE78" s="53">
        <f t="shared" si="10"/>
        <v>0</v>
      </c>
      <c r="AF78" s="53">
        <f t="shared" si="11"/>
        <v>0</v>
      </c>
      <c r="AG78" s="53">
        <f t="shared" si="12"/>
        <v>0</v>
      </c>
      <c r="AH78" s="53">
        <f t="shared" si="13"/>
        <v>0</v>
      </c>
      <c r="AI78" s="50"/>
      <c r="AJ78" s="50"/>
      <c r="AK78" s="50"/>
    </row>
    <row r="79" spans="1:37" x14ac:dyDescent="0.2">
      <c r="A79" s="50"/>
      <c r="B79" s="50"/>
      <c r="C79" s="50"/>
      <c r="D79" s="50"/>
      <c r="E79" s="50"/>
      <c r="F79" s="50"/>
      <c r="G79" s="50"/>
      <c r="H79" s="50"/>
      <c r="I79" s="50"/>
      <c r="J79" s="50"/>
      <c r="K79" s="50"/>
      <c r="L79" s="50"/>
      <c r="M79" s="52"/>
      <c r="N79" s="51"/>
      <c r="O79" s="51"/>
      <c r="P79" s="53">
        <f t="shared" si="7"/>
        <v>0</v>
      </c>
      <c r="Q79" s="50"/>
      <c r="R79" s="50"/>
      <c r="S79" s="51"/>
      <c r="T79" s="50"/>
      <c r="U79" s="50"/>
      <c r="V79" s="50"/>
      <c r="W79" s="50"/>
      <c r="X79" s="50"/>
      <c r="Y79" s="50"/>
      <c r="Z79" s="50"/>
      <c r="AA79" s="50"/>
      <c r="AB79" s="50"/>
      <c r="AC79" s="53">
        <f t="shared" si="8"/>
        <v>0</v>
      </c>
      <c r="AD79" s="53">
        <f t="shared" si="9"/>
        <v>0</v>
      </c>
      <c r="AE79" s="53">
        <f t="shared" si="10"/>
        <v>0</v>
      </c>
      <c r="AF79" s="53">
        <f t="shared" si="11"/>
        <v>0</v>
      </c>
      <c r="AG79" s="53">
        <f t="shared" si="12"/>
        <v>0</v>
      </c>
      <c r="AH79" s="53">
        <f t="shared" si="13"/>
        <v>0</v>
      </c>
      <c r="AI79" s="50"/>
      <c r="AJ79" s="50"/>
      <c r="AK79" s="50"/>
    </row>
    <row r="80" spans="1:37" x14ac:dyDescent="0.2">
      <c r="A80" s="50"/>
      <c r="B80" s="50"/>
      <c r="C80" s="50"/>
      <c r="D80" s="50"/>
      <c r="E80" s="50"/>
      <c r="F80" s="50"/>
      <c r="G80" s="50"/>
      <c r="H80" s="50"/>
      <c r="I80" s="50"/>
      <c r="J80" s="50"/>
      <c r="K80" s="50"/>
      <c r="L80" s="50"/>
      <c r="M80" s="52"/>
      <c r="N80" s="51"/>
      <c r="O80" s="51"/>
      <c r="P80" s="53">
        <f t="shared" si="7"/>
        <v>0</v>
      </c>
      <c r="Q80" s="50"/>
      <c r="R80" s="50"/>
      <c r="S80" s="51"/>
      <c r="T80" s="50"/>
      <c r="U80" s="50"/>
      <c r="V80" s="50"/>
      <c r="W80" s="50"/>
      <c r="X80" s="50"/>
      <c r="Y80" s="50"/>
      <c r="Z80" s="50"/>
      <c r="AA80" s="50"/>
      <c r="AB80" s="50"/>
      <c r="AC80" s="53">
        <f t="shared" si="8"/>
        <v>0</v>
      </c>
      <c r="AD80" s="53">
        <f t="shared" si="9"/>
        <v>0</v>
      </c>
      <c r="AE80" s="53">
        <f t="shared" si="10"/>
        <v>0</v>
      </c>
      <c r="AF80" s="53">
        <f t="shared" si="11"/>
        <v>0</v>
      </c>
      <c r="AG80" s="53">
        <f t="shared" si="12"/>
        <v>0</v>
      </c>
      <c r="AH80" s="53">
        <f t="shared" si="13"/>
        <v>0</v>
      </c>
      <c r="AI80" s="50"/>
      <c r="AJ80" s="50"/>
      <c r="AK80" s="50"/>
    </row>
    <row r="81" spans="1:37" x14ac:dyDescent="0.2">
      <c r="A81" s="50"/>
      <c r="B81" s="50"/>
      <c r="C81" s="50"/>
      <c r="D81" s="50"/>
      <c r="E81" s="50"/>
      <c r="F81" s="50"/>
      <c r="G81" s="50"/>
      <c r="H81" s="50"/>
      <c r="I81" s="50"/>
      <c r="J81" s="50"/>
      <c r="K81" s="50"/>
      <c r="L81" s="50"/>
      <c r="M81" s="52"/>
      <c r="N81" s="51"/>
      <c r="O81" s="51"/>
      <c r="P81" s="53">
        <f t="shared" si="7"/>
        <v>0</v>
      </c>
      <c r="Q81" s="50"/>
      <c r="R81" s="50"/>
      <c r="S81" s="51"/>
      <c r="T81" s="50"/>
      <c r="U81" s="50"/>
      <c r="V81" s="50"/>
      <c r="W81" s="50"/>
      <c r="X81" s="50"/>
      <c r="Y81" s="50"/>
      <c r="Z81" s="50"/>
      <c r="AA81" s="50"/>
      <c r="AB81" s="50"/>
      <c r="AC81" s="53">
        <f t="shared" si="8"/>
        <v>0</v>
      </c>
      <c r="AD81" s="53">
        <f t="shared" si="9"/>
        <v>0</v>
      </c>
      <c r="AE81" s="53">
        <f t="shared" si="10"/>
        <v>0</v>
      </c>
      <c r="AF81" s="53">
        <f t="shared" si="11"/>
        <v>0</v>
      </c>
      <c r="AG81" s="53">
        <f t="shared" si="12"/>
        <v>0</v>
      </c>
      <c r="AH81" s="53">
        <f t="shared" si="13"/>
        <v>0</v>
      </c>
      <c r="AI81" s="50"/>
      <c r="AJ81" s="50"/>
      <c r="AK81" s="50"/>
    </row>
    <row r="82" spans="1:37" x14ac:dyDescent="0.2">
      <c r="A82" s="50"/>
      <c r="B82" s="50"/>
      <c r="C82" s="50"/>
      <c r="D82" s="50"/>
      <c r="E82" s="50"/>
      <c r="F82" s="50"/>
      <c r="G82" s="50"/>
      <c r="H82" s="50"/>
      <c r="I82" s="50"/>
      <c r="J82" s="50"/>
      <c r="K82" s="50"/>
      <c r="L82" s="50"/>
      <c r="M82" s="52"/>
      <c r="N82" s="51"/>
      <c r="O82" s="51"/>
      <c r="P82" s="53">
        <f t="shared" si="7"/>
        <v>0</v>
      </c>
      <c r="Q82" s="50"/>
      <c r="R82" s="50"/>
      <c r="S82" s="51"/>
      <c r="T82" s="50"/>
      <c r="U82" s="50"/>
      <c r="V82" s="50"/>
      <c r="W82" s="50"/>
      <c r="X82" s="50"/>
      <c r="Y82" s="50"/>
      <c r="Z82" s="50"/>
      <c r="AA82" s="50"/>
      <c r="AB82" s="50"/>
      <c r="AC82" s="53">
        <f t="shared" si="8"/>
        <v>0</v>
      </c>
      <c r="AD82" s="53">
        <f t="shared" si="9"/>
        <v>0</v>
      </c>
      <c r="AE82" s="53">
        <f t="shared" si="10"/>
        <v>0</v>
      </c>
      <c r="AF82" s="53">
        <f t="shared" si="11"/>
        <v>0</v>
      </c>
      <c r="AG82" s="53">
        <f t="shared" si="12"/>
        <v>0</v>
      </c>
      <c r="AH82" s="53">
        <f t="shared" si="13"/>
        <v>0</v>
      </c>
      <c r="AI82" s="50"/>
      <c r="AJ82" s="50"/>
      <c r="AK82" s="50"/>
    </row>
    <row r="83" spans="1:37" x14ac:dyDescent="0.2">
      <c r="A83" s="50"/>
      <c r="B83" s="50"/>
      <c r="C83" s="50"/>
      <c r="D83" s="50"/>
      <c r="E83" s="50"/>
      <c r="F83" s="50"/>
      <c r="G83" s="50"/>
      <c r="H83" s="50"/>
      <c r="I83" s="50"/>
      <c r="J83" s="50"/>
      <c r="K83" s="50"/>
      <c r="L83" s="50"/>
      <c r="M83" s="52"/>
      <c r="N83" s="51"/>
      <c r="O83" s="51"/>
      <c r="P83" s="53">
        <f t="shared" si="7"/>
        <v>0</v>
      </c>
      <c r="Q83" s="50"/>
      <c r="R83" s="50"/>
      <c r="S83" s="51"/>
      <c r="T83" s="50"/>
      <c r="U83" s="50"/>
      <c r="V83" s="50"/>
      <c r="W83" s="50"/>
      <c r="X83" s="50"/>
      <c r="Y83" s="50"/>
      <c r="Z83" s="50"/>
      <c r="AA83" s="50"/>
      <c r="AB83" s="50"/>
      <c r="AC83" s="53">
        <f t="shared" si="8"/>
        <v>0</v>
      </c>
      <c r="AD83" s="53">
        <f t="shared" si="9"/>
        <v>0</v>
      </c>
      <c r="AE83" s="53">
        <f t="shared" si="10"/>
        <v>0</v>
      </c>
      <c r="AF83" s="53">
        <f t="shared" si="11"/>
        <v>0</v>
      </c>
      <c r="AG83" s="53">
        <f t="shared" si="12"/>
        <v>0</v>
      </c>
      <c r="AH83" s="53">
        <f t="shared" si="13"/>
        <v>0</v>
      </c>
      <c r="AI83" s="50"/>
      <c r="AJ83" s="50"/>
      <c r="AK83" s="50"/>
    </row>
    <row r="84" spans="1:37" x14ac:dyDescent="0.2">
      <c r="A84" s="50"/>
      <c r="B84" s="50"/>
      <c r="C84" s="50"/>
      <c r="D84" s="50"/>
      <c r="E84" s="50"/>
      <c r="F84" s="50"/>
      <c r="G84" s="50"/>
      <c r="H84" s="50"/>
      <c r="I84" s="50"/>
      <c r="J84" s="50"/>
      <c r="K84" s="50"/>
      <c r="L84" s="50"/>
      <c r="M84" s="52"/>
      <c r="N84" s="51"/>
      <c r="O84" s="51"/>
      <c r="P84" s="53">
        <f t="shared" si="7"/>
        <v>0</v>
      </c>
      <c r="Q84" s="50"/>
      <c r="R84" s="50"/>
      <c r="S84" s="51"/>
      <c r="T84" s="50"/>
      <c r="U84" s="50"/>
      <c r="V84" s="50"/>
      <c r="W84" s="50"/>
      <c r="X84" s="50"/>
      <c r="Y84" s="50"/>
      <c r="Z84" s="50"/>
      <c r="AA84" s="50"/>
      <c r="AB84" s="50"/>
      <c r="AC84" s="53">
        <f t="shared" si="8"/>
        <v>0</v>
      </c>
      <c r="AD84" s="53">
        <f t="shared" si="9"/>
        <v>0</v>
      </c>
      <c r="AE84" s="53">
        <f t="shared" si="10"/>
        <v>0</v>
      </c>
      <c r="AF84" s="53">
        <f t="shared" si="11"/>
        <v>0</v>
      </c>
      <c r="AG84" s="53">
        <f t="shared" si="12"/>
        <v>0</v>
      </c>
      <c r="AH84" s="53">
        <f t="shared" si="13"/>
        <v>0</v>
      </c>
      <c r="AI84" s="50"/>
      <c r="AJ84" s="50"/>
      <c r="AK84" s="50"/>
    </row>
    <row r="85" spans="1:37" x14ac:dyDescent="0.2">
      <c r="A85" s="50"/>
      <c r="B85" s="50"/>
      <c r="C85" s="50"/>
      <c r="D85" s="50"/>
      <c r="E85" s="50"/>
      <c r="F85" s="50"/>
      <c r="G85" s="50"/>
      <c r="H85" s="50"/>
      <c r="I85" s="50"/>
      <c r="J85" s="50"/>
      <c r="K85" s="50"/>
      <c r="L85" s="50"/>
      <c r="M85" s="52"/>
      <c r="N85" s="51"/>
      <c r="O85" s="51"/>
      <c r="P85" s="53">
        <f t="shared" si="7"/>
        <v>0</v>
      </c>
      <c r="Q85" s="50"/>
      <c r="R85" s="50"/>
      <c r="S85" s="51"/>
      <c r="T85" s="50"/>
      <c r="U85" s="50"/>
      <c r="V85" s="50"/>
      <c r="W85" s="50"/>
      <c r="X85" s="50"/>
      <c r="Y85" s="50"/>
      <c r="Z85" s="50"/>
      <c r="AA85" s="50"/>
      <c r="AB85" s="50"/>
      <c r="AC85" s="53">
        <f t="shared" si="8"/>
        <v>0</v>
      </c>
      <c r="AD85" s="53">
        <f t="shared" si="9"/>
        <v>0</v>
      </c>
      <c r="AE85" s="53">
        <f t="shared" si="10"/>
        <v>0</v>
      </c>
      <c r="AF85" s="53">
        <f t="shared" si="11"/>
        <v>0</v>
      </c>
      <c r="AG85" s="53">
        <f t="shared" si="12"/>
        <v>0</v>
      </c>
      <c r="AH85" s="53">
        <f t="shared" si="13"/>
        <v>0</v>
      </c>
      <c r="AI85" s="50"/>
      <c r="AJ85" s="50"/>
      <c r="AK85" s="50"/>
    </row>
    <row r="86" spans="1:37" x14ac:dyDescent="0.2">
      <c r="A86" s="50"/>
      <c r="B86" s="50"/>
      <c r="C86" s="50"/>
      <c r="D86" s="50"/>
      <c r="E86" s="50"/>
      <c r="F86" s="50"/>
      <c r="G86" s="50"/>
      <c r="H86" s="50"/>
      <c r="I86" s="50"/>
      <c r="J86" s="50"/>
      <c r="K86" s="50"/>
      <c r="L86" s="50"/>
      <c r="M86" s="52"/>
      <c r="N86" s="51"/>
      <c r="O86" s="51"/>
      <c r="P86" s="53">
        <f t="shared" si="7"/>
        <v>0</v>
      </c>
      <c r="Q86" s="50"/>
      <c r="R86" s="50"/>
      <c r="S86" s="51"/>
      <c r="T86" s="50"/>
      <c r="U86" s="50"/>
      <c r="V86" s="50"/>
      <c r="W86" s="50"/>
      <c r="X86" s="50"/>
      <c r="Y86" s="50"/>
      <c r="Z86" s="50"/>
      <c r="AA86" s="50"/>
      <c r="AB86" s="50"/>
      <c r="AC86" s="53">
        <f t="shared" si="8"/>
        <v>0</v>
      </c>
      <c r="AD86" s="53">
        <f t="shared" si="9"/>
        <v>0</v>
      </c>
      <c r="AE86" s="53">
        <f t="shared" si="10"/>
        <v>0</v>
      </c>
      <c r="AF86" s="53">
        <f t="shared" si="11"/>
        <v>0</v>
      </c>
      <c r="AG86" s="53">
        <f t="shared" si="12"/>
        <v>0</v>
      </c>
      <c r="AH86" s="53">
        <f t="shared" si="13"/>
        <v>0</v>
      </c>
      <c r="AI86" s="50"/>
      <c r="AJ86" s="50"/>
      <c r="AK86" s="50"/>
    </row>
    <row r="87" spans="1:37" x14ac:dyDescent="0.2">
      <c r="A87" s="50"/>
      <c r="B87" s="50"/>
      <c r="C87" s="50"/>
      <c r="D87" s="50"/>
      <c r="E87" s="50"/>
      <c r="F87" s="50"/>
      <c r="G87" s="50"/>
      <c r="H87" s="50"/>
      <c r="I87" s="50"/>
      <c r="J87" s="50"/>
      <c r="K87" s="50"/>
      <c r="L87" s="50"/>
      <c r="M87" s="52"/>
      <c r="N87" s="51"/>
      <c r="O87" s="51"/>
      <c r="P87" s="53">
        <f t="shared" si="7"/>
        <v>0</v>
      </c>
      <c r="Q87" s="50"/>
      <c r="R87" s="50"/>
      <c r="S87" s="51"/>
      <c r="T87" s="50"/>
      <c r="U87" s="50"/>
      <c r="V87" s="50"/>
      <c r="W87" s="50"/>
      <c r="X87" s="50"/>
      <c r="Y87" s="50"/>
      <c r="Z87" s="50"/>
      <c r="AA87" s="50"/>
      <c r="AB87" s="50"/>
      <c r="AC87" s="53">
        <f t="shared" si="8"/>
        <v>0</v>
      </c>
      <c r="AD87" s="53">
        <f t="shared" si="9"/>
        <v>0</v>
      </c>
      <c r="AE87" s="53">
        <f t="shared" si="10"/>
        <v>0</v>
      </c>
      <c r="AF87" s="53">
        <f t="shared" si="11"/>
        <v>0</v>
      </c>
      <c r="AG87" s="53">
        <f t="shared" si="12"/>
        <v>0</v>
      </c>
      <c r="AH87" s="53">
        <f t="shared" si="13"/>
        <v>0</v>
      </c>
      <c r="AI87" s="50"/>
      <c r="AJ87" s="50"/>
      <c r="AK87" s="50"/>
    </row>
    <row r="88" spans="1:37" x14ac:dyDescent="0.2">
      <c r="A88" s="50"/>
      <c r="B88" s="50"/>
      <c r="C88" s="50"/>
      <c r="D88" s="50"/>
      <c r="E88" s="50"/>
      <c r="F88" s="50"/>
      <c r="G88" s="50"/>
      <c r="H88" s="50"/>
      <c r="I88" s="50"/>
      <c r="J88" s="50"/>
      <c r="K88" s="50"/>
      <c r="L88" s="50"/>
      <c r="M88" s="52"/>
      <c r="N88" s="51"/>
      <c r="O88" s="51"/>
      <c r="P88" s="53">
        <f t="shared" si="7"/>
        <v>0</v>
      </c>
      <c r="Q88" s="50"/>
      <c r="R88" s="50"/>
      <c r="S88" s="51"/>
      <c r="T88" s="50"/>
      <c r="U88" s="50"/>
      <c r="V88" s="50"/>
      <c r="W88" s="50"/>
      <c r="X88" s="50"/>
      <c r="Y88" s="50"/>
      <c r="Z88" s="50"/>
      <c r="AA88" s="50"/>
      <c r="AB88" s="50"/>
      <c r="AC88" s="53">
        <f t="shared" si="8"/>
        <v>0</v>
      </c>
      <c r="AD88" s="53">
        <f t="shared" si="9"/>
        <v>0</v>
      </c>
      <c r="AE88" s="53">
        <f t="shared" si="10"/>
        <v>0</v>
      </c>
      <c r="AF88" s="53">
        <f t="shared" si="11"/>
        <v>0</v>
      </c>
      <c r="AG88" s="53">
        <f t="shared" si="12"/>
        <v>0</v>
      </c>
      <c r="AH88" s="53">
        <f t="shared" si="13"/>
        <v>0</v>
      </c>
      <c r="AI88" s="50"/>
      <c r="AJ88" s="50"/>
      <c r="AK88" s="50"/>
    </row>
    <row r="89" spans="1:37" x14ac:dyDescent="0.2">
      <c r="A89" s="50"/>
      <c r="B89" s="50"/>
      <c r="C89" s="50"/>
      <c r="D89" s="50"/>
      <c r="E89" s="50"/>
      <c r="F89" s="50"/>
      <c r="G89" s="50"/>
      <c r="H89" s="50"/>
      <c r="I89" s="50"/>
      <c r="J89" s="50"/>
      <c r="K89" s="50"/>
      <c r="L89" s="50"/>
      <c r="M89" s="52"/>
      <c r="N89" s="51"/>
      <c r="O89" s="51"/>
      <c r="P89" s="53">
        <f t="shared" si="7"/>
        <v>0</v>
      </c>
      <c r="Q89" s="50"/>
      <c r="R89" s="50"/>
      <c r="S89" s="51"/>
      <c r="T89" s="50"/>
      <c r="U89" s="50"/>
      <c r="V89" s="50"/>
      <c r="W89" s="50"/>
      <c r="X89" s="50"/>
      <c r="Y89" s="50"/>
      <c r="Z89" s="50"/>
      <c r="AA89" s="50"/>
      <c r="AB89" s="50"/>
      <c r="AC89" s="53">
        <f t="shared" si="8"/>
        <v>0</v>
      </c>
      <c r="AD89" s="53">
        <f t="shared" si="9"/>
        <v>0</v>
      </c>
      <c r="AE89" s="53">
        <f t="shared" si="10"/>
        <v>0</v>
      </c>
      <c r="AF89" s="53">
        <f t="shared" si="11"/>
        <v>0</v>
      </c>
      <c r="AG89" s="53">
        <f t="shared" si="12"/>
        <v>0</v>
      </c>
      <c r="AH89" s="53">
        <f t="shared" si="13"/>
        <v>0</v>
      </c>
      <c r="AI89" s="50"/>
      <c r="AJ89" s="50"/>
      <c r="AK89" s="50"/>
    </row>
    <row r="90" spans="1:37" x14ac:dyDescent="0.2">
      <c r="A90" s="50"/>
      <c r="B90" s="50"/>
      <c r="C90" s="50"/>
      <c r="D90" s="50"/>
      <c r="E90" s="50"/>
      <c r="F90" s="50"/>
      <c r="G90" s="50"/>
      <c r="H90" s="50"/>
      <c r="I90" s="50"/>
      <c r="J90" s="50"/>
      <c r="K90" s="50"/>
      <c r="L90" s="50"/>
      <c r="M90" s="52"/>
      <c r="N90" s="51"/>
      <c r="O90" s="51"/>
      <c r="P90" s="53">
        <f t="shared" si="7"/>
        <v>0</v>
      </c>
      <c r="Q90" s="50"/>
      <c r="R90" s="50"/>
      <c r="S90" s="51"/>
      <c r="T90" s="50"/>
      <c r="U90" s="50"/>
      <c r="V90" s="50"/>
      <c r="W90" s="50"/>
      <c r="X90" s="50"/>
      <c r="Y90" s="50"/>
      <c r="Z90" s="50"/>
      <c r="AA90" s="50"/>
      <c r="AB90" s="50"/>
      <c r="AC90" s="53">
        <f t="shared" si="8"/>
        <v>0</v>
      </c>
      <c r="AD90" s="53">
        <f t="shared" si="9"/>
        <v>0</v>
      </c>
      <c r="AE90" s="53">
        <f t="shared" si="10"/>
        <v>0</v>
      </c>
      <c r="AF90" s="53">
        <f t="shared" si="11"/>
        <v>0</v>
      </c>
      <c r="AG90" s="53">
        <f t="shared" si="12"/>
        <v>0</v>
      </c>
      <c r="AH90" s="53">
        <f t="shared" si="13"/>
        <v>0</v>
      </c>
      <c r="AI90" s="50"/>
      <c r="AJ90" s="50"/>
      <c r="AK90" s="50"/>
    </row>
    <row r="91" spans="1:37" x14ac:dyDescent="0.2">
      <c r="A91" s="50"/>
      <c r="B91" s="50"/>
      <c r="C91" s="50"/>
      <c r="D91" s="50"/>
      <c r="E91" s="50"/>
      <c r="F91" s="50"/>
      <c r="G91" s="50"/>
      <c r="H91" s="50"/>
      <c r="I91" s="50"/>
      <c r="J91" s="50"/>
      <c r="K91" s="50"/>
      <c r="L91" s="50"/>
      <c r="M91" s="52"/>
      <c r="N91" s="51"/>
      <c r="O91" s="51"/>
      <c r="P91" s="53">
        <f t="shared" si="7"/>
        <v>0</v>
      </c>
      <c r="Q91" s="50"/>
      <c r="R91" s="50"/>
      <c r="S91" s="51"/>
      <c r="T91" s="50"/>
      <c r="U91" s="50"/>
      <c r="V91" s="50"/>
      <c r="W91" s="50"/>
      <c r="X91" s="50"/>
      <c r="Y91" s="50"/>
      <c r="Z91" s="50"/>
      <c r="AA91" s="50"/>
      <c r="AB91" s="50"/>
      <c r="AC91" s="53">
        <f t="shared" si="8"/>
        <v>0</v>
      </c>
      <c r="AD91" s="53">
        <f t="shared" si="9"/>
        <v>0</v>
      </c>
      <c r="AE91" s="53">
        <f t="shared" si="10"/>
        <v>0</v>
      </c>
      <c r="AF91" s="53">
        <f t="shared" si="11"/>
        <v>0</v>
      </c>
      <c r="AG91" s="53">
        <f t="shared" si="12"/>
        <v>0</v>
      </c>
      <c r="AH91" s="53">
        <f t="shared" si="13"/>
        <v>0</v>
      </c>
      <c r="AI91" s="50"/>
      <c r="AJ91" s="50"/>
      <c r="AK91" s="50"/>
    </row>
    <row r="92" spans="1:37" x14ac:dyDescent="0.2">
      <c r="A92" s="50"/>
      <c r="B92" s="50"/>
      <c r="C92" s="50"/>
      <c r="D92" s="50"/>
      <c r="E92" s="50"/>
      <c r="F92" s="50"/>
      <c r="G92" s="50"/>
      <c r="H92" s="50"/>
      <c r="I92" s="50"/>
      <c r="J92" s="50"/>
      <c r="K92" s="50"/>
      <c r="L92" s="50"/>
      <c r="M92" s="52"/>
      <c r="N92" s="51"/>
      <c r="O92" s="51"/>
      <c r="P92" s="53">
        <f t="shared" si="7"/>
        <v>0</v>
      </c>
      <c r="Q92" s="50"/>
      <c r="R92" s="50"/>
      <c r="S92" s="51"/>
      <c r="T92" s="50"/>
      <c r="U92" s="50"/>
      <c r="V92" s="50"/>
      <c r="W92" s="50"/>
      <c r="X92" s="50"/>
      <c r="Y92" s="50"/>
      <c r="Z92" s="50"/>
      <c r="AA92" s="50"/>
      <c r="AB92" s="50"/>
      <c r="AC92" s="53">
        <f t="shared" si="8"/>
        <v>0</v>
      </c>
      <c r="AD92" s="53">
        <f t="shared" si="9"/>
        <v>0</v>
      </c>
      <c r="AE92" s="53">
        <f t="shared" si="10"/>
        <v>0</v>
      </c>
      <c r="AF92" s="53">
        <f t="shared" si="11"/>
        <v>0</v>
      </c>
      <c r="AG92" s="53">
        <f t="shared" si="12"/>
        <v>0</v>
      </c>
      <c r="AH92" s="53">
        <f t="shared" si="13"/>
        <v>0</v>
      </c>
      <c r="AI92" s="50"/>
      <c r="AJ92" s="50"/>
      <c r="AK92" s="50"/>
    </row>
    <row r="93" spans="1:37" x14ac:dyDescent="0.2">
      <c r="A93" s="50"/>
      <c r="B93" s="50"/>
      <c r="C93" s="50"/>
      <c r="D93" s="50"/>
      <c r="E93" s="50"/>
      <c r="F93" s="50"/>
      <c r="G93" s="50"/>
      <c r="H93" s="50"/>
      <c r="I93" s="50"/>
      <c r="J93" s="50"/>
      <c r="K93" s="50"/>
      <c r="L93" s="50"/>
      <c r="M93" s="52"/>
      <c r="N93" s="51"/>
      <c r="O93" s="51"/>
      <c r="P93" s="53">
        <f t="shared" si="7"/>
        <v>0</v>
      </c>
      <c r="Q93" s="50"/>
      <c r="R93" s="50"/>
      <c r="S93" s="51"/>
      <c r="T93" s="50"/>
      <c r="U93" s="50"/>
      <c r="V93" s="50"/>
      <c r="W93" s="50"/>
      <c r="X93" s="50"/>
      <c r="Y93" s="50"/>
      <c r="Z93" s="50"/>
      <c r="AA93" s="50"/>
      <c r="AB93" s="50"/>
      <c r="AC93" s="53">
        <f t="shared" si="8"/>
        <v>0</v>
      </c>
      <c r="AD93" s="53">
        <f t="shared" si="9"/>
        <v>0</v>
      </c>
      <c r="AE93" s="53">
        <f t="shared" si="10"/>
        <v>0</v>
      </c>
      <c r="AF93" s="53">
        <f t="shared" si="11"/>
        <v>0</v>
      </c>
      <c r="AG93" s="53">
        <f t="shared" si="12"/>
        <v>0</v>
      </c>
      <c r="AH93" s="53">
        <f t="shared" si="13"/>
        <v>0</v>
      </c>
      <c r="AI93" s="50"/>
      <c r="AJ93" s="50"/>
      <c r="AK93" s="50"/>
    </row>
    <row r="94" spans="1:37" x14ac:dyDescent="0.2">
      <c r="A94" s="50"/>
      <c r="B94" s="50"/>
      <c r="C94" s="50"/>
      <c r="D94" s="50"/>
      <c r="E94" s="50"/>
      <c r="F94" s="50"/>
      <c r="G94" s="50"/>
      <c r="H94" s="50"/>
      <c r="I94" s="50"/>
      <c r="J94" s="50"/>
      <c r="K94" s="50"/>
      <c r="L94" s="50"/>
      <c r="M94" s="52"/>
      <c r="N94" s="51"/>
      <c r="O94" s="51"/>
      <c r="P94" s="53">
        <f t="shared" si="7"/>
        <v>0</v>
      </c>
      <c r="Q94" s="50"/>
      <c r="R94" s="50"/>
      <c r="S94" s="51"/>
      <c r="T94" s="50"/>
      <c r="U94" s="50"/>
      <c r="V94" s="50"/>
      <c r="W94" s="50"/>
      <c r="X94" s="50"/>
      <c r="Y94" s="50"/>
      <c r="Z94" s="50"/>
      <c r="AA94" s="50"/>
      <c r="AB94" s="50"/>
      <c r="AC94" s="53">
        <f t="shared" si="8"/>
        <v>0</v>
      </c>
      <c r="AD94" s="53">
        <f t="shared" si="9"/>
        <v>0</v>
      </c>
      <c r="AE94" s="53">
        <f t="shared" si="10"/>
        <v>0</v>
      </c>
      <c r="AF94" s="53">
        <f t="shared" si="11"/>
        <v>0</v>
      </c>
      <c r="AG94" s="53">
        <f t="shared" si="12"/>
        <v>0</v>
      </c>
      <c r="AH94" s="53">
        <f t="shared" si="13"/>
        <v>0</v>
      </c>
      <c r="AI94" s="50"/>
      <c r="AJ94" s="50"/>
      <c r="AK94" s="50"/>
    </row>
    <row r="95" spans="1:37" x14ac:dyDescent="0.2">
      <c r="A95" s="50"/>
      <c r="B95" s="50"/>
      <c r="C95" s="50"/>
      <c r="D95" s="50"/>
      <c r="E95" s="50"/>
      <c r="F95" s="50"/>
      <c r="G95" s="50"/>
      <c r="H95" s="50"/>
      <c r="I95" s="50"/>
      <c r="J95" s="50"/>
      <c r="K95" s="50"/>
      <c r="L95" s="50"/>
      <c r="M95" s="52"/>
      <c r="N95" s="51"/>
      <c r="O95" s="51"/>
      <c r="P95" s="53">
        <f t="shared" si="7"/>
        <v>0</v>
      </c>
      <c r="Q95" s="50"/>
      <c r="R95" s="50"/>
      <c r="S95" s="51"/>
      <c r="T95" s="50"/>
      <c r="U95" s="50"/>
      <c r="V95" s="50"/>
      <c r="W95" s="50"/>
      <c r="X95" s="50"/>
      <c r="Y95" s="50"/>
      <c r="Z95" s="50"/>
      <c r="AA95" s="50"/>
      <c r="AB95" s="50"/>
      <c r="AC95" s="53">
        <f t="shared" si="8"/>
        <v>0</v>
      </c>
      <c r="AD95" s="53">
        <f t="shared" si="9"/>
        <v>0</v>
      </c>
      <c r="AE95" s="53">
        <f t="shared" si="10"/>
        <v>0</v>
      </c>
      <c r="AF95" s="53">
        <f t="shared" si="11"/>
        <v>0</v>
      </c>
      <c r="AG95" s="53">
        <f t="shared" si="12"/>
        <v>0</v>
      </c>
      <c r="AH95" s="53">
        <f t="shared" si="13"/>
        <v>0</v>
      </c>
      <c r="AI95" s="50"/>
      <c r="AJ95" s="50"/>
      <c r="AK95" s="50"/>
    </row>
    <row r="96" spans="1:37" x14ac:dyDescent="0.2">
      <c r="A96" s="50"/>
      <c r="B96" s="50"/>
      <c r="C96" s="50"/>
      <c r="D96" s="50"/>
      <c r="E96" s="50"/>
      <c r="F96" s="50"/>
      <c r="G96" s="50"/>
      <c r="H96" s="50"/>
      <c r="I96" s="50"/>
      <c r="J96" s="50"/>
      <c r="K96" s="50"/>
      <c r="L96" s="50"/>
      <c r="M96" s="52"/>
      <c r="N96" s="51"/>
      <c r="O96" s="51"/>
      <c r="P96" s="53">
        <f t="shared" si="7"/>
        <v>0</v>
      </c>
      <c r="Q96" s="50"/>
      <c r="R96" s="50"/>
      <c r="S96" s="51"/>
      <c r="T96" s="50"/>
      <c r="U96" s="50"/>
      <c r="V96" s="50"/>
      <c r="W96" s="50"/>
      <c r="X96" s="50"/>
      <c r="Y96" s="50"/>
      <c r="Z96" s="50"/>
      <c r="AA96" s="50"/>
      <c r="AB96" s="50"/>
      <c r="AC96" s="53">
        <f t="shared" si="8"/>
        <v>0</v>
      </c>
      <c r="AD96" s="53">
        <f t="shared" si="9"/>
        <v>0</v>
      </c>
      <c r="AE96" s="53">
        <f t="shared" si="10"/>
        <v>0</v>
      </c>
      <c r="AF96" s="53">
        <f t="shared" si="11"/>
        <v>0</v>
      </c>
      <c r="AG96" s="53">
        <f t="shared" si="12"/>
        <v>0</v>
      </c>
      <c r="AH96" s="53">
        <f t="shared" si="13"/>
        <v>0</v>
      </c>
      <c r="AI96" s="50"/>
      <c r="AJ96" s="50"/>
      <c r="AK96" s="50"/>
    </row>
    <row r="97" spans="1:37" x14ac:dyDescent="0.2">
      <c r="A97" s="50"/>
      <c r="B97" s="50"/>
      <c r="C97" s="50"/>
      <c r="D97" s="50"/>
      <c r="E97" s="50"/>
      <c r="F97" s="50"/>
      <c r="G97" s="50"/>
      <c r="H97" s="50"/>
      <c r="I97" s="50"/>
      <c r="J97" s="50"/>
      <c r="K97" s="50"/>
      <c r="L97" s="50"/>
      <c r="M97" s="52"/>
      <c r="N97" s="51"/>
      <c r="O97" s="51"/>
      <c r="P97" s="53">
        <f t="shared" si="7"/>
        <v>0</v>
      </c>
      <c r="Q97" s="50"/>
      <c r="R97" s="50"/>
      <c r="S97" s="51"/>
      <c r="T97" s="50"/>
      <c r="U97" s="50"/>
      <c r="V97" s="50"/>
      <c r="W97" s="50"/>
      <c r="X97" s="50"/>
      <c r="Y97" s="50"/>
      <c r="Z97" s="50"/>
      <c r="AA97" s="50"/>
      <c r="AB97" s="50"/>
      <c r="AC97" s="53">
        <f t="shared" si="8"/>
        <v>0</v>
      </c>
      <c r="AD97" s="53">
        <f t="shared" si="9"/>
        <v>0</v>
      </c>
      <c r="AE97" s="53">
        <f t="shared" si="10"/>
        <v>0</v>
      </c>
      <c r="AF97" s="53">
        <f t="shared" si="11"/>
        <v>0</v>
      </c>
      <c r="AG97" s="53">
        <f t="shared" si="12"/>
        <v>0</v>
      </c>
      <c r="AH97" s="53">
        <f t="shared" si="13"/>
        <v>0</v>
      </c>
      <c r="AI97" s="50"/>
      <c r="AJ97" s="50"/>
      <c r="AK97" s="50"/>
    </row>
    <row r="98" spans="1:37" x14ac:dyDescent="0.2">
      <c r="A98" s="50"/>
      <c r="B98" s="50"/>
      <c r="C98" s="50"/>
      <c r="D98" s="50"/>
      <c r="E98" s="50"/>
      <c r="F98" s="50"/>
      <c r="G98" s="50"/>
      <c r="H98" s="50"/>
      <c r="I98" s="50"/>
      <c r="J98" s="50"/>
      <c r="K98" s="50"/>
      <c r="L98" s="50"/>
      <c r="M98" s="52"/>
      <c r="N98" s="51"/>
      <c r="O98" s="51"/>
      <c r="P98" s="53">
        <f t="shared" si="7"/>
        <v>0</v>
      </c>
      <c r="Q98" s="50"/>
      <c r="R98" s="50"/>
      <c r="S98" s="51"/>
      <c r="T98" s="50"/>
      <c r="U98" s="50"/>
      <c r="V98" s="50"/>
      <c r="W98" s="50"/>
      <c r="X98" s="50"/>
      <c r="Y98" s="50"/>
      <c r="Z98" s="50"/>
      <c r="AA98" s="50"/>
      <c r="AB98" s="50"/>
      <c r="AC98" s="53">
        <f t="shared" si="8"/>
        <v>0</v>
      </c>
      <c r="AD98" s="53">
        <f t="shared" si="9"/>
        <v>0</v>
      </c>
      <c r="AE98" s="53">
        <f t="shared" si="10"/>
        <v>0</v>
      </c>
      <c r="AF98" s="53">
        <f t="shared" si="11"/>
        <v>0</v>
      </c>
      <c r="AG98" s="53">
        <f t="shared" si="12"/>
        <v>0</v>
      </c>
      <c r="AH98" s="53">
        <f t="shared" si="13"/>
        <v>0</v>
      </c>
      <c r="AI98" s="50"/>
      <c r="AJ98" s="50"/>
      <c r="AK98" s="50"/>
    </row>
    <row r="99" spans="1:37" x14ac:dyDescent="0.2">
      <c r="A99" s="50"/>
      <c r="B99" s="50"/>
      <c r="C99" s="50"/>
      <c r="D99" s="50"/>
      <c r="E99" s="50"/>
      <c r="F99" s="50"/>
      <c r="G99" s="50"/>
      <c r="H99" s="50"/>
      <c r="I99" s="50"/>
      <c r="J99" s="50"/>
      <c r="K99" s="50"/>
      <c r="L99" s="50"/>
      <c r="M99" s="52"/>
      <c r="N99" s="51"/>
      <c r="O99" s="51"/>
      <c r="P99" s="53">
        <f t="shared" si="7"/>
        <v>0</v>
      </c>
      <c r="Q99" s="50"/>
      <c r="R99" s="50"/>
      <c r="S99" s="51"/>
      <c r="T99" s="50"/>
      <c r="U99" s="50"/>
      <c r="V99" s="50"/>
      <c r="W99" s="50"/>
      <c r="X99" s="50"/>
      <c r="Y99" s="50"/>
      <c r="Z99" s="50"/>
      <c r="AA99" s="50"/>
      <c r="AB99" s="50"/>
      <c r="AC99" s="53">
        <f t="shared" si="8"/>
        <v>0</v>
      </c>
      <c r="AD99" s="53">
        <f t="shared" si="9"/>
        <v>0</v>
      </c>
      <c r="AE99" s="53">
        <f t="shared" si="10"/>
        <v>0</v>
      </c>
      <c r="AF99" s="53">
        <f t="shared" si="11"/>
        <v>0</v>
      </c>
      <c r="AG99" s="53">
        <f t="shared" si="12"/>
        <v>0</v>
      </c>
      <c r="AH99" s="53">
        <f t="shared" si="13"/>
        <v>0</v>
      </c>
      <c r="AI99" s="50"/>
      <c r="AJ99" s="50"/>
      <c r="AK99" s="50"/>
    </row>
    <row r="100" spans="1:37" x14ac:dyDescent="0.2">
      <c r="A100" s="50"/>
      <c r="B100" s="50"/>
      <c r="C100" s="50"/>
      <c r="D100" s="50"/>
      <c r="E100" s="50"/>
      <c r="F100" s="50"/>
      <c r="G100" s="50"/>
      <c r="H100" s="50"/>
      <c r="I100" s="50"/>
      <c r="J100" s="50"/>
      <c r="K100" s="50"/>
      <c r="L100" s="50"/>
      <c r="M100" s="52"/>
      <c r="N100" s="51"/>
      <c r="O100" s="51"/>
      <c r="P100" s="53">
        <f t="shared" si="7"/>
        <v>0</v>
      </c>
      <c r="Q100" s="50"/>
      <c r="R100" s="50"/>
      <c r="S100" s="51"/>
      <c r="T100" s="50"/>
      <c r="U100" s="50"/>
      <c r="V100" s="50"/>
      <c r="W100" s="50"/>
      <c r="X100" s="50"/>
      <c r="Y100" s="50"/>
      <c r="Z100" s="50"/>
      <c r="AA100" s="50"/>
      <c r="AB100" s="50"/>
      <c r="AC100" s="53">
        <f t="shared" si="8"/>
        <v>0</v>
      </c>
      <c r="AD100" s="53">
        <f t="shared" si="9"/>
        <v>0</v>
      </c>
      <c r="AE100" s="53">
        <f t="shared" si="10"/>
        <v>0</v>
      </c>
      <c r="AF100" s="53">
        <f t="shared" si="11"/>
        <v>0</v>
      </c>
      <c r="AG100" s="53">
        <f t="shared" si="12"/>
        <v>0</v>
      </c>
      <c r="AH100" s="53">
        <f t="shared" si="13"/>
        <v>0</v>
      </c>
      <c r="AI100" s="50"/>
      <c r="AJ100" s="50"/>
      <c r="AK100" s="50"/>
    </row>
    <row r="101" spans="1:37" x14ac:dyDescent="0.2">
      <c r="A101" s="50"/>
      <c r="B101" s="50"/>
      <c r="C101" s="50"/>
      <c r="D101" s="50"/>
      <c r="E101" s="50"/>
      <c r="F101" s="50"/>
      <c r="G101" s="50"/>
      <c r="H101" s="50"/>
      <c r="I101" s="50"/>
      <c r="J101" s="50"/>
      <c r="K101" s="50"/>
      <c r="L101" s="50"/>
      <c r="M101" s="52"/>
      <c r="N101" s="51"/>
      <c r="O101" s="51"/>
      <c r="P101" s="53">
        <f t="shared" si="7"/>
        <v>0</v>
      </c>
      <c r="Q101" s="50"/>
      <c r="R101" s="50"/>
      <c r="S101" s="51"/>
      <c r="T101" s="50"/>
      <c r="U101" s="50"/>
      <c r="V101" s="50"/>
      <c r="W101" s="50"/>
      <c r="X101" s="50"/>
      <c r="Y101" s="50"/>
      <c r="Z101" s="50"/>
      <c r="AA101" s="50"/>
      <c r="AB101" s="50"/>
      <c r="AC101" s="53">
        <f t="shared" si="8"/>
        <v>0</v>
      </c>
      <c r="AD101" s="53">
        <f t="shared" si="9"/>
        <v>0</v>
      </c>
      <c r="AE101" s="53">
        <f t="shared" si="10"/>
        <v>0</v>
      </c>
      <c r="AF101" s="53">
        <f t="shared" si="11"/>
        <v>0</v>
      </c>
      <c r="AG101" s="53">
        <f t="shared" si="12"/>
        <v>0</v>
      </c>
      <c r="AH101" s="53">
        <f t="shared" si="13"/>
        <v>0</v>
      </c>
      <c r="AI101" s="50"/>
      <c r="AJ101" s="50"/>
      <c r="AK101" s="50"/>
    </row>
    <row r="102" spans="1:37" x14ac:dyDescent="0.2">
      <c r="A102" s="50"/>
      <c r="B102" s="50"/>
      <c r="C102" s="50"/>
      <c r="D102" s="50"/>
      <c r="E102" s="50"/>
      <c r="F102" s="50"/>
      <c r="G102" s="50"/>
      <c r="H102" s="50"/>
      <c r="I102" s="50"/>
      <c r="J102" s="50"/>
      <c r="K102" s="50"/>
      <c r="L102" s="50"/>
      <c r="M102" s="52"/>
      <c r="N102" s="51"/>
      <c r="O102" s="51"/>
      <c r="P102" s="53">
        <f t="shared" si="7"/>
        <v>0</v>
      </c>
      <c r="Q102" s="50"/>
      <c r="R102" s="50"/>
      <c r="S102" s="51"/>
      <c r="T102" s="50"/>
      <c r="U102" s="50"/>
      <c r="V102" s="50"/>
      <c r="W102" s="50"/>
      <c r="X102" s="50"/>
      <c r="Y102" s="50"/>
      <c r="Z102" s="50"/>
      <c r="AA102" s="50"/>
      <c r="AB102" s="50"/>
      <c r="AC102" s="53">
        <f t="shared" si="8"/>
        <v>0</v>
      </c>
      <c r="AD102" s="53">
        <f t="shared" si="9"/>
        <v>0</v>
      </c>
      <c r="AE102" s="53">
        <f t="shared" si="10"/>
        <v>0</v>
      </c>
      <c r="AF102" s="53">
        <f t="shared" si="11"/>
        <v>0</v>
      </c>
      <c r="AG102" s="53">
        <f t="shared" si="12"/>
        <v>0</v>
      </c>
      <c r="AH102" s="53">
        <f t="shared" si="13"/>
        <v>0</v>
      </c>
      <c r="AI102" s="50"/>
      <c r="AJ102" s="50"/>
      <c r="AK102" s="50"/>
    </row>
    <row r="103" spans="1:37" x14ac:dyDescent="0.2">
      <c r="A103" s="50"/>
      <c r="B103" s="50"/>
      <c r="C103" s="50"/>
      <c r="D103" s="50"/>
      <c r="E103" s="50"/>
      <c r="F103" s="50"/>
      <c r="G103" s="50"/>
      <c r="H103" s="50"/>
      <c r="I103" s="50"/>
      <c r="J103" s="50"/>
      <c r="K103" s="50"/>
      <c r="L103" s="50"/>
      <c r="M103" s="52"/>
      <c r="N103" s="51"/>
      <c r="O103" s="51"/>
      <c r="P103" s="53">
        <f t="shared" si="7"/>
        <v>0</v>
      </c>
      <c r="Q103" s="50"/>
      <c r="R103" s="50"/>
      <c r="S103" s="51"/>
      <c r="T103" s="50"/>
      <c r="U103" s="50"/>
      <c r="V103" s="50"/>
      <c r="W103" s="50"/>
      <c r="X103" s="50"/>
      <c r="Y103" s="50"/>
      <c r="Z103" s="50"/>
      <c r="AA103" s="50"/>
      <c r="AB103" s="50"/>
      <c r="AC103" s="53">
        <f t="shared" si="8"/>
        <v>0</v>
      </c>
      <c r="AD103" s="53">
        <f t="shared" si="9"/>
        <v>0</v>
      </c>
      <c r="AE103" s="53">
        <f t="shared" si="10"/>
        <v>0</v>
      </c>
      <c r="AF103" s="53">
        <f t="shared" si="11"/>
        <v>0</v>
      </c>
      <c r="AG103" s="53">
        <f t="shared" si="12"/>
        <v>0</v>
      </c>
      <c r="AH103" s="53">
        <f t="shared" si="13"/>
        <v>0</v>
      </c>
      <c r="AI103" s="50"/>
      <c r="AJ103" s="50"/>
      <c r="AK103" s="50"/>
    </row>
    <row r="104" spans="1:37" x14ac:dyDescent="0.2">
      <c r="A104" s="50"/>
      <c r="B104" s="50"/>
      <c r="C104" s="50"/>
      <c r="D104" s="50"/>
      <c r="E104" s="50"/>
      <c r="F104" s="50"/>
      <c r="G104" s="50"/>
      <c r="H104" s="50"/>
      <c r="I104" s="50"/>
      <c r="J104" s="50"/>
      <c r="K104" s="50"/>
      <c r="L104" s="50"/>
      <c r="M104" s="52"/>
      <c r="N104" s="51"/>
      <c r="O104" s="51"/>
      <c r="P104" s="53">
        <f t="shared" si="7"/>
        <v>0</v>
      </c>
      <c r="Q104" s="50"/>
      <c r="R104" s="50"/>
      <c r="S104" s="51"/>
      <c r="T104" s="50"/>
      <c r="U104" s="50"/>
      <c r="V104" s="50"/>
      <c r="W104" s="50"/>
      <c r="X104" s="50"/>
      <c r="Y104" s="50"/>
      <c r="Z104" s="50"/>
      <c r="AA104" s="50"/>
      <c r="AB104" s="50"/>
      <c r="AC104" s="53">
        <f t="shared" si="8"/>
        <v>0</v>
      </c>
      <c r="AD104" s="53">
        <f t="shared" si="9"/>
        <v>0</v>
      </c>
      <c r="AE104" s="53">
        <f t="shared" si="10"/>
        <v>0</v>
      </c>
      <c r="AF104" s="53">
        <f t="shared" si="11"/>
        <v>0</v>
      </c>
      <c r="AG104" s="53">
        <f t="shared" si="12"/>
        <v>0</v>
      </c>
      <c r="AH104" s="53">
        <f t="shared" si="13"/>
        <v>0</v>
      </c>
      <c r="AI104" s="50"/>
      <c r="AJ104" s="50"/>
      <c r="AK104" s="50"/>
    </row>
    <row r="105" spans="1:37" x14ac:dyDescent="0.2">
      <c r="A105" s="50"/>
      <c r="B105" s="50"/>
      <c r="C105" s="50"/>
      <c r="D105" s="50"/>
      <c r="E105" s="50"/>
      <c r="F105" s="50"/>
      <c r="G105" s="50"/>
      <c r="H105" s="50"/>
      <c r="I105" s="50"/>
      <c r="J105" s="50"/>
      <c r="K105" s="50"/>
      <c r="L105" s="50"/>
      <c r="M105" s="52"/>
      <c r="N105" s="51"/>
      <c r="O105" s="51"/>
      <c r="P105" s="53">
        <f t="shared" si="7"/>
        <v>0</v>
      </c>
      <c r="Q105" s="50"/>
      <c r="R105" s="50"/>
      <c r="S105" s="51"/>
      <c r="T105" s="50"/>
      <c r="U105" s="50"/>
      <c r="V105" s="50"/>
      <c r="W105" s="50"/>
      <c r="X105" s="50"/>
      <c r="Y105" s="50"/>
      <c r="Z105" s="50"/>
      <c r="AA105" s="50"/>
      <c r="AB105" s="50"/>
      <c r="AC105" s="53">
        <f t="shared" si="8"/>
        <v>0</v>
      </c>
      <c r="AD105" s="53">
        <f t="shared" si="9"/>
        <v>0</v>
      </c>
      <c r="AE105" s="53">
        <f t="shared" si="10"/>
        <v>0</v>
      </c>
      <c r="AF105" s="53">
        <f t="shared" si="11"/>
        <v>0</v>
      </c>
      <c r="AG105" s="53">
        <f t="shared" si="12"/>
        <v>0</v>
      </c>
      <c r="AH105" s="53">
        <f t="shared" si="13"/>
        <v>0</v>
      </c>
      <c r="AI105" s="50"/>
      <c r="AJ105" s="50"/>
      <c r="AK105" s="50"/>
    </row>
    <row r="106" spans="1:37" x14ac:dyDescent="0.2">
      <c r="A106" s="50"/>
      <c r="B106" s="50"/>
      <c r="C106" s="50"/>
      <c r="D106" s="50"/>
      <c r="E106" s="50"/>
      <c r="F106" s="50"/>
      <c r="G106" s="50"/>
      <c r="H106" s="50"/>
      <c r="I106" s="50"/>
      <c r="J106" s="50"/>
      <c r="K106" s="50"/>
      <c r="L106" s="50"/>
      <c r="M106" s="52"/>
      <c r="N106" s="51"/>
      <c r="O106" s="51"/>
      <c r="P106" s="53">
        <f t="shared" si="7"/>
        <v>0</v>
      </c>
      <c r="Q106" s="50"/>
      <c r="R106" s="50"/>
      <c r="S106" s="51"/>
      <c r="T106" s="50"/>
      <c r="U106" s="50"/>
      <c r="V106" s="50"/>
      <c r="W106" s="50"/>
      <c r="X106" s="50"/>
      <c r="Y106" s="50"/>
      <c r="Z106" s="50"/>
      <c r="AA106" s="50"/>
      <c r="AB106" s="50"/>
      <c r="AC106" s="53">
        <f t="shared" si="8"/>
        <v>0</v>
      </c>
      <c r="AD106" s="53">
        <f t="shared" si="9"/>
        <v>0</v>
      </c>
      <c r="AE106" s="53">
        <f t="shared" si="10"/>
        <v>0</v>
      </c>
      <c r="AF106" s="53">
        <f t="shared" si="11"/>
        <v>0</v>
      </c>
      <c r="AG106" s="53">
        <f t="shared" si="12"/>
        <v>0</v>
      </c>
      <c r="AH106" s="53">
        <f t="shared" si="13"/>
        <v>0</v>
      </c>
      <c r="AI106" s="50"/>
      <c r="AJ106" s="50"/>
      <c r="AK106" s="50"/>
    </row>
    <row r="107" spans="1:37" x14ac:dyDescent="0.2">
      <c r="A107" s="50"/>
      <c r="B107" s="50"/>
      <c r="C107" s="50"/>
      <c r="D107" s="50"/>
      <c r="E107" s="50"/>
      <c r="F107" s="50"/>
      <c r="G107" s="50"/>
      <c r="H107" s="50"/>
      <c r="I107" s="50"/>
      <c r="J107" s="50"/>
      <c r="K107" s="50"/>
      <c r="L107" s="50"/>
      <c r="M107" s="52"/>
      <c r="N107" s="51"/>
      <c r="O107" s="51"/>
      <c r="P107" s="53">
        <f t="shared" si="7"/>
        <v>0</v>
      </c>
      <c r="Q107" s="50"/>
      <c r="R107" s="50"/>
      <c r="S107" s="51"/>
      <c r="T107" s="50"/>
      <c r="U107" s="50"/>
      <c r="V107" s="50"/>
      <c r="W107" s="50"/>
      <c r="X107" s="50"/>
      <c r="Y107" s="50"/>
      <c r="Z107" s="50"/>
      <c r="AA107" s="50"/>
      <c r="AB107" s="50"/>
      <c r="AC107" s="53">
        <f t="shared" si="8"/>
        <v>0</v>
      </c>
      <c r="AD107" s="53">
        <f t="shared" si="9"/>
        <v>0</v>
      </c>
      <c r="AE107" s="53">
        <f t="shared" si="10"/>
        <v>0</v>
      </c>
      <c r="AF107" s="53">
        <f t="shared" si="11"/>
        <v>0</v>
      </c>
      <c r="AG107" s="53">
        <f t="shared" si="12"/>
        <v>0</v>
      </c>
      <c r="AH107" s="53">
        <f t="shared" si="13"/>
        <v>0</v>
      </c>
      <c r="AI107" s="50"/>
      <c r="AJ107" s="50"/>
      <c r="AK107" s="50"/>
    </row>
    <row r="108" spans="1:37" x14ac:dyDescent="0.2">
      <c r="A108" s="50"/>
      <c r="B108" s="50"/>
      <c r="C108" s="50"/>
      <c r="D108" s="50"/>
      <c r="E108" s="50"/>
      <c r="F108" s="50"/>
      <c r="G108" s="50"/>
      <c r="H108" s="50"/>
      <c r="I108" s="50"/>
      <c r="J108" s="50"/>
      <c r="K108" s="50"/>
      <c r="L108" s="50"/>
      <c r="M108" s="52"/>
      <c r="N108" s="51"/>
      <c r="O108" s="51"/>
      <c r="P108" s="53">
        <f t="shared" si="7"/>
        <v>0</v>
      </c>
      <c r="Q108" s="50"/>
      <c r="R108" s="50"/>
      <c r="S108" s="51"/>
      <c r="T108" s="50"/>
      <c r="U108" s="50"/>
      <c r="V108" s="50"/>
      <c r="W108" s="50"/>
      <c r="X108" s="50"/>
      <c r="Y108" s="50"/>
      <c r="Z108" s="50"/>
      <c r="AA108" s="50"/>
      <c r="AB108" s="50"/>
      <c r="AC108" s="53">
        <f t="shared" si="8"/>
        <v>0</v>
      </c>
      <c r="AD108" s="53">
        <f t="shared" si="9"/>
        <v>0</v>
      </c>
      <c r="AE108" s="53">
        <f t="shared" si="10"/>
        <v>0</v>
      </c>
      <c r="AF108" s="53">
        <f t="shared" si="11"/>
        <v>0</v>
      </c>
      <c r="AG108" s="53">
        <f t="shared" si="12"/>
        <v>0</v>
      </c>
      <c r="AH108" s="53">
        <f t="shared" si="13"/>
        <v>0</v>
      </c>
      <c r="AI108" s="50"/>
      <c r="AJ108" s="50"/>
      <c r="AK108" s="50"/>
    </row>
    <row r="109" spans="1:37" x14ac:dyDescent="0.2">
      <c r="A109" s="50"/>
      <c r="B109" s="50"/>
      <c r="C109" s="50"/>
      <c r="D109" s="50"/>
      <c r="E109" s="50"/>
      <c r="F109" s="50"/>
      <c r="G109" s="50"/>
      <c r="H109" s="50"/>
      <c r="I109" s="50"/>
      <c r="J109" s="50"/>
      <c r="K109" s="50"/>
      <c r="L109" s="50"/>
      <c r="M109" s="52"/>
      <c r="N109" s="51"/>
      <c r="O109" s="51"/>
      <c r="P109" s="53">
        <f t="shared" si="7"/>
        <v>0</v>
      </c>
      <c r="Q109" s="50"/>
      <c r="R109" s="50"/>
      <c r="S109" s="51"/>
      <c r="T109" s="50"/>
      <c r="U109" s="50"/>
      <c r="V109" s="50"/>
      <c r="W109" s="50"/>
      <c r="X109" s="50"/>
      <c r="Y109" s="50"/>
      <c r="Z109" s="50"/>
      <c r="AA109" s="50"/>
      <c r="AB109" s="50"/>
      <c r="AC109" s="53">
        <f t="shared" si="8"/>
        <v>0</v>
      </c>
      <c r="AD109" s="53">
        <f t="shared" si="9"/>
        <v>0</v>
      </c>
      <c r="AE109" s="53">
        <f t="shared" si="10"/>
        <v>0</v>
      </c>
      <c r="AF109" s="53">
        <f t="shared" si="11"/>
        <v>0</v>
      </c>
      <c r="AG109" s="53">
        <f t="shared" si="12"/>
        <v>0</v>
      </c>
      <c r="AH109" s="53">
        <f t="shared" si="13"/>
        <v>0</v>
      </c>
      <c r="AI109" s="50"/>
      <c r="AJ109" s="50"/>
      <c r="AK109" s="50"/>
    </row>
    <row r="110" spans="1:37" x14ac:dyDescent="0.2">
      <c r="A110" s="50"/>
      <c r="B110" s="50"/>
      <c r="C110" s="50"/>
      <c r="D110" s="50"/>
      <c r="E110" s="50"/>
      <c r="F110" s="50"/>
      <c r="G110" s="50"/>
      <c r="H110" s="50"/>
      <c r="I110" s="50"/>
      <c r="J110" s="50"/>
      <c r="K110" s="50"/>
      <c r="L110" s="50"/>
      <c r="M110" s="52"/>
      <c r="N110" s="51"/>
      <c r="O110" s="51"/>
      <c r="P110" s="53">
        <f t="shared" si="7"/>
        <v>0</v>
      </c>
      <c r="Q110" s="50"/>
      <c r="R110" s="50"/>
      <c r="S110" s="51"/>
      <c r="T110" s="50"/>
      <c r="U110" s="50"/>
      <c r="V110" s="50"/>
      <c r="W110" s="50"/>
      <c r="X110" s="50"/>
      <c r="Y110" s="50"/>
      <c r="Z110" s="50"/>
      <c r="AA110" s="50"/>
      <c r="AB110" s="50"/>
      <c r="AC110" s="53">
        <f t="shared" si="8"/>
        <v>0</v>
      </c>
      <c r="AD110" s="53">
        <f t="shared" si="9"/>
        <v>0</v>
      </c>
      <c r="AE110" s="53">
        <f t="shared" si="10"/>
        <v>0</v>
      </c>
      <c r="AF110" s="53">
        <f t="shared" si="11"/>
        <v>0</v>
      </c>
      <c r="AG110" s="53">
        <f t="shared" si="12"/>
        <v>0</v>
      </c>
      <c r="AH110" s="53">
        <f t="shared" si="13"/>
        <v>0</v>
      </c>
      <c r="AI110" s="50"/>
      <c r="AJ110" s="50"/>
      <c r="AK110" s="50"/>
    </row>
    <row r="111" spans="1:37" x14ac:dyDescent="0.2">
      <c r="A111" s="50"/>
      <c r="B111" s="50"/>
      <c r="C111" s="50"/>
      <c r="D111" s="50"/>
      <c r="E111" s="50"/>
      <c r="F111" s="50"/>
      <c r="G111" s="50"/>
      <c r="H111" s="50"/>
      <c r="I111" s="50"/>
      <c r="J111" s="50"/>
      <c r="K111" s="50"/>
      <c r="L111" s="50"/>
      <c r="M111" s="52"/>
      <c r="N111" s="51"/>
      <c r="O111" s="51"/>
      <c r="P111" s="53">
        <f t="shared" si="7"/>
        <v>0</v>
      </c>
      <c r="Q111" s="50"/>
      <c r="R111" s="50"/>
      <c r="S111" s="51"/>
      <c r="T111" s="50"/>
      <c r="U111" s="50"/>
      <c r="V111" s="50"/>
      <c r="W111" s="50"/>
      <c r="X111" s="50"/>
      <c r="Y111" s="50"/>
      <c r="Z111" s="50"/>
      <c r="AA111" s="50"/>
      <c r="AB111" s="50"/>
      <c r="AC111" s="53">
        <f t="shared" si="8"/>
        <v>0</v>
      </c>
      <c r="AD111" s="53">
        <f t="shared" si="9"/>
        <v>0</v>
      </c>
      <c r="AE111" s="53">
        <f t="shared" si="10"/>
        <v>0</v>
      </c>
      <c r="AF111" s="53">
        <f t="shared" si="11"/>
        <v>0</v>
      </c>
      <c r="AG111" s="53">
        <f t="shared" si="12"/>
        <v>0</v>
      </c>
      <c r="AH111" s="53">
        <f t="shared" si="13"/>
        <v>0</v>
      </c>
      <c r="AI111" s="50"/>
      <c r="AJ111" s="50"/>
      <c r="AK111" s="50"/>
    </row>
    <row r="112" spans="1:37" x14ac:dyDescent="0.2">
      <c r="A112" s="50"/>
      <c r="B112" s="50"/>
      <c r="C112" s="50"/>
      <c r="D112" s="50"/>
      <c r="E112" s="50"/>
      <c r="F112" s="50"/>
      <c r="G112" s="50"/>
      <c r="H112" s="50"/>
      <c r="I112" s="50"/>
      <c r="J112" s="50"/>
      <c r="K112" s="50"/>
      <c r="L112" s="50"/>
      <c r="M112" s="52"/>
      <c r="N112" s="51"/>
      <c r="O112" s="51"/>
      <c r="P112" s="53">
        <f t="shared" si="7"/>
        <v>0</v>
      </c>
      <c r="Q112" s="50"/>
      <c r="R112" s="50"/>
      <c r="S112" s="51"/>
      <c r="T112" s="50"/>
      <c r="U112" s="50"/>
      <c r="V112" s="50"/>
      <c r="W112" s="50"/>
      <c r="X112" s="50"/>
      <c r="Y112" s="50"/>
      <c r="Z112" s="50"/>
      <c r="AA112" s="50"/>
      <c r="AB112" s="50"/>
      <c r="AC112" s="53">
        <f t="shared" si="8"/>
        <v>0</v>
      </c>
      <c r="AD112" s="53">
        <f t="shared" si="9"/>
        <v>0</v>
      </c>
      <c r="AE112" s="53">
        <f t="shared" si="10"/>
        <v>0</v>
      </c>
      <c r="AF112" s="53">
        <f t="shared" si="11"/>
        <v>0</v>
      </c>
      <c r="AG112" s="53">
        <f t="shared" si="12"/>
        <v>0</v>
      </c>
      <c r="AH112" s="53">
        <f t="shared" si="13"/>
        <v>0</v>
      </c>
      <c r="AI112" s="50"/>
      <c r="AJ112" s="50"/>
      <c r="AK112" s="50"/>
    </row>
    <row r="113" spans="1:37" x14ac:dyDescent="0.2">
      <c r="A113" s="50"/>
      <c r="B113" s="50"/>
      <c r="C113" s="50"/>
      <c r="D113" s="50"/>
      <c r="E113" s="50"/>
      <c r="F113" s="50"/>
      <c r="G113" s="50"/>
      <c r="H113" s="50"/>
      <c r="I113" s="50"/>
      <c r="J113" s="50"/>
      <c r="K113" s="50"/>
      <c r="L113" s="50"/>
      <c r="M113" s="52"/>
      <c r="N113" s="51"/>
      <c r="O113" s="51"/>
      <c r="P113" s="53">
        <f t="shared" si="7"/>
        <v>0</v>
      </c>
      <c r="Q113" s="50"/>
      <c r="R113" s="50"/>
      <c r="S113" s="51"/>
      <c r="T113" s="50"/>
      <c r="U113" s="50"/>
      <c r="V113" s="50"/>
      <c r="W113" s="50"/>
      <c r="X113" s="50"/>
      <c r="Y113" s="50"/>
      <c r="Z113" s="50"/>
      <c r="AA113" s="50"/>
      <c r="AB113" s="50"/>
      <c r="AC113" s="53">
        <f t="shared" si="8"/>
        <v>0</v>
      </c>
      <c r="AD113" s="53">
        <f t="shared" si="9"/>
        <v>0</v>
      </c>
      <c r="AE113" s="53">
        <f t="shared" si="10"/>
        <v>0</v>
      </c>
      <c r="AF113" s="53">
        <f t="shared" si="11"/>
        <v>0</v>
      </c>
      <c r="AG113" s="53">
        <f t="shared" si="12"/>
        <v>0</v>
      </c>
      <c r="AH113" s="53">
        <f t="shared" si="13"/>
        <v>0</v>
      </c>
      <c r="AI113" s="50"/>
      <c r="AJ113" s="50"/>
      <c r="AK113" s="50"/>
    </row>
    <row r="114" spans="1:37" x14ac:dyDescent="0.2">
      <c r="A114" s="50"/>
      <c r="B114" s="50"/>
      <c r="C114" s="50"/>
      <c r="D114" s="50"/>
      <c r="E114" s="50"/>
      <c r="F114" s="50"/>
      <c r="G114" s="50"/>
      <c r="H114" s="50"/>
      <c r="I114" s="50"/>
      <c r="J114" s="50"/>
      <c r="K114" s="50"/>
      <c r="L114" s="50"/>
      <c r="M114" s="52"/>
      <c r="N114" s="51"/>
      <c r="O114" s="51"/>
      <c r="P114" s="53">
        <f t="shared" si="7"/>
        <v>0</v>
      </c>
      <c r="Q114" s="50"/>
      <c r="R114" s="50"/>
      <c r="S114" s="51"/>
      <c r="T114" s="50"/>
      <c r="U114" s="50"/>
      <c r="V114" s="50"/>
      <c r="W114" s="50"/>
      <c r="X114" s="50"/>
      <c r="Y114" s="50"/>
      <c r="Z114" s="50"/>
      <c r="AA114" s="50"/>
      <c r="AB114" s="50"/>
      <c r="AC114" s="53">
        <f t="shared" si="8"/>
        <v>0</v>
      </c>
      <c r="AD114" s="53">
        <f t="shared" si="9"/>
        <v>0</v>
      </c>
      <c r="AE114" s="53">
        <f t="shared" si="10"/>
        <v>0</v>
      </c>
      <c r="AF114" s="53">
        <f t="shared" si="11"/>
        <v>0</v>
      </c>
      <c r="AG114" s="53">
        <f t="shared" si="12"/>
        <v>0</v>
      </c>
      <c r="AH114" s="53">
        <f t="shared" si="13"/>
        <v>0</v>
      </c>
      <c r="AI114" s="50"/>
      <c r="AJ114" s="50"/>
      <c r="AK114" s="50"/>
    </row>
    <row r="115" spans="1:37" x14ac:dyDescent="0.2">
      <c r="A115" s="50"/>
      <c r="B115" s="50"/>
      <c r="C115" s="50"/>
      <c r="D115" s="50"/>
      <c r="E115" s="50"/>
      <c r="F115" s="50"/>
      <c r="G115" s="50"/>
      <c r="H115" s="50"/>
      <c r="I115" s="50"/>
      <c r="J115" s="50"/>
      <c r="K115" s="50"/>
      <c r="L115" s="50"/>
      <c r="M115" s="52"/>
      <c r="N115" s="51"/>
      <c r="O115" s="51"/>
      <c r="P115" s="53">
        <f t="shared" si="7"/>
        <v>0</v>
      </c>
      <c r="Q115" s="50"/>
      <c r="R115" s="50"/>
      <c r="S115" s="51"/>
      <c r="T115" s="50"/>
      <c r="U115" s="50"/>
      <c r="V115" s="50"/>
      <c r="W115" s="50"/>
      <c r="X115" s="50"/>
      <c r="Y115" s="50"/>
      <c r="Z115" s="50"/>
      <c r="AA115" s="50"/>
      <c r="AB115" s="50"/>
      <c r="AC115" s="53">
        <f t="shared" si="8"/>
        <v>0</v>
      </c>
      <c r="AD115" s="53">
        <f t="shared" si="9"/>
        <v>0</v>
      </c>
      <c r="AE115" s="53">
        <f t="shared" si="10"/>
        <v>0</v>
      </c>
      <c r="AF115" s="53">
        <f t="shared" si="11"/>
        <v>0</v>
      </c>
      <c r="AG115" s="53">
        <f t="shared" si="12"/>
        <v>0</v>
      </c>
      <c r="AH115" s="53">
        <f t="shared" si="13"/>
        <v>0</v>
      </c>
      <c r="AI115" s="50"/>
      <c r="AJ115" s="50"/>
      <c r="AK115" s="50"/>
    </row>
    <row r="116" spans="1:37" x14ac:dyDescent="0.2">
      <c r="A116" s="50"/>
      <c r="B116" s="50"/>
      <c r="C116" s="50"/>
      <c r="D116" s="50"/>
      <c r="E116" s="50"/>
      <c r="F116" s="50"/>
      <c r="G116" s="50"/>
      <c r="H116" s="50"/>
      <c r="I116" s="50"/>
      <c r="J116" s="50"/>
      <c r="K116" s="50"/>
      <c r="L116" s="50"/>
      <c r="M116" s="52"/>
      <c r="N116" s="51"/>
      <c r="O116" s="51"/>
      <c r="P116" s="53">
        <f t="shared" si="7"/>
        <v>0</v>
      </c>
      <c r="Q116" s="50"/>
      <c r="R116" s="50"/>
      <c r="S116" s="51"/>
      <c r="T116" s="50"/>
      <c r="U116" s="50"/>
      <c r="V116" s="50"/>
      <c r="W116" s="50"/>
      <c r="X116" s="50"/>
      <c r="Y116" s="50"/>
      <c r="Z116" s="50"/>
      <c r="AA116" s="50"/>
      <c r="AB116" s="50"/>
      <c r="AC116" s="53">
        <f t="shared" si="8"/>
        <v>0</v>
      </c>
      <c r="AD116" s="53">
        <f t="shared" si="9"/>
        <v>0</v>
      </c>
      <c r="AE116" s="53">
        <f t="shared" si="10"/>
        <v>0</v>
      </c>
      <c r="AF116" s="53">
        <f t="shared" si="11"/>
        <v>0</v>
      </c>
      <c r="AG116" s="53">
        <f t="shared" si="12"/>
        <v>0</v>
      </c>
      <c r="AH116" s="53">
        <f t="shared" si="13"/>
        <v>0</v>
      </c>
      <c r="AI116" s="50"/>
      <c r="AJ116" s="50"/>
      <c r="AK116" s="50"/>
    </row>
    <row r="117" spans="1:37" x14ac:dyDescent="0.2">
      <c r="A117" s="50"/>
      <c r="B117" s="50"/>
      <c r="C117" s="50"/>
      <c r="D117" s="50"/>
      <c r="E117" s="50"/>
      <c r="F117" s="50"/>
      <c r="G117" s="50"/>
      <c r="H117" s="50"/>
      <c r="I117" s="50"/>
      <c r="J117" s="50"/>
      <c r="K117" s="50"/>
      <c r="L117" s="50"/>
      <c r="M117" s="52"/>
      <c r="N117" s="51"/>
      <c r="O117" s="51"/>
      <c r="P117" s="53">
        <f t="shared" si="7"/>
        <v>0</v>
      </c>
      <c r="Q117" s="50"/>
      <c r="R117" s="50"/>
      <c r="S117" s="51"/>
      <c r="T117" s="50"/>
      <c r="U117" s="50"/>
      <c r="V117" s="50"/>
      <c r="W117" s="50"/>
      <c r="X117" s="50"/>
      <c r="Y117" s="50"/>
      <c r="Z117" s="50"/>
      <c r="AA117" s="50"/>
      <c r="AB117" s="50"/>
      <c r="AC117" s="53">
        <f t="shared" si="8"/>
        <v>0</v>
      </c>
      <c r="AD117" s="53">
        <f t="shared" si="9"/>
        <v>0</v>
      </c>
      <c r="AE117" s="53">
        <f t="shared" si="10"/>
        <v>0</v>
      </c>
      <c r="AF117" s="53">
        <f t="shared" si="11"/>
        <v>0</v>
      </c>
      <c r="AG117" s="53">
        <f t="shared" si="12"/>
        <v>0</v>
      </c>
      <c r="AH117" s="53">
        <f t="shared" si="13"/>
        <v>0</v>
      </c>
      <c r="AI117" s="50"/>
      <c r="AJ117" s="50"/>
      <c r="AK117" s="50"/>
    </row>
    <row r="118" spans="1:37" x14ac:dyDescent="0.2">
      <c r="A118" s="50"/>
      <c r="B118" s="50"/>
      <c r="C118" s="50"/>
      <c r="D118" s="50"/>
      <c r="E118" s="50"/>
      <c r="F118" s="50"/>
      <c r="G118" s="50"/>
      <c r="H118" s="50"/>
      <c r="I118" s="50"/>
      <c r="J118" s="50"/>
      <c r="K118" s="50"/>
      <c r="L118" s="50"/>
      <c r="M118" s="52"/>
      <c r="N118" s="51"/>
      <c r="O118" s="51"/>
      <c r="P118" s="53">
        <f t="shared" si="7"/>
        <v>0</v>
      </c>
      <c r="Q118" s="50"/>
      <c r="R118" s="50"/>
      <c r="S118" s="51"/>
      <c r="T118" s="50"/>
      <c r="U118" s="50"/>
      <c r="V118" s="50"/>
      <c r="W118" s="50"/>
      <c r="X118" s="50"/>
      <c r="Y118" s="50"/>
      <c r="Z118" s="50"/>
      <c r="AA118" s="50"/>
      <c r="AB118" s="50"/>
      <c r="AC118" s="53">
        <f t="shared" si="8"/>
        <v>0</v>
      </c>
      <c r="AD118" s="53">
        <f t="shared" si="9"/>
        <v>0</v>
      </c>
      <c r="AE118" s="53">
        <f t="shared" si="10"/>
        <v>0</v>
      </c>
      <c r="AF118" s="53">
        <f t="shared" si="11"/>
        <v>0</v>
      </c>
      <c r="AG118" s="53">
        <f t="shared" si="12"/>
        <v>0</v>
      </c>
      <c r="AH118" s="53">
        <f t="shared" si="13"/>
        <v>0</v>
      </c>
      <c r="AI118" s="50"/>
      <c r="AJ118" s="50"/>
      <c r="AK118" s="50"/>
    </row>
    <row r="119" spans="1:37" x14ac:dyDescent="0.2">
      <c r="A119" s="50"/>
      <c r="B119" s="50"/>
      <c r="C119" s="50"/>
      <c r="D119" s="50"/>
      <c r="E119" s="50"/>
      <c r="F119" s="50"/>
      <c r="G119" s="50"/>
      <c r="H119" s="50"/>
      <c r="I119" s="50"/>
      <c r="J119" s="50"/>
      <c r="K119" s="50"/>
      <c r="L119" s="50"/>
      <c r="M119" s="52"/>
      <c r="N119" s="51"/>
      <c r="O119" s="51"/>
      <c r="P119" s="53">
        <f t="shared" si="7"/>
        <v>0</v>
      </c>
      <c r="Q119" s="50"/>
      <c r="R119" s="50"/>
      <c r="S119" s="51"/>
      <c r="T119" s="50"/>
      <c r="U119" s="50"/>
      <c r="V119" s="50"/>
      <c r="W119" s="50"/>
      <c r="X119" s="50"/>
      <c r="Y119" s="50"/>
      <c r="Z119" s="50"/>
      <c r="AA119" s="50"/>
      <c r="AB119" s="50"/>
      <c r="AC119" s="53">
        <f t="shared" si="8"/>
        <v>0</v>
      </c>
      <c r="AD119" s="53">
        <f t="shared" si="9"/>
        <v>0</v>
      </c>
      <c r="AE119" s="53">
        <f t="shared" si="10"/>
        <v>0</v>
      </c>
      <c r="AF119" s="53">
        <f t="shared" si="11"/>
        <v>0</v>
      </c>
      <c r="AG119" s="53">
        <f t="shared" si="12"/>
        <v>0</v>
      </c>
      <c r="AH119" s="53">
        <f t="shared" si="13"/>
        <v>0</v>
      </c>
      <c r="AI119" s="50"/>
      <c r="AJ119" s="50"/>
      <c r="AK119" s="50"/>
    </row>
    <row r="120" spans="1:37" x14ac:dyDescent="0.2">
      <c r="A120" s="50"/>
      <c r="B120" s="50"/>
      <c r="C120" s="50"/>
      <c r="D120" s="50"/>
      <c r="E120" s="50"/>
      <c r="F120" s="50"/>
      <c r="G120" s="50"/>
      <c r="H120" s="50"/>
      <c r="I120" s="50"/>
      <c r="J120" s="50"/>
      <c r="K120" s="50"/>
      <c r="L120" s="50"/>
      <c r="M120" s="52"/>
      <c r="N120" s="51"/>
      <c r="O120" s="51"/>
      <c r="P120" s="53">
        <f t="shared" si="7"/>
        <v>0</v>
      </c>
      <c r="Q120" s="50"/>
      <c r="R120" s="50"/>
      <c r="S120" s="51"/>
      <c r="T120" s="50"/>
      <c r="U120" s="50"/>
      <c r="V120" s="50"/>
      <c r="W120" s="50"/>
      <c r="X120" s="50"/>
      <c r="Y120" s="50"/>
      <c r="Z120" s="50"/>
      <c r="AA120" s="50"/>
      <c r="AB120" s="50"/>
      <c r="AC120" s="53">
        <f t="shared" si="8"/>
        <v>0</v>
      </c>
      <c r="AD120" s="53">
        <f t="shared" si="9"/>
        <v>0</v>
      </c>
      <c r="AE120" s="53">
        <f t="shared" si="10"/>
        <v>0</v>
      </c>
      <c r="AF120" s="53">
        <f t="shared" si="11"/>
        <v>0</v>
      </c>
      <c r="AG120" s="53">
        <f t="shared" si="12"/>
        <v>0</v>
      </c>
      <c r="AH120" s="53">
        <f t="shared" si="13"/>
        <v>0</v>
      </c>
      <c r="AI120" s="50"/>
      <c r="AJ120" s="50"/>
      <c r="AK120" s="50"/>
    </row>
    <row r="121" spans="1:37" x14ac:dyDescent="0.2">
      <c r="A121" s="50"/>
      <c r="B121" s="50"/>
      <c r="C121" s="50"/>
      <c r="D121" s="50"/>
      <c r="E121" s="50"/>
      <c r="F121" s="50"/>
      <c r="G121" s="50"/>
      <c r="H121" s="50"/>
      <c r="I121" s="50"/>
      <c r="J121" s="50"/>
      <c r="K121" s="50"/>
      <c r="L121" s="50"/>
      <c r="M121" s="52"/>
      <c r="N121" s="51"/>
      <c r="O121" s="51"/>
      <c r="P121" s="53">
        <f t="shared" si="7"/>
        <v>0</v>
      </c>
      <c r="Q121" s="50"/>
      <c r="R121" s="50"/>
      <c r="S121" s="51"/>
      <c r="T121" s="50"/>
      <c r="U121" s="50"/>
      <c r="V121" s="50"/>
      <c r="W121" s="50"/>
      <c r="X121" s="50"/>
      <c r="Y121" s="50"/>
      <c r="Z121" s="50"/>
      <c r="AA121" s="50"/>
      <c r="AB121" s="50"/>
      <c r="AC121" s="53">
        <f t="shared" si="8"/>
        <v>0</v>
      </c>
      <c r="AD121" s="53">
        <f t="shared" si="9"/>
        <v>0</v>
      </c>
      <c r="AE121" s="53">
        <f t="shared" si="10"/>
        <v>0</v>
      </c>
      <c r="AF121" s="53">
        <f t="shared" si="11"/>
        <v>0</v>
      </c>
      <c r="AG121" s="53">
        <f t="shared" si="12"/>
        <v>0</v>
      </c>
      <c r="AH121" s="53">
        <f t="shared" si="13"/>
        <v>0</v>
      </c>
      <c r="AI121" s="50"/>
      <c r="AJ121" s="50"/>
      <c r="AK121" s="50"/>
    </row>
    <row r="122" spans="1:37" x14ac:dyDescent="0.2">
      <c r="A122" s="50"/>
      <c r="B122" s="50"/>
      <c r="C122" s="50"/>
      <c r="D122" s="50"/>
      <c r="E122" s="50"/>
      <c r="F122" s="50"/>
      <c r="G122" s="50"/>
      <c r="H122" s="50"/>
      <c r="I122" s="50"/>
      <c r="J122" s="50"/>
      <c r="K122" s="50"/>
      <c r="L122" s="50"/>
      <c r="M122" s="52"/>
      <c r="N122" s="51"/>
      <c r="O122" s="51"/>
      <c r="P122" s="53">
        <f t="shared" si="7"/>
        <v>0</v>
      </c>
      <c r="Q122" s="50"/>
      <c r="R122" s="50"/>
      <c r="S122" s="51"/>
      <c r="T122" s="50"/>
      <c r="U122" s="50"/>
      <c r="V122" s="50"/>
      <c r="W122" s="50"/>
      <c r="X122" s="50"/>
      <c r="Y122" s="50"/>
      <c r="Z122" s="50"/>
      <c r="AA122" s="50"/>
      <c r="AB122" s="50"/>
      <c r="AC122" s="53">
        <f t="shared" si="8"/>
        <v>0</v>
      </c>
      <c r="AD122" s="53">
        <f t="shared" si="9"/>
        <v>0</v>
      </c>
      <c r="AE122" s="53">
        <f t="shared" si="10"/>
        <v>0</v>
      </c>
      <c r="AF122" s="53">
        <f t="shared" si="11"/>
        <v>0</v>
      </c>
      <c r="AG122" s="53">
        <f t="shared" si="12"/>
        <v>0</v>
      </c>
      <c r="AH122" s="53">
        <f t="shared" si="13"/>
        <v>0</v>
      </c>
      <c r="AI122" s="50"/>
      <c r="AJ122" s="50"/>
      <c r="AK122" s="50"/>
    </row>
    <row r="123" spans="1:37" x14ac:dyDescent="0.2">
      <c r="A123" s="50"/>
      <c r="B123" s="50"/>
      <c r="C123" s="50"/>
      <c r="D123" s="50"/>
      <c r="E123" s="50"/>
      <c r="F123" s="50"/>
      <c r="G123" s="50"/>
      <c r="H123" s="50"/>
      <c r="I123" s="50"/>
      <c r="J123" s="50"/>
      <c r="K123" s="50"/>
      <c r="L123" s="50"/>
      <c r="M123" s="52"/>
      <c r="N123" s="51"/>
      <c r="O123" s="51"/>
      <c r="P123" s="53">
        <f t="shared" si="7"/>
        <v>0</v>
      </c>
      <c r="Q123" s="50"/>
      <c r="R123" s="50"/>
      <c r="S123" s="51"/>
      <c r="T123" s="50"/>
      <c r="U123" s="50"/>
      <c r="V123" s="50"/>
      <c r="W123" s="50"/>
      <c r="X123" s="50"/>
      <c r="Y123" s="50"/>
      <c r="Z123" s="50"/>
      <c r="AA123" s="50"/>
      <c r="AB123" s="50"/>
      <c r="AC123" s="53">
        <f t="shared" si="8"/>
        <v>0</v>
      </c>
      <c r="AD123" s="53">
        <f t="shared" si="9"/>
        <v>0</v>
      </c>
      <c r="AE123" s="53">
        <f t="shared" si="10"/>
        <v>0</v>
      </c>
      <c r="AF123" s="53">
        <f t="shared" si="11"/>
        <v>0</v>
      </c>
      <c r="AG123" s="53">
        <f t="shared" si="12"/>
        <v>0</v>
      </c>
      <c r="AH123" s="53">
        <f t="shared" si="13"/>
        <v>0</v>
      </c>
      <c r="AI123" s="50"/>
      <c r="AJ123" s="50"/>
      <c r="AK123" s="50"/>
    </row>
    <row r="124" spans="1:37" x14ac:dyDescent="0.2">
      <c r="A124" s="50"/>
      <c r="B124" s="50"/>
      <c r="C124" s="50"/>
      <c r="D124" s="50"/>
      <c r="E124" s="50"/>
      <c r="F124" s="50"/>
      <c r="G124" s="50"/>
      <c r="H124" s="50"/>
      <c r="I124" s="50"/>
      <c r="J124" s="50"/>
      <c r="K124" s="50"/>
      <c r="L124" s="50"/>
      <c r="M124" s="52"/>
      <c r="N124" s="51"/>
      <c r="O124" s="51"/>
      <c r="P124" s="53">
        <f t="shared" si="7"/>
        <v>0</v>
      </c>
      <c r="Q124" s="50"/>
      <c r="R124" s="50"/>
      <c r="S124" s="51"/>
      <c r="T124" s="50"/>
      <c r="U124" s="50"/>
      <c r="V124" s="50"/>
      <c r="W124" s="50"/>
      <c r="X124" s="50"/>
      <c r="Y124" s="50"/>
      <c r="Z124" s="50"/>
      <c r="AA124" s="50"/>
      <c r="AB124" s="50"/>
      <c r="AC124" s="53">
        <f t="shared" si="8"/>
        <v>0</v>
      </c>
      <c r="AD124" s="53">
        <f t="shared" si="9"/>
        <v>0</v>
      </c>
      <c r="AE124" s="53">
        <f t="shared" si="10"/>
        <v>0</v>
      </c>
      <c r="AF124" s="53">
        <f t="shared" si="11"/>
        <v>0</v>
      </c>
      <c r="AG124" s="53">
        <f t="shared" si="12"/>
        <v>0</v>
      </c>
      <c r="AH124" s="53">
        <f t="shared" si="13"/>
        <v>0</v>
      </c>
      <c r="AI124" s="50"/>
      <c r="AJ124" s="50"/>
      <c r="AK124" s="50"/>
    </row>
    <row r="125" spans="1:37" x14ac:dyDescent="0.2">
      <c r="A125" s="50"/>
      <c r="B125" s="50"/>
      <c r="C125" s="50"/>
      <c r="D125" s="50"/>
      <c r="E125" s="50"/>
      <c r="F125" s="50"/>
      <c r="G125" s="50"/>
      <c r="H125" s="50"/>
      <c r="I125" s="50"/>
      <c r="J125" s="50"/>
      <c r="K125" s="50"/>
      <c r="L125" s="50"/>
      <c r="M125" s="52"/>
      <c r="N125" s="51"/>
      <c r="O125" s="51"/>
      <c r="P125" s="53">
        <f t="shared" si="7"/>
        <v>0</v>
      </c>
      <c r="Q125" s="50"/>
      <c r="R125" s="50"/>
      <c r="S125" s="51"/>
      <c r="T125" s="50"/>
      <c r="U125" s="50"/>
      <c r="V125" s="50"/>
      <c r="W125" s="50"/>
      <c r="X125" s="50"/>
      <c r="Y125" s="50"/>
      <c r="Z125" s="50"/>
      <c r="AA125" s="50"/>
      <c r="AB125" s="50"/>
      <c r="AC125" s="53">
        <f t="shared" si="8"/>
        <v>0</v>
      </c>
      <c r="AD125" s="53">
        <f t="shared" si="9"/>
        <v>0</v>
      </c>
      <c r="AE125" s="53">
        <f t="shared" si="10"/>
        <v>0</v>
      </c>
      <c r="AF125" s="53">
        <f t="shared" si="11"/>
        <v>0</v>
      </c>
      <c r="AG125" s="53">
        <f t="shared" si="12"/>
        <v>0</v>
      </c>
      <c r="AH125" s="53">
        <f t="shared" si="13"/>
        <v>0</v>
      </c>
      <c r="AI125" s="50"/>
      <c r="AJ125" s="50"/>
      <c r="AK125" s="50"/>
    </row>
    <row r="126" spans="1:37" x14ac:dyDescent="0.2">
      <c r="A126" s="50"/>
      <c r="B126" s="50"/>
      <c r="C126" s="50"/>
      <c r="D126" s="50"/>
      <c r="E126" s="50"/>
      <c r="F126" s="50"/>
      <c r="G126" s="50"/>
      <c r="H126" s="50"/>
      <c r="I126" s="50"/>
      <c r="J126" s="50"/>
      <c r="K126" s="50"/>
      <c r="L126" s="50"/>
      <c r="M126" s="52"/>
      <c r="N126" s="51"/>
      <c r="O126" s="51"/>
      <c r="P126" s="53">
        <f t="shared" si="7"/>
        <v>0</v>
      </c>
      <c r="Q126" s="50"/>
      <c r="R126" s="50"/>
      <c r="S126" s="51"/>
      <c r="T126" s="50"/>
      <c r="U126" s="50"/>
      <c r="V126" s="50"/>
      <c r="W126" s="50"/>
      <c r="X126" s="50"/>
      <c r="Y126" s="50"/>
      <c r="Z126" s="50"/>
      <c r="AA126" s="50"/>
      <c r="AB126" s="50"/>
      <c r="AC126" s="53">
        <f t="shared" si="8"/>
        <v>0</v>
      </c>
      <c r="AD126" s="53">
        <f t="shared" si="9"/>
        <v>0</v>
      </c>
      <c r="AE126" s="53">
        <f t="shared" si="10"/>
        <v>0</v>
      </c>
      <c r="AF126" s="53">
        <f t="shared" si="11"/>
        <v>0</v>
      </c>
      <c r="AG126" s="53">
        <f t="shared" si="12"/>
        <v>0</v>
      </c>
      <c r="AH126" s="53">
        <f t="shared" si="13"/>
        <v>0</v>
      </c>
      <c r="AI126" s="50"/>
      <c r="AJ126" s="50"/>
      <c r="AK126" s="50"/>
    </row>
    <row r="127" spans="1:37" x14ac:dyDescent="0.2">
      <c r="A127" s="50"/>
      <c r="B127" s="50"/>
      <c r="C127" s="50"/>
      <c r="D127" s="50"/>
      <c r="E127" s="50"/>
      <c r="F127" s="50"/>
      <c r="G127" s="50"/>
      <c r="H127" s="50"/>
      <c r="I127" s="50"/>
      <c r="J127" s="50"/>
      <c r="K127" s="50"/>
      <c r="L127" s="50"/>
      <c r="M127" s="52"/>
      <c r="N127" s="51"/>
      <c r="O127" s="51"/>
      <c r="P127" s="53">
        <f t="shared" si="7"/>
        <v>0</v>
      </c>
      <c r="Q127" s="50"/>
      <c r="R127" s="50"/>
      <c r="S127" s="51"/>
      <c r="T127" s="50"/>
      <c r="U127" s="50"/>
      <c r="V127" s="50"/>
      <c r="W127" s="50"/>
      <c r="X127" s="50"/>
      <c r="Y127" s="50"/>
      <c r="Z127" s="50"/>
      <c r="AA127" s="50"/>
      <c r="AB127" s="50"/>
      <c r="AC127" s="53">
        <f t="shared" si="8"/>
        <v>0</v>
      </c>
      <c r="AD127" s="53">
        <f t="shared" si="9"/>
        <v>0</v>
      </c>
      <c r="AE127" s="53">
        <f t="shared" si="10"/>
        <v>0</v>
      </c>
      <c r="AF127" s="53">
        <f t="shared" si="11"/>
        <v>0</v>
      </c>
      <c r="AG127" s="53">
        <f t="shared" si="12"/>
        <v>0</v>
      </c>
      <c r="AH127" s="53">
        <f t="shared" si="13"/>
        <v>0</v>
      </c>
      <c r="AI127" s="50"/>
      <c r="AJ127" s="50"/>
      <c r="AK127" s="50"/>
    </row>
    <row r="128" spans="1:37" x14ac:dyDescent="0.2">
      <c r="A128" s="50"/>
      <c r="B128" s="50"/>
      <c r="C128" s="50"/>
      <c r="D128" s="50"/>
      <c r="E128" s="50"/>
      <c r="F128" s="50"/>
      <c r="G128" s="50"/>
      <c r="H128" s="50"/>
      <c r="I128" s="50"/>
      <c r="J128" s="50"/>
      <c r="K128" s="50"/>
      <c r="L128" s="50"/>
      <c r="M128" s="52"/>
      <c r="N128" s="51"/>
      <c r="O128" s="51"/>
      <c r="P128" s="53">
        <f t="shared" si="7"/>
        <v>0</v>
      </c>
      <c r="Q128" s="50"/>
      <c r="R128" s="50"/>
      <c r="S128" s="51"/>
      <c r="T128" s="50"/>
      <c r="U128" s="50"/>
      <c r="V128" s="50"/>
      <c r="W128" s="50"/>
      <c r="X128" s="50"/>
      <c r="Y128" s="50"/>
      <c r="Z128" s="50"/>
      <c r="AA128" s="50"/>
      <c r="AB128" s="50"/>
      <c r="AC128" s="53">
        <f t="shared" si="8"/>
        <v>0</v>
      </c>
      <c r="AD128" s="53">
        <f t="shared" si="9"/>
        <v>0</v>
      </c>
      <c r="AE128" s="53">
        <f t="shared" si="10"/>
        <v>0</v>
      </c>
      <c r="AF128" s="53">
        <f t="shared" si="11"/>
        <v>0</v>
      </c>
      <c r="AG128" s="53">
        <f t="shared" si="12"/>
        <v>0</v>
      </c>
      <c r="AH128" s="53">
        <f t="shared" si="13"/>
        <v>0</v>
      </c>
      <c r="AI128" s="50"/>
      <c r="AJ128" s="50"/>
      <c r="AK128" s="50"/>
    </row>
    <row r="129" spans="1:37" x14ac:dyDescent="0.2">
      <c r="A129" s="50"/>
      <c r="B129" s="50"/>
      <c r="C129" s="50"/>
      <c r="D129" s="50"/>
      <c r="E129" s="50"/>
      <c r="F129" s="50"/>
      <c r="G129" s="50"/>
      <c r="H129" s="50"/>
      <c r="I129" s="50"/>
      <c r="J129" s="50"/>
      <c r="K129" s="50"/>
      <c r="L129" s="50"/>
      <c r="M129" s="52"/>
      <c r="N129" s="51"/>
      <c r="O129" s="51"/>
      <c r="P129" s="53">
        <f t="shared" si="7"/>
        <v>0</v>
      </c>
      <c r="Q129" s="50"/>
      <c r="R129" s="50"/>
      <c r="S129" s="51"/>
      <c r="T129" s="50"/>
      <c r="U129" s="50"/>
      <c r="V129" s="50"/>
      <c r="W129" s="50"/>
      <c r="X129" s="50"/>
      <c r="Y129" s="50"/>
      <c r="Z129" s="50"/>
      <c r="AA129" s="50"/>
      <c r="AB129" s="50"/>
      <c r="AC129" s="53">
        <f t="shared" si="8"/>
        <v>0</v>
      </c>
      <c r="AD129" s="53">
        <f t="shared" si="9"/>
        <v>0</v>
      </c>
      <c r="AE129" s="53">
        <f t="shared" si="10"/>
        <v>0</v>
      </c>
      <c r="AF129" s="53">
        <f t="shared" si="11"/>
        <v>0</v>
      </c>
      <c r="AG129" s="53">
        <f t="shared" si="12"/>
        <v>0</v>
      </c>
      <c r="AH129" s="53">
        <f t="shared" si="13"/>
        <v>0</v>
      </c>
      <c r="AI129" s="50"/>
      <c r="AJ129" s="50"/>
      <c r="AK129" s="50"/>
    </row>
    <row r="130" spans="1:37" x14ac:dyDescent="0.2">
      <c r="A130" s="50"/>
      <c r="B130" s="50"/>
      <c r="C130" s="50"/>
      <c r="D130" s="50"/>
      <c r="E130" s="50"/>
      <c r="F130" s="50"/>
      <c r="G130" s="50"/>
      <c r="H130" s="50"/>
      <c r="I130" s="50"/>
      <c r="J130" s="50"/>
      <c r="K130" s="50"/>
      <c r="L130" s="50"/>
      <c r="M130" s="52"/>
      <c r="N130" s="51"/>
      <c r="O130" s="51"/>
      <c r="P130" s="53">
        <f t="shared" si="7"/>
        <v>0</v>
      </c>
      <c r="Q130" s="50"/>
      <c r="R130" s="50"/>
      <c r="S130" s="51"/>
      <c r="T130" s="50"/>
      <c r="U130" s="50"/>
      <c r="V130" s="50"/>
      <c r="W130" s="50"/>
      <c r="X130" s="50"/>
      <c r="Y130" s="50"/>
      <c r="Z130" s="50"/>
      <c r="AA130" s="50"/>
      <c r="AB130" s="50"/>
      <c r="AC130" s="53">
        <f t="shared" si="8"/>
        <v>0</v>
      </c>
      <c r="AD130" s="53">
        <f t="shared" si="9"/>
        <v>0</v>
      </c>
      <c r="AE130" s="53">
        <f t="shared" si="10"/>
        <v>0</v>
      </c>
      <c r="AF130" s="53">
        <f t="shared" si="11"/>
        <v>0</v>
      </c>
      <c r="AG130" s="53">
        <f t="shared" si="12"/>
        <v>0</v>
      </c>
      <c r="AH130" s="53">
        <f t="shared" si="13"/>
        <v>0</v>
      </c>
      <c r="AI130" s="50"/>
      <c r="AJ130" s="50"/>
      <c r="AK130" s="50"/>
    </row>
    <row r="131" spans="1:37" x14ac:dyDescent="0.2">
      <c r="A131" s="50"/>
      <c r="B131" s="50"/>
      <c r="C131" s="50"/>
      <c r="D131" s="50"/>
      <c r="E131" s="50"/>
      <c r="F131" s="50"/>
      <c r="G131" s="50"/>
      <c r="H131" s="50"/>
      <c r="I131" s="50"/>
      <c r="J131" s="50"/>
      <c r="K131" s="50"/>
      <c r="L131" s="50"/>
      <c r="M131" s="52"/>
      <c r="N131" s="51"/>
      <c r="O131" s="51"/>
      <c r="P131" s="53">
        <f t="shared" si="7"/>
        <v>0</v>
      </c>
      <c r="Q131" s="50"/>
      <c r="R131" s="50"/>
      <c r="S131" s="51"/>
      <c r="T131" s="50"/>
      <c r="U131" s="50"/>
      <c r="V131" s="50"/>
      <c r="W131" s="50"/>
      <c r="X131" s="50"/>
      <c r="Y131" s="50"/>
      <c r="Z131" s="50"/>
      <c r="AA131" s="50"/>
      <c r="AB131" s="50"/>
      <c r="AC131" s="53">
        <f t="shared" si="8"/>
        <v>0</v>
      </c>
      <c r="AD131" s="53">
        <f t="shared" si="9"/>
        <v>0</v>
      </c>
      <c r="AE131" s="53">
        <f t="shared" si="10"/>
        <v>0</v>
      </c>
      <c r="AF131" s="53">
        <f t="shared" si="11"/>
        <v>0</v>
      </c>
      <c r="AG131" s="53">
        <f t="shared" si="12"/>
        <v>0</v>
      </c>
      <c r="AH131" s="53">
        <f t="shared" si="13"/>
        <v>0</v>
      </c>
      <c r="AI131" s="50"/>
      <c r="AJ131" s="50"/>
      <c r="AK131" s="50"/>
    </row>
    <row r="132" spans="1:37" x14ac:dyDescent="0.2">
      <c r="A132" s="50"/>
      <c r="B132" s="50"/>
      <c r="C132" s="50"/>
      <c r="D132" s="50"/>
      <c r="E132" s="50"/>
      <c r="F132" s="50"/>
      <c r="G132" s="50"/>
      <c r="H132" s="50"/>
      <c r="I132" s="50"/>
      <c r="J132" s="50"/>
      <c r="K132" s="50"/>
      <c r="L132" s="50"/>
      <c r="M132" s="52"/>
      <c r="N132" s="51"/>
      <c r="O132" s="51"/>
      <c r="P132" s="53">
        <f t="shared" si="7"/>
        <v>0</v>
      </c>
      <c r="Q132" s="50"/>
      <c r="R132" s="50"/>
      <c r="S132" s="51"/>
      <c r="T132" s="50"/>
      <c r="U132" s="50"/>
      <c r="V132" s="50"/>
      <c r="W132" s="50"/>
      <c r="X132" s="50"/>
      <c r="Y132" s="50"/>
      <c r="Z132" s="50"/>
      <c r="AA132" s="50"/>
      <c r="AB132" s="50"/>
      <c r="AC132" s="53">
        <f t="shared" si="8"/>
        <v>0</v>
      </c>
      <c r="AD132" s="53">
        <f t="shared" si="9"/>
        <v>0</v>
      </c>
      <c r="AE132" s="53">
        <f t="shared" si="10"/>
        <v>0</v>
      </c>
      <c r="AF132" s="53">
        <f t="shared" si="11"/>
        <v>0</v>
      </c>
      <c r="AG132" s="53">
        <f t="shared" si="12"/>
        <v>0</v>
      </c>
      <c r="AH132" s="53">
        <f t="shared" si="13"/>
        <v>0</v>
      </c>
      <c r="AI132" s="50"/>
      <c r="AJ132" s="50"/>
      <c r="AK132" s="50"/>
    </row>
    <row r="133" spans="1:37" x14ac:dyDescent="0.2">
      <c r="A133" s="50"/>
      <c r="B133" s="50"/>
      <c r="C133" s="50"/>
      <c r="D133" s="50"/>
      <c r="E133" s="50"/>
      <c r="F133" s="50"/>
      <c r="G133" s="50"/>
      <c r="H133" s="50"/>
      <c r="I133" s="50"/>
      <c r="J133" s="50"/>
      <c r="K133" s="50"/>
      <c r="L133" s="50"/>
      <c r="M133" s="52"/>
      <c r="N133" s="51"/>
      <c r="O133" s="51"/>
      <c r="P133" s="53">
        <f t="shared" ref="P133:P196" si="14">IF(OR(M133="",M133=0),0,M133*(1-N133)*(1+O133))</f>
        <v>0</v>
      </c>
      <c r="Q133" s="50"/>
      <c r="R133" s="50"/>
      <c r="S133" s="51"/>
      <c r="T133" s="50"/>
      <c r="U133" s="50"/>
      <c r="V133" s="50"/>
      <c r="W133" s="50"/>
      <c r="X133" s="50"/>
      <c r="Y133" s="50"/>
      <c r="Z133" s="50"/>
      <c r="AA133" s="50"/>
      <c r="AB133" s="50"/>
      <c r="AC133" s="53">
        <f t="shared" ref="AC133:AC196" si="15">IFERROR(X133*$P133,0)</f>
        <v>0</v>
      </c>
      <c r="AD133" s="53">
        <f t="shared" ref="AD133:AD196" si="16">IFERROR(Y133*$P133,0)</f>
        <v>0</v>
      </c>
      <c r="AE133" s="53">
        <f t="shared" ref="AE133:AE196" si="17">IFERROR(Z133*$P133,0)</f>
        <v>0</v>
      </c>
      <c r="AF133" s="53">
        <f t="shared" ref="AF133:AF196" si="18">IFERROR(AA133*$P133,0)</f>
        <v>0</v>
      </c>
      <c r="AG133" s="53">
        <f t="shared" ref="AG133:AG196" si="19">IFERROR(AB133*$P133,0)</f>
        <v>0</v>
      </c>
      <c r="AH133" s="53">
        <f t="shared" ref="AH133:AH196" si="20">SUM(AC133:AG133)</f>
        <v>0</v>
      </c>
      <c r="AI133" s="50"/>
      <c r="AJ133" s="50"/>
      <c r="AK133" s="50"/>
    </row>
    <row r="134" spans="1:37" x14ac:dyDescent="0.2">
      <c r="A134" s="50"/>
      <c r="B134" s="50"/>
      <c r="C134" s="50"/>
      <c r="D134" s="50"/>
      <c r="E134" s="50"/>
      <c r="F134" s="50"/>
      <c r="G134" s="50"/>
      <c r="H134" s="50"/>
      <c r="I134" s="50"/>
      <c r="J134" s="50"/>
      <c r="K134" s="50"/>
      <c r="L134" s="50"/>
      <c r="M134" s="52"/>
      <c r="N134" s="51"/>
      <c r="O134" s="51"/>
      <c r="P134" s="53">
        <f t="shared" si="14"/>
        <v>0</v>
      </c>
      <c r="Q134" s="50"/>
      <c r="R134" s="50"/>
      <c r="S134" s="51"/>
      <c r="T134" s="50"/>
      <c r="U134" s="50"/>
      <c r="V134" s="50"/>
      <c r="W134" s="50"/>
      <c r="X134" s="50"/>
      <c r="Y134" s="50"/>
      <c r="Z134" s="50"/>
      <c r="AA134" s="50"/>
      <c r="AB134" s="50"/>
      <c r="AC134" s="53">
        <f t="shared" si="15"/>
        <v>0</v>
      </c>
      <c r="AD134" s="53">
        <f t="shared" si="16"/>
        <v>0</v>
      </c>
      <c r="AE134" s="53">
        <f t="shared" si="17"/>
        <v>0</v>
      </c>
      <c r="AF134" s="53">
        <f t="shared" si="18"/>
        <v>0</v>
      </c>
      <c r="AG134" s="53">
        <f t="shared" si="19"/>
        <v>0</v>
      </c>
      <c r="AH134" s="53">
        <f t="shared" si="20"/>
        <v>0</v>
      </c>
      <c r="AI134" s="50"/>
      <c r="AJ134" s="50"/>
      <c r="AK134" s="50"/>
    </row>
    <row r="135" spans="1:37" x14ac:dyDescent="0.2">
      <c r="A135" s="50"/>
      <c r="B135" s="50"/>
      <c r="C135" s="50"/>
      <c r="D135" s="50"/>
      <c r="E135" s="50"/>
      <c r="F135" s="50"/>
      <c r="G135" s="50"/>
      <c r="H135" s="50"/>
      <c r="I135" s="50"/>
      <c r="J135" s="50"/>
      <c r="K135" s="50"/>
      <c r="L135" s="50"/>
      <c r="M135" s="52"/>
      <c r="N135" s="51"/>
      <c r="O135" s="51"/>
      <c r="P135" s="53">
        <f t="shared" si="14"/>
        <v>0</v>
      </c>
      <c r="Q135" s="50"/>
      <c r="R135" s="50"/>
      <c r="S135" s="51"/>
      <c r="T135" s="50"/>
      <c r="U135" s="50"/>
      <c r="V135" s="50"/>
      <c r="W135" s="50"/>
      <c r="X135" s="50"/>
      <c r="Y135" s="50"/>
      <c r="Z135" s="50"/>
      <c r="AA135" s="50"/>
      <c r="AB135" s="50"/>
      <c r="AC135" s="53">
        <f t="shared" si="15"/>
        <v>0</v>
      </c>
      <c r="AD135" s="53">
        <f t="shared" si="16"/>
        <v>0</v>
      </c>
      <c r="AE135" s="53">
        <f t="shared" si="17"/>
        <v>0</v>
      </c>
      <c r="AF135" s="53">
        <f t="shared" si="18"/>
        <v>0</v>
      </c>
      <c r="AG135" s="53">
        <f t="shared" si="19"/>
        <v>0</v>
      </c>
      <c r="AH135" s="53">
        <f t="shared" si="20"/>
        <v>0</v>
      </c>
      <c r="AI135" s="50"/>
      <c r="AJ135" s="50"/>
      <c r="AK135" s="50"/>
    </row>
    <row r="136" spans="1:37" x14ac:dyDescent="0.2">
      <c r="A136" s="50"/>
      <c r="B136" s="50"/>
      <c r="C136" s="50"/>
      <c r="D136" s="50"/>
      <c r="E136" s="50"/>
      <c r="F136" s="50"/>
      <c r="G136" s="50"/>
      <c r="H136" s="50"/>
      <c r="I136" s="50"/>
      <c r="J136" s="50"/>
      <c r="K136" s="50"/>
      <c r="L136" s="50"/>
      <c r="M136" s="52"/>
      <c r="N136" s="51"/>
      <c r="O136" s="51"/>
      <c r="P136" s="53">
        <f t="shared" si="14"/>
        <v>0</v>
      </c>
      <c r="Q136" s="50"/>
      <c r="R136" s="50"/>
      <c r="S136" s="51"/>
      <c r="T136" s="50"/>
      <c r="U136" s="50"/>
      <c r="V136" s="50"/>
      <c r="W136" s="50"/>
      <c r="X136" s="50"/>
      <c r="Y136" s="50"/>
      <c r="Z136" s="50"/>
      <c r="AA136" s="50"/>
      <c r="AB136" s="50"/>
      <c r="AC136" s="53">
        <f t="shared" si="15"/>
        <v>0</v>
      </c>
      <c r="AD136" s="53">
        <f t="shared" si="16"/>
        <v>0</v>
      </c>
      <c r="AE136" s="53">
        <f t="shared" si="17"/>
        <v>0</v>
      </c>
      <c r="AF136" s="53">
        <f t="shared" si="18"/>
        <v>0</v>
      </c>
      <c r="AG136" s="53">
        <f t="shared" si="19"/>
        <v>0</v>
      </c>
      <c r="AH136" s="53">
        <f t="shared" si="20"/>
        <v>0</v>
      </c>
      <c r="AI136" s="50"/>
      <c r="AJ136" s="50"/>
      <c r="AK136" s="50"/>
    </row>
    <row r="137" spans="1:37" x14ac:dyDescent="0.2">
      <c r="A137" s="50"/>
      <c r="B137" s="50"/>
      <c r="C137" s="50"/>
      <c r="D137" s="50"/>
      <c r="E137" s="50"/>
      <c r="F137" s="50"/>
      <c r="G137" s="50"/>
      <c r="H137" s="50"/>
      <c r="I137" s="50"/>
      <c r="J137" s="50"/>
      <c r="K137" s="50"/>
      <c r="L137" s="50"/>
      <c r="M137" s="52"/>
      <c r="N137" s="51"/>
      <c r="O137" s="51"/>
      <c r="P137" s="53">
        <f t="shared" si="14"/>
        <v>0</v>
      </c>
      <c r="Q137" s="50"/>
      <c r="R137" s="50"/>
      <c r="S137" s="51"/>
      <c r="T137" s="50"/>
      <c r="U137" s="50"/>
      <c r="V137" s="50"/>
      <c r="W137" s="50"/>
      <c r="X137" s="50"/>
      <c r="Y137" s="50"/>
      <c r="Z137" s="50"/>
      <c r="AA137" s="50"/>
      <c r="AB137" s="50"/>
      <c r="AC137" s="53">
        <f t="shared" si="15"/>
        <v>0</v>
      </c>
      <c r="AD137" s="53">
        <f t="shared" si="16"/>
        <v>0</v>
      </c>
      <c r="AE137" s="53">
        <f t="shared" si="17"/>
        <v>0</v>
      </c>
      <c r="AF137" s="53">
        <f t="shared" si="18"/>
        <v>0</v>
      </c>
      <c r="AG137" s="53">
        <f t="shared" si="19"/>
        <v>0</v>
      </c>
      <c r="AH137" s="53">
        <f t="shared" si="20"/>
        <v>0</v>
      </c>
      <c r="AI137" s="50"/>
      <c r="AJ137" s="50"/>
      <c r="AK137" s="50"/>
    </row>
    <row r="138" spans="1:37" x14ac:dyDescent="0.2">
      <c r="A138" s="50"/>
      <c r="B138" s="50"/>
      <c r="C138" s="50"/>
      <c r="D138" s="50"/>
      <c r="E138" s="50"/>
      <c r="F138" s="50"/>
      <c r="G138" s="50"/>
      <c r="H138" s="50"/>
      <c r="I138" s="50"/>
      <c r="J138" s="50"/>
      <c r="K138" s="50"/>
      <c r="L138" s="50"/>
      <c r="M138" s="52"/>
      <c r="N138" s="51"/>
      <c r="O138" s="51"/>
      <c r="P138" s="53">
        <f t="shared" si="14"/>
        <v>0</v>
      </c>
      <c r="Q138" s="50"/>
      <c r="R138" s="50"/>
      <c r="S138" s="51"/>
      <c r="T138" s="50"/>
      <c r="U138" s="50"/>
      <c r="V138" s="50"/>
      <c r="W138" s="50"/>
      <c r="X138" s="50"/>
      <c r="Y138" s="50"/>
      <c r="Z138" s="50"/>
      <c r="AA138" s="50"/>
      <c r="AB138" s="50"/>
      <c r="AC138" s="53">
        <f t="shared" si="15"/>
        <v>0</v>
      </c>
      <c r="AD138" s="53">
        <f t="shared" si="16"/>
        <v>0</v>
      </c>
      <c r="AE138" s="53">
        <f t="shared" si="17"/>
        <v>0</v>
      </c>
      <c r="AF138" s="53">
        <f t="shared" si="18"/>
        <v>0</v>
      </c>
      <c r="AG138" s="53">
        <f t="shared" si="19"/>
        <v>0</v>
      </c>
      <c r="AH138" s="53">
        <f t="shared" si="20"/>
        <v>0</v>
      </c>
      <c r="AI138" s="50"/>
      <c r="AJ138" s="50"/>
      <c r="AK138" s="50"/>
    </row>
    <row r="139" spans="1:37" x14ac:dyDescent="0.2">
      <c r="A139" s="50"/>
      <c r="B139" s="50"/>
      <c r="C139" s="50"/>
      <c r="D139" s="50"/>
      <c r="E139" s="50"/>
      <c r="F139" s="50"/>
      <c r="G139" s="50"/>
      <c r="H139" s="50"/>
      <c r="I139" s="50"/>
      <c r="J139" s="50"/>
      <c r="K139" s="50"/>
      <c r="L139" s="50"/>
      <c r="M139" s="52"/>
      <c r="N139" s="51"/>
      <c r="O139" s="51"/>
      <c r="P139" s="53">
        <f t="shared" si="14"/>
        <v>0</v>
      </c>
      <c r="Q139" s="50"/>
      <c r="R139" s="50"/>
      <c r="S139" s="51"/>
      <c r="T139" s="50"/>
      <c r="U139" s="50"/>
      <c r="V139" s="50"/>
      <c r="W139" s="50"/>
      <c r="X139" s="50"/>
      <c r="Y139" s="50"/>
      <c r="Z139" s="50"/>
      <c r="AA139" s="50"/>
      <c r="AB139" s="50"/>
      <c r="AC139" s="53">
        <f t="shared" si="15"/>
        <v>0</v>
      </c>
      <c r="AD139" s="53">
        <f t="shared" si="16"/>
        <v>0</v>
      </c>
      <c r="AE139" s="53">
        <f t="shared" si="17"/>
        <v>0</v>
      </c>
      <c r="AF139" s="53">
        <f t="shared" si="18"/>
        <v>0</v>
      </c>
      <c r="AG139" s="53">
        <f t="shared" si="19"/>
        <v>0</v>
      </c>
      <c r="AH139" s="53">
        <f t="shared" si="20"/>
        <v>0</v>
      </c>
      <c r="AI139" s="50"/>
      <c r="AJ139" s="50"/>
      <c r="AK139" s="50"/>
    </row>
    <row r="140" spans="1:37" x14ac:dyDescent="0.2">
      <c r="A140" s="50"/>
      <c r="B140" s="50"/>
      <c r="C140" s="50"/>
      <c r="D140" s="50"/>
      <c r="E140" s="50"/>
      <c r="F140" s="50"/>
      <c r="G140" s="50"/>
      <c r="H140" s="50"/>
      <c r="I140" s="50"/>
      <c r="J140" s="50"/>
      <c r="K140" s="50"/>
      <c r="L140" s="50"/>
      <c r="M140" s="52"/>
      <c r="N140" s="51"/>
      <c r="O140" s="51"/>
      <c r="P140" s="53">
        <f t="shared" si="14"/>
        <v>0</v>
      </c>
      <c r="Q140" s="50"/>
      <c r="R140" s="50"/>
      <c r="S140" s="51"/>
      <c r="T140" s="50"/>
      <c r="U140" s="50"/>
      <c r="V140" s="50"/>
      <c r="W140" s="50"/>
      <c r="X140" s="50"/>
      <c r="Y140" s="50"/>
      <c r="Z140" s="50"/>
      <c r="AA140" s="50"/>
      <c r="AB140" s="50"/>
      <c r="AC140" s="53">
        <f t="shared" si="15"/>
        <v>0</v>
      </c>
      <c r="AD140" s="53">
        <f t="shared" si="16"/>
        <v>0</v>
      </c>
      <c r="AE140" s="53">
        <f t="shared" si="17"/>
        <v>0</v>
      </c>
      <c r="AF140" s="53">
        <f t="shared" si="18"/>
        <v>0</v>
      </c>
      <c r="AG140" s="53">
        <f t="shared" si="19"/>
        <v>0</v>
      </c>
      <c r="AH140" s="53">
        <f t="shared" si="20"/>
        <v>0</v>
      </c>
      <c r="AI140" s="50"/>
      <c r="AJ140" s="50"/>
      <c r="AK140" s="50"/>
    </row>
    <row r="141" spans="1:37" x14ac:dyDescent="0.2">
      <c r="A141" s="50"/>
      <c r="B141" s="50"/>
      <c r="C141" s="50"/>
      <c r="D141" s="50"/>
      <c r="E141" s="50"/>
      <c r="F141" s="50"/>
      <c r="G141" s="50"/>
      <c r="H141" s="50"/>
      <c r="I141" s="50"/>
      <c r="J141" s="50"/>
      <c r="K141" s="50"/>
      <c r="L141" s="50"/>
      <c r="M141" s="52"/>
      <c r="N141" s="51"/>
      <c r="O141" s="51"/>
      <c r="P141" s="53">
        <f t="shared" si="14"/>
        <v>0</v>
      </c>
      <c r="Q141" s="50"/>
      <c r="R141" s="50"/>
      <c r="S141" s="51"/>
      <c r="T141" s="50"/>
      <c r="U141" s="50"/>
      <c r="V141" s="50"/>
      <c r="W141" s="50"/>
      <c r="X141" s="50"/>
      <c r="Y141" s="50"/>
      <c r="Z141" s="50"/>
      <c r="AA141" s="50"/>
      <c r="AB141" s="50"/>
      <c r="AC141" s="53">
        <f t="shared" si="15"/>
        <v>0</v>
      </c>
      <c r="AD141" s="53">
        <f t="shared" si="16"/>
        <v>0</v>
      </c>
      <c r="AE141" s="53">
        <f t="shared" si="17"/>
        <v>0</v>
      </c>
      <c r="AF141" s="53">
        <f t="shared" si="18"/>
        <v>0</v>
      </c>
      <c r="AG141" s="53">
        <f t="shared" si="19"/>
        <v>0</v>
      </c>
      <c r="AH141" s="53">
        <f t="shared" si="20"/>
        <v>0</v>
      </c>
      <c r="AI141" s="50"/>
      <c r="AJ141" s="50"/>
      <c r="AK141" s="50"/>
    </row>
    <row r="142" spans="1:37" x14ac:dyDescent="0.2">
      <c r="A142" s="50"/>
      <c r="B142" s="50"/>
      <c r="C142" s="50"/>
      <c r="D142" s="50"/>
      <c r="E142" s="50"/>
      <c r="F142" s="50"/>
      <c r="G142" s="50"/>
      <c r="H142" s="50"/>
      <c r="I142" s="50"/>
      <c r="J142" s="50"/>
      <c r="K142" s="50"/>
      <c r="L142" s="50"/>
      <c r="M142" s="52"/>
      <c r="N142" s="51"/>
      <c r="O142" s="51"/>
      <c r="P142" s="53">
        <f t="shared" si="14"/>
        <v>0</v>
      </c>
      <c r="Q142" s="50"/>
      <c r="R142" s="50"/>
      <c r="S142" s="51"/>
      <c r="T142" s="50"/>
      <c r="U142" s="50"/>
      <c r="V142" s="50"/>
      <c r="W142" s="50"/>
      <c r="X142" s="50"/>
      <c r="Y142" s="50"/>
      <c r="Z142" s="50"/>
      <c r="AA142" s="50"/>
      <c r="AB142" s="50"/>
      <c r="AC142" s="53">
        <f t="shared" si="15"/>
        <v>0</v>
      </c>
      <c r="AD142" s="53">
        <f t="shared" si="16"/>
        <v>0</v>
      </c>
      <c r="AE142" s="53">
        <f t="shared" si="17"/>
        <v>0</v>
      </c>
      <c r="AF142" s="53">
        <f t="shared" si="18"/>
        <v>0</v>
      </c>
      <c r="AG142" s="53">
        <f t="shared" si="19"/>
        <v>0</v>
      </c>
      <c r="AH142" s="53">
        <f t="shared" si="20"/>
        <v>0</v>
      </c>
      <c r="AI142" s="50"/>
      <c r="AJ142" s="50"/>
      <c r="AK142" s="50"/>
    </row>
    <row r="143" spans="1:37" x14ac:dyDescent="0.2">
      <c r="A143" s="50"/>
      <c r="B143" s="50"/>
      <c r="C143" s="50"/>
      <c r="D143" s="50"/>
      <c r="E143" s="50"/>
      <c r="F143" s="50"/>
      <c r="G143" s="50"/>
      <c r="H143" s="50"/>
      <c r="I143" s="50"/>
      <c r="J143" s="50"/>
      <c r="K143" s="50"/>
      <c r="L143" s="50"/>
      <c r="M143" s="52"/>
      <c r="N143" s="51"/>
      <c r="O143" s="51"/>
      <c r="P143" s="53">
        <f t="shared" si="14"/>
        <v>0</v>
      </c>
      <c r="Q143" s="50"/>
      <c r="R143" s="50"/>
      <c r="S143" s="51"/>
      <c r="T143" s="50"/>
      <c r="U143" s="50"/>
      <c r="V143" s="50"/>
      <c r="W143" s="50"/>
      <c r="X143" s="50"/>
      <c r="Y143" s="50"/>
      <c r="Z143" s="50"/>
      <c r="AA143" s="50"/>
      <c r="AB143" s="50"/>
      <c r="AC143" s="53">
        <f t="shared" si="15"/>
        <v>0</v>
      </c>
      <c r="AD143" s="53">
        <f t="shared" si="16"/>
        <v>0</v>
      </c>
      <c r="AE143" s="53">
        <f t="shared" si="17"/>
        <v>0</v>
      </c>
      <c r="AF143" s="53">
        <f t="shared" si="18"/>
        <v>0</v>
      </c>
      <c r="AG143" s="53">
        <f t="shared" si="19"/>
        <v>0</v>
      </c>
      <c r="AH143" s="53">
        <f t="shared" si="20"/>
        <v>0</v>
      </c>
      <c r="AI143" s="50"/>
      <c r="AJ143" s="50"/>
      <c r="AK143" s="50"/>
    </row>
    <row r="144" spans="1:37" x14ac:dyDescent="0.2">
      <c r="A144" s="50"/>
      <c r="B144" s="50"/>
      <c r="C144" s="50"/>
      <c r="D144" s="50"/>
      <c r="E144" s="50"/>
      <c r="F144" s="50"/>
      <c r="G144" s="50"/>
      <c r="H144" s="50"/>
      <c r="I144" s="50"/>
      <c r="J144" s="50"/>
      <c r="K144" s="50"/>
      <c r="L144" s="50"/>
      <c r="M144" s="52"/>
      <c r="N144" s="51"/>
      <c r="O144" s="51"/>
      <c r="P144" s="53">
        <f t="shared" si="14"/>
        <v>0</v>
      </c>
      <c r="Q144" s="50"/>
      <c r="R144" s="50"/>
      <c r="S144" s="51"/>
      <c r="T144" s="50"/>
      <c r="U144" s="50"/>
      <c r="V144" s="50"/>
      <c r="W144" s="50"/>
      <c r="X144" s="50"/>
      <c r="Y144" s="50"/>
      <c r="Z144" s="50"/>
      <c r="AA144" s="50"/>
      <c r="AB144" s="50"/>
      <c r="AC144" s="53">
        <f t="shared" si="15"/>
        <v>0</v>
      </c>
      <c r="AD144" s="53">
        <f t="shared" si="16"/>
        <v>0</v>
      </c>
      <c r="AE144" s="53">
        <f t="shared" si="17"/>
        <v>0</v>
      </c>
      <c r="AF144" s="53">
        <f t="shared" si="18"/>
        <v>0</v>
      </c>
      <c r="AG144" s="53">
        <f t="shared" si="19"/>
        <v>0</v>
      </c>
      <c r="AH144" s="53">
        <f t="shared" si="20"/>
        <v>0</v>
      </c>
      <c r="AI144" s="50"/>
      <c r="AJ144" s="50"/>
      <c r="AK144" s="50"/>
    </row>
    <row r="145" spans="1:37" x14ac:dyDescent="0.2">
      <c r="A145" s="50"/>
      <c r="B145" s="50"/>
      <c r="C145" s="50"/>
      <c r="D145" s="50"/>
      <c r="E145" s="50"/>
      <c r="F145" s="50"/>
      <c r="G145" s="50"/>
      <c r="H145" s="50"/>
      <c r="I145" s="50"/>
      <c r="J145" s="50"/>
      <c r="K145" s="50"/>
      <c r="L145" s="50"/>
      <c r="M145" s="52"/>
      <c r="N145" s="51"/>
      <c r="O145" s="51"/>
      <c r="P145" s="53">
        <f t="shared" si="14"/>
        <v>0</v>
      </c>
      <c r="Q145" s="50"/>
      <c r="R145" s="50"/>
      <c r="S145" s="51"/>
      <c r="T145" s="50"/>
      <c r="U145" s="50"/>
      <c r="V145" s="50"/>
      <c r="W145" s="50"/>
      <c r="X145" s="50"/>
      <c r="Y145" s="50"/>
      <c r="Z145" s="50"/>
      <c r="AA145" s="50"/>
      <c r="AB145" s="50"/>
      <c r="AC145" s="53">
        <f t="shared" si="15"/>
        <v>0</v>
      </c>
      <c r="AD145" s="53">
        <f t="shared" si="16"/>
        <v>0</v>
      </c>
      <c r="AE145" s="53">
        <f t="shared" si="17"/>
        <v>0</v>
      </c>
      <c r="AF145" s="53">
        <f t="shared" si="18"/>
        <v>0</v>
      </c>
      <c r="AG145" s="53">
        <f t="shared" si="19"/>
        <v>0</v>
      </c>
      <c r="AH145" s="53">
        <f t="shared" si="20"/>
        <v>0</v>
      </c>
      <c r="AI145" s="50"/>
      <c r="AJ145" s="50"/>
      <c r="AK145" s="50"/>
    </row>
    <row r="146" spans="1:37" x14ac:dyDescent="0.2">
      <c r="A146" s="50"/>
      <c r="B146" s="50"/>
      <c r="C146" s="50"/>
      <c r="D146" s="50"/>
      <c r="E146" s="50"/>
      <c r="F146" s="50"/>
      <c r="G146" s="50"/>
      <c r="H146" s="50"/>
      <c r="I146" s="50"/>
      <c r="J146" s="50"/>
      <c r="K146" s="50"/>
      <c r="L146" s="50"/>
      <c r="M146" s="52"/>
      <c r="N146" s="51"/>
      <c r="O146" s="51"/>
      <c r="P146" s="53">
        <f t="shared" si="14"/>
        <v>0</v>
      </c>
      <c r="Q146" s="50"/>
      <c r="R146" s="50"/>
      <c r="S146" s="51"/>
      <c r="T146" s="50"/>
      <c r="U146" s="50"/>
      <c r="V146" s="50"/>
      <c r="W146" s="50"/>
      <c r="X146" s="50"/>
      <c r="Y146" s="50"/>
      <c r="Z146" s="50"/>
      <c r="AA146" s="50"/>
      <c r="AB146" s="50"/>
      <c r="AC146" s="53">
        <f t="shared" si="15"/>
        <v>0</v>
      </c>
      <c r="AD146" s="53">
        <f t="shared" si="16"/>
        <v>0</v>
      </c>
      <c r="AE146" s="53">
        <f t="shared" si="17"/>
        <v>0</v>
      </c>
      <c r="AF146" s="53">
        <f t="shared" si="18"/>
        <v>0</v>
      </c>
      <c r="AG146" s="53">
        <f t="shared" si="19"/>
        <v>0</v>
      </c>
      <c r="AH146" s="53">
        <f t="shared" si="20"/>
        <v>0</v>
      </c>
      <c r="AI146" s="50"/>
      <c r="AJ146" s="50"/>
      <c r="AK146" s="50"/>
    </row>
    <row r="147" spans="1:37" x14ac:dyDescent="0.2">
      <c r="A147" s="50"/>
      <c r="B147" s="50"/>
      <c r="C147" s="50"/>
      <c r="D147" s="50"/>
      <c r="E147" s="50"/>
      <c r="F147" s="50"/>
      <c r="G147" s="50"/>
      <c r="H147" s="50"/>
      <c r="I147" s="50"/>
      <c r="J147" s="50"/>
      <c r="K147" s="50"/>
      <c r="L147" s="50"/>
      <c r="M147" s="52"/>
      <c r="N147" s="51"/>
      <c r="O147" s="51"/>
      <c r="P147" s="53">
        <f t="shared" si="14"/>
        <v>0</v>
      </c>
      <c r="Q147" s="50"/>
      <c r="R147" s="50"/>
      <c r="S147" s="51"/>
      <c r="T147" s="50"/>
      <c r="U147" s="50"/>
      <c r="V147" s="50"/>
      <c r="W147" s="50"/>
      <c r="X147" s="50"/>
      <c r="Y147" s="50"/>
      <c r="Z147" s="50"/>
      <c r="AA147" s="50"/>
      <c r="AB147" s="50"/>
      <c r="AC147" s="53">
        <f t="shared" si="15"/>
        <v>0</v>
      </c>
      <c r="AD147" s="53">
        <f t="shared" si="16"/>
        <v>0</v>
      </c>
      <c r="AE147" s="53">
        <f t="shared" si="17"/>
        <v>0</v>
      </c>
      <c r="AF147" s="53">
        <f t="shared" si="18"/>
        <v>0</v>
      </c>
      <c r="AG147" s="53">
        <f t="shared" si="19"/>
        <v>0</v>
      </c>
      <c r="AH147" s="53">
        <f t="shared" si="20"/>
        <v>0</v>
      </c>
      <c r="AI147" s="50"/>
      <c r="AJ147" s="50"/>
      <c r="AK147" s="50"/>
    </row>
    <row r="148" spans="1:37" x14ac:dyDescent="0.2">
      <c r="A148" s="50"/>
      <c r="B148" s="50"/>
      <c r="C148" s="50"/>
      <c r="D148" s="50"/>
      <c r="E148" s="50"/>
      <c r="F148" s="50"/>
      <c r="G148" s="50"/>
      <c r="H148" s="50"/>
      <c r="I148" s="50"/>
      <c r="J148" s="50"/>
      <c r="K148" s="50"/>
      <c r="L148" s="50"/>
      <c r="M148" s="52"/>
      <c r="N148" s="51"/>
      <c r="O148" s="51"/>
      <c r="P148" s="53">
        <f t="shared" si="14"/>
        <v>0</v>
      </c>
      <c r="Q148" s="50"/>
      <c r="R148" s="50"/>
      <c r="S148" s="51"/>
      <c r="T148" s="50"/>
      <c r="U148" s="50"/>
      <c r="V148" s="50"/>
      <c r="W148" s="50"/>
      <c r="X148" s="50"/>
      <c r="Y148" s="50"/>
      <c r="Z148" s="50"/>
      <c r="AA148" s="50"/>
      <c r="AB148" s="50"/>
      <c r="AC148" s="53">
        <f t="shared" si="15"/>
        <v>0</v>
      </c>
      <c r="AD148" s="53">
        <f t="shared" si="16"/>
        <v>0</v>
      </c>
      <c r="AE148" s="53">
        <f t="shared" si="17"/>
        <v>0</v>
      </c>
      <c r="AF148" s="53">
        <f t="shared" si="18"/>
        <v>0</v>
      </c>
      <c r="AG148" s="53">
        <f t="shared" si="19"/>
        <v>0</v>
      </c>
      <c r="AH148" s="53">
        <f t="shared" si="20"/>
        <v>0</v>
      </c>
      <c r="AI148" s="50"/>
      <c r="AJ148" s="50"/>
      <c r="AK148" s="50"/>
    </row>
    <row r="149" spans="1:37" x14ac:dyDescent="0.2">
      <c r="A149" s="50"/>
      <c r="B149" s="50"/>
      <c r="C149" s="50"/>
      <c r="D149" s="50"/>
      <c r="E149" s="50"/>
      <c r="F149" s="50"/>
      <c r="G149" s="50"/>
      <c r="H149" s="50"/>
      <c r="I149" s="50"/>
      <c r="J149" s="50"/>
      <c r="K149" s="50"/>
      <c r="L149" s="50"/>
      <c r="M149" s="52"/>
      <c r="N149" s="51"/>
      <c r="O149" s="51"/>
      <c r="P149" s="53">
        <f t="shared" si="14"/>
        <v>0</v>
      </c>
      <c r="Q149" s="50"/>
      <c r="R149" s="50"/>
      <c r="S149" s="51"/>
      <c r="T149" s="50"/>
      <c r="U149" s="50"/>
      <c r="V149" s="50"/>
      <c r="W149" s="50"/>
      <c r="X149" s="50"/>
      <c r="Y149" s="50"/>
      <c r="Z149" s="50"/>
      <c r="AA149" s="50"/>
      <c r="AB149" s="50"/>
      <c r="AC149" s="53">
        <f t="shared" si="15"/>
        <v>0</v>
      </c>
      <c r="AD149" s="53">
        <f t="shared" si="16"/>
        <v>0</v>
      </c>
      <c r="AE149" s="53">
        <f t="shared" si="17"/>
        <v>0</v>
      </c>
      <c r="AF149" s="53">
        <f t="shared" si="18"/>
        <v>0</v>
      </c>
      <c r="AG149" s="53">
        <f t="shared" si="19"/>
        <v>0</v>
      </c>
      <c r="AH149" s="53">
        <f t="shared" si="20"/>
        <v>0</v>
      </c>
      <c r="AI149" s="50"/>
      <c r="AJ149" s="50"/>
      <c r="AK149" s="50"/>
    </row>
    <row r="150" spans="1:37" x14ac:dyDescent="0.2">
      <c r="A150" s="50"/>
      <c r="B150" s="50"/>
      <c r="C150" s="50"/>
      <c r="D150" s="50"/>
      <c r="E150" s="50"/>
      <c r="F150" s="50"/>
      <c r="G150" s="50"/>
      <c r="H150" s="50"/>
      <c r="I150" s="50"/>
      <c r="J150" s="50"/>
      <c r="K150" s="50"/>
      <c r="L150" s="50"/>
      <c r="M150" s="52"/>
      <c r="N150" s="51"/>
      <c r="O150" s="51"/>
      <c r="P150" s="53">
        <f t="shared" si="14"/>
        <v>0</v>
      </c>
      <c r="Q150" s="50"/>
      <c r="R150" s="50"/>
      <c r="S150" s="51"/>
      <c r="T150" s="50"/>
      <c r="U150" s="50"/>
      <c r="V150" s="50"/>
      <c r="W150" s="50"/>
      <c r="X150" s="50"/>
      <c r="Y150" s="50"/>
      <c r="Z150" s="50"/>
      <c r="AA150" s="50"/>
      <c r="AB150" s="50"/>
      <c r="AC150" s="53">
        <f t="shared" si="15"/>
        <v>0</v>
      </c>
      <c r="AD150" s="53">
        <f t="shared" si="16"/>
        <v>0</v>
      </c>
      <c r="AE150" s="53">
        <f t="shared" si="17"/>
        <v>0</v>
      </c>
      <c r="AF150" s="53">
        <f t="shared" si="18"/>
        <v>0</v>
      </c>
      <c r="AG150" s="53">
        <f t="shared" si="19"/>
        <v>0</v>
      </c>
      <c r="AH150" s="53">
        <f t="shared" si="20"/>
        <v>0</v>
      </c>
      <c r="AI150" s="50"/>
      <c r="AJ150" s="50"/>
      <c r="AK150" s="50"/>
    </row>
    <row r="151" spans="1:37" x14ac:dyDescent="0.2">
      <c r="A151" s="50"/>
      <c r="B151" s="50"/>
      <c r="C151" s="50"/>
      <c r="D151" s="50"/>
      <c r="E151" s="50"/>
      <c r="F151" s="50"/>
      <c r="G151" s="50"/>
      <c r="H151" s="50"/>
      <c r="I151" s="50"/>
      <c r="J151" s="50"/>
      <c r="K151" s="50"/>
      <c r="L151" s="50"/>
      <c r="M151" s="52"/>
      <c r="N151" s="51"/>
      <c r="O151" s="51"/>
      <c r="P151" s="53">
        <f t="shared" si="14"/>
        <v>0</v>
      </c>
      <c r="Q151" s="50"/>
      <c r="R151" s="50"/>
      <c r="S151" s="51"/>
      <c r="T151" s="50"/>
      <c r="U151" s="50"/>
      <c r="V151" s="50"/>
      <c r="W151" s="50"/>
      <c r="X151" s="50"/>
      <c r="Y151" s="50"/>
      <c r="Z151" s="50"/>
      <c r="AA151" s="50"/>
      <c r="AB151" s="50"/>
      <c r="AC151" s="53">
        <f t="shared" si="15"/>
        <v>0</v>
      </c>
      <c r="AD151" s="53">
        <f t="shared" si="16"/>
        <v>0</v>
      </c>
      <c r="AE151" s="53">
        <f t="shared" si="17"/>
        <v>0</v>
      </c>
      <c r="AF151" s="53">
        <f t="shared" si="18"/>
        <v>0</v>
      </c>
      <c r="AG151" s="53">
        <f t="shared" si="19"/>
        <v>0</v>
      </c>
      <c r="AH151" s="53">
        <f t="shared" si="20"/>
        <v>0</v>
      </c>
      <c r="AI151" s="50"/>
      <c r="AJ151" s="50"/>
      <c r="AK151" s="50"/>
    </row>
    <row r="152" spans="1:37" x14ac:dyDescent="0.2">
      <c r="A152" s="50"/>
      <c r="B152" s="50"/>
      <c r="C152" s="50"/>
      <c r="D152" s="50"/>
      <c r="E152" s="50"/>
      <c r="F152" s="50"/>
      <c r="G152" s="50"/>
      <c r="H152" s="50"/>
      <c r="I152" s="50"/>
      <c r="J152" s="50"/>
      <c r="K152" s="50"/>
      <c r="L152" s="50"/>
      <c r="M152" s="52"/>
      <c r="N152" s="51"/>
      <c r="O152" s="51"/>
      <c r="P152" s="53">
        <f t="shared" si="14"/>
        <v>0</v>
      </c>
      <c r="Q152" s="50"/>
      <c r="R152" s="50"/>
      <c r="S152" s="51"/>
      <c r="T152" s="50"/>
      <c r="U152" s="50"/>
      <c r="V152" s="50"/>
      <c r="W152" s="50"/>
      <c r="X152" s="50"/>
      <c r="Y152" s="50"/>
      <c r="Z152" s="50"/>
      <c r="AA152" s="50"/>
      <c r="AB152" s="50"/>
      <c r="AC152" s="53">
        <f t="shared" si="15"/>
        <v>0</v>
      </c>
      <c r="AD152" s="53">
        <f t="shared" si="16"/>
        <v>0</v>
      </c>
      <c r="AE152" s="53">
        <f t="shared" si="17"/>
        <v>0</v>
      </c>
      <c r="AF152" s="53">
        <f t="shared" si="18"/>
        <v>0</v>
      </c>
      <c r="AG152" s="53">
        <f t="shared" si="19"/>
        <v>0</v>
      </c>
      <c r="AH152" s="53">
        <f t="shared" si="20"/>
        <v>0</v>
      </c>
      <c r="AI152" s="50"/>
      <c r="AJ152" s="50"/>
      <c r="AK152" s="50"/>
    </row>
    <row r="153" spans="1:37" x14ac:dyDescent="0.2">
      <c r="A153" s="50"/>
      <c r="B153" s="50"/>
      <c r="C153" s="50"/>
      <c r="D153" s="50"/>
      <c r="E153" s="50"/>
      <c r="F153" s="50"/>
      <c r="G153" s="50"/>
      <c r="H153" s="50"/>
      <c r="I153" s="50"/>
      <c r="J153" s="50"/>
      <c r="K153" s="50"/>
      <c r="L153" s="50"/>
      <c r="M153" s="52"/>
      <c r="N153" s="51"/>
      <c r="O153" s="51"/>
      <c r="P153" s="53">
        <f t="shared" si="14"/>
        <v>0</v>
      </c>
      <c r="Q153" s="50"/>
      <c r="R153" s="50"/>
      <c r="S153" s="51"/>
      <c r="T153" s="50"/>
      <c r="U153" s="50"/>
      <c r="V153" s="50"/>
      <c r="W153" s="50"/>
      <c r="X153" s="50"/>
      <c r="Y153" s="50"/>
      <c r="Z153" s="50"/>
      <c r="AA153" s="50"/>
      <c r="AB153" s="50"/>
      <c r="AC153" s="53">
        <f t="shared" si="15"/>
        <v>0</v>
      </c>
      <c r="AD153" s="53">
        <f t="shared" si="16"/>
        <v>0</v>
      </c>
      <c r="AE153" s="53">
        <f t="shared" si="17"/>
        <v>0</v>
      </c>
      <c r="AF153" s="53">
        <f t="shared" si="18"/>
        <v>0</v>
      </c>
      <c r="AG153" s="53">
        <f t="shared" si="19"/>
        <v>0</v>
      </c>
      <c r="AH153" s="53">
        <f t="shared" si="20"/>
        <v>0</v>
      </c>
      <c r="AI153" s="50"/>
      <c r="AJ153" s="50"/>
      <c r="AK153" s="50"/>
    </row>
    <row r="154" spans="1:37" x14ac:dyDescent="0.2">
      <c r="A154" s="50"/>
      <c r="B154" s="50"/>
      <c r="C154" s="50"/>
      <c r="D154" s="50"/>
      <c r="E154" s="50"/>
      <c r="F154" s="50"/>
      <c r="G154" s="50"/>
      <c r="H154" s="50"/>
      <c r="I154" s="50"/>
      <c r="J154" s="50"/>
      <c r="K154" s="50"/>
      <c r="L154" s="50"/>
      <c r="M154" s="52"/>
      <c r="N154" s="51"/>
      <c r="O154" s="51"/>
      <c r="P154" s="53">
        <f t="shared" si="14"/>
        <v>0</v>
      </c>
      <c r="Q154" s="50"/>
      <c r="R154" s="50"/>
      <c r="S154" s="51"/>
      <c r="T154" s="50"/>
      <c r="U154" s="50"/>
      <c r="V154" s="50"/>
      <c r="W154" s="50"/>
      <c r="X154" s="50"/>
      <c r="Y154" s="50"/>
      <c r="Z154" s="50"/>
      <c r="AA154" s="50"/>
      <c r="AB154" s="50"/>
      <c r="AC154" s="53">
        <f t="shared" si="15"/>
        <v>0</v>
      </c>
      <c r="AD154" s="53">
        <f t="shared" si="16"/>
        <v>0</v>
      </c>
      <c r="AE154" s="53">
        <f t="shared" si="17"/>
        <v>0</v>
      </c>
      <c r="AF154" s="53">
        <f t="shared" si="18"/>
        <v>0</v>
      </c>
      <c r="AG154" s="53">
        <f t="shared" si="19"/>
        <v>0</v>
      </c>
      <c r="AH154" s="53">
        <f t="shared" si="20"/>
        <v>0</v>
      </c>
      <c r="AI154" s="50"/>
      <c r="AJ154" s="50"/>
      <c r="AK154" s="50"/>
    </row>
    <row r="155" spans="1:37" x14ac:dyDescent="0.2">
      <c r="A155" s="50"/>
      <c r="B155" s="50"/>
      <c r="C155" s="50"/>
      <c r="D155" s="50"/>
      <c r="E155" s="50"/>
      <c r="F155" s="50"/>
      <c r="G155" s="50"/>
      <c r="H155" s="50"/>
      <c r="I155" s="50"/>
      <c r="J155" s="50"/>
      <c r="K155" s="50"/>
      <c r="L155" s="50"/>
      <c r="M155" s="52"/>
      <c r="N155" s="51"/>
      <c r="O155" s="51"/>
      <c r="P155" s="53">
        <f t="shared" si="14"/>
        <v>0</v>
      </c>
      <c r="Q155" s="50"/>
      <c r="R155" s="50"/>
      <c r="S155" s="51"/>
      <c r="T155" s="50"/>
      <c r="U155" s="50"/>
      <c r="V155" s="50"/>
      <c r="W155" s="50"/>
      <c r="X155" s="50"/>
      <c r="Y155" s="50"/>
      <c r="Z155" s="50"/>
      <c r="AA155" s="50"/>
      <c r="AB155" s="50"/>
      <c r="AC155" s="53">
        <f t="shared" si="15"/>
        <v>0</v>
      </c>
      <c r="AD155" s="53">
        <f t="shared" si="16"/>
        <v>0</v>
      </c>
      <c r="AE155" s="53">
        <f t="shared" si="17"/>
        <v>0</v>
      </c>
      <c r="AF155" s="53">
        <f t="shared" si="18"/>
        <v>0</v>
      </c>
      <c r="AG155" s="53">
        <f t="shared" si="19"/>
        <v>0</v>
      </c>
      <c r="AH155" s="53">
        <f t="shared" si="20"/>
        <v>0</v>
      </c>
      <c r="AI155" s="50"/>
      <c r="AJ155" s="50"/>
      <c r="AK155" s="50"/>
    </row>
    <row r="156" spans="1:37" x14ac:dyDescent="0.2">
      <c r="A156" s="50"/>
      <c r="B156" s="50"/>
      <c r="C156" s="50"/>
      <c r="D156" s="50"/>
      <c r="E156" s="50"/>
      <c r="F156" s="50"/>
      <c r="G156" s="50"/>
      <c r="H156" s="50"/>
      <c r="I156" s="50"/>
      <c r="J156" s="50"/>
      <c r="K156" s="50"/>
      <c r="L156" s="50"/>
      <c r="M156" s="52"/>
      <c r="N156" s="51"/>
      <c r="O156" s="51"/>
      <c r="P156" s="53">
        <f t="shared" si="14"/>
        <v>0</v>
      </c>
      <c r="Q156" s="50"/>
      <c r="R156" s="50"/>
      <c r="S156" s="51"/>
      <c r="T156" s="50"/>
      <c r="U156" s="50"/>
      <c r="V156" s="50"/>
      <c r="W156" s="50"/>
      <c r="X156" s="50"/>
      <c r="Y156" s="50"/>
      <c r="Z156" s="50"/>
      <c r="AA156" s="50"/>
      <c r="AB156" s="50"/>
      <c r="AC156" s="53">
        <f t="shared" si="15"/>
        <v>0</v>
      </c>
      <c r="AD156" s="53">
        <f t="shared" si="16"/>
        <v>0</v>
      </c>
      <c r="AE156" s="53">
        <f t="shared" si="17"/>
        <v>0</v>
      </c>
      <c r="AF156" s="53">
        <f t="shared" si="18"/>
        <v>0</v>
      </c>
      <c r="AG156" s="53">
        <f t="shared" si="19"/>
        <v>0</v>
      </c>
      <c r="AH156" s="53">
        <f t="shared" si="20"/>
        <v>0</v>
      </c>
      <c r="AI156" s="50"/>
      <c r="AJ156" s="50"/>
      <c r="AK156" s="50"/>
    </row>
    <row r="157" spans="1:37" x14ac:dyDescent="0.2">
      <c r="A157" s="50"/>
      <c r="B157" s="50"/>
      <c r="C157" s="50"/>
      <c r="D157" s="50"/>
      <c r="E157" s="50"/>
      <c r="F157" s="50"/>
      <c r="G157" s="50"/>
      <c r="H157" s="50"/>
      <c r="I157" s="50"/>
      <c r="J157" s="50"/>
      <c r="K157" s="50"/>
      <c r="L157" s="50"/>
      <c r="M157" s="52"/>
      <c r="N157" s="51"/>
      <c r="O157" s="51"/>
      <c r="P157" s="53">
        <f t="shared" si="14"/>
        <v>0</v>
      </c>
      <c r="Q157" s="50"/>
      <c r="R157" s="50"/>
      <c r="S157" s="51"/>
      <c r="T157" s="50"/>
      <c r="U157" s="50"/>
      <c r="V157" s="50"/>
      <c r="W157" s="50"/>
      <c r="X157" s="50"/>
      <c r="Y157" s="50"/>
      <c r="Z157" s="50"/>
      <c r="AA157" s="50"/>
      <c r="AB157" s="50"/>
      <c r="AC157" s="53">
        <f t="shared" si="15"/>
        <v>0</v>
      </c>
      <c r="AD157" s="53">
        <f t="shared" si="16"/>
        <v>0</v>
      </c>
      <c r="AE157" s="53">
        <f t="shared" si="17"/>
        <v>0</v>
      </c>
      <c r="AF157" s="53">
        <f t="shared" si="18"/>
        <v>0</v>
      </c>
      <c r="AG157" s="53">
        <f t="shared" si="19"/>
        <v>0</v>
      </c>
      <c r="AH157" s="53">
        <f t="shared" si="20"/>
        <v>0</v>
      </c>
      <c r="AI157" s="50"/>
      <c r="AJ157" s="50"/>
      <c r="AK157" s="50"/>
    </row>
    <row r="158" spans="1:37" x14ac:dyDescent="0.2">
      <c r="A158" s="50"/>
      <c r="B158" s="50"/>
      <c r="C158" s="50"/>
      <c r="D158" s="50"/>
      <c r="E158" s="50"/>
      <c r="F158" s="50"/>
      <c r="G158" s="50"/>
      <c r="H158" s="50"/>
      <c r="I158" s="50"/>
      <c r="J158" s="50"/>
      <c r="K158" s="50"/>
      <c r="L158" s="50"/>
      <c r="M158" s="52"/>
      <c r="N158" s="51"/>
      <c r="O158" s="51"/>
      <c r="P158" s="53">
        <f t="shared" si="14"/>
        <v>0</v>
      </c>
      <c r="Q158" s="50"/>
      <c r="R158" s="50"/>
      <c r="S158" s="51"/>
      <c r="T158" s="50"/>
      <c r="U158" s="50"/>
      <c r="V158" s="50"/>
      <c r="W158" s="50"/>
      <c r="X158" s="50"/>
      <c r="Y158" s="50"/>
      <c r="Z158" s="50"/>
      <c r="AA158" s="50"/>
      <c r="AB158" s="50"/>
      <c r="AC158" s="53">
        <f t="shared" si="15"/>
        <v>0</v>
      </c>
      <c r="AD158" s="53">
        <f t="shared" si="16"/>
        <v>0</v>
      </c>
      <c r="AE158" s="53">
        <f t="shared" si="17"/>
        <v>0</v>
      </c>
      <c r="AF158" s="53">
        <f t="shared" si="18"/>
        <v>0</v>
      </c>
      <c r="AG158" s="53">
        <f t="shared" si="19"/>
        <v>0</v>
      </c>
      <c r="AH158" s="53">
        <f t="shared" si="20"/>
        <v>0</v>
      </c>
      <c r="AI158" s="50"/>
      <c r="AJ158" s="50"/>
      <c r="AK158" s="50"/>
    </row>
    <row r="159" spans="1:37" x14ac:dyDescent="0.2">
      <c r="A159" s="50"/>
      <c r="B159" s="50"/>
      <c r="C159" s="50"/>
      <c r="D159" s="50"/>
      <c r="E159" s="50"/>
      <c r="F159" s="50"/>
      <c r="G159" s="50"/>
      <c r="H159" s="50"/>
      <c r="I159" s="50"/>
      <c r="J159" s="50"/>
      <c r="K159" s="50"/>
      <c r="L159" s="50"/>
      <c r="M159" s="52"/>
      <c r="N159" s="51"/>
      <c r="O159" s="51"/>
      <c r="P159" s="53">
        <f t="shared" si="14"/>
        <v>0</v>
      </c>
      <c r="Q159" s="50"/>
      <c r="R159" s="50"/>
      <c r="S159" s="51"/>
      <c r="T159" s="50"/>
      <c r="U159" s="50"/>
      <c r="V159" s="50"/>
      <c r="W159" s="50"/>
      <c r="X159" s="50"/>
      <c r="Y159" s="50"/>
      <c r="Z159" s="50"/>
      <c r="AA159" s="50"/>
      <c r="AB159" s="50"/>
      <c r="AC159" s="53">
        <f t="shared" si="15"/>
        <v>0</v>
      </c>
      <c r="AD159" s="53">
        <f t="shared" si="16"/>
        <v>0</v>
      </c>
      <c r="AE159" s="53">
        <f t="shared" si="17"/>
        <v>0</v>
      </c>
      <c r="AF159" s="53">
        <f t="shared" si="18"/>
        <v>0</v>
      </c>
      <c r="AG159" s="53">
        <f t="shared" si="19"/>
        <v>0</v>
      </c>
      <c r="AH159" s="53">
        <f t="shared" si="20"/>
        <v>0</v>
      </c>
      <c r="AI159" s="50"/>
      <c r="AJ159" s="50"/>
      <c r="AK159" s="50"/>
    </row>
    <row r="160" spans="1:37" x14ac:dyDescent="0.2">
      <c r="A160" s="50"/>
      <c r="B160" s="50"/>
      <c r="C160" s="50"/>
      <c r="D160" s="50"/>
      <c r="E160" s="50"/>
      <c r="F160" s="50"/>
      <c r="G160" s="50"/>
      <c r="H160" s="50"/>
      <c r="I160" s="50"/>
      <c r="J160" s="50"/>
      <c r="K160" s="50"/>
      <c r="L160" s="50"/>
      <c r="M160" s="52"/>
      <c r="N160" s="51"/>
      <c r="O160" s="51"/>
      <c r="P160" s="53">
        <f t="shared" si="14"/>
        <v>0</v>
      </c>
      <c r="Q160" s="50"/>
      <c r="R160" s="50"/>
      <c r="S160" s="51"/>
      <c r="T160" s="50"/>
      <c r="U160" s="50"/>
      <c r="V160" s="50"/>
      <c r="W160" s="50"/>
      <c r="X160" s="50"/>
      <c r="Y160" s="50"/>
      <c r="Z160" s="50"/>
      <c r="AA160" s="50"/>
      <c r="AB160" s="50"/>
      <c r="AC160" s="53">
        <f t="shared" si="15"/>
        <v>0</v>
      </c>
      <c r="AD160" s="53">
        <f t="shared" si="16"/>
        <v>0</v>
      </c>
      <c r="AE160" s="53">
        <f t="shared" si="17"/>
        <v>0</v>
      </c>
      <c r="AF160" s="53">
        <f t="shared" si="18"/>
        <v>0</v>
      </c>
      <c r="AG160" s="53">
        <f t="shared" si="19"/>
        <v>0</v>
      </c>
      <c r="AH160" s="53">
        <f t="shared" si="20"/>
        <v>0</v>
      </c>
      <c r="AI160" s="50"/>
      <c r="AJ160" s="50"/>
      <c r="AK160" s="50"/>
    </row>
    <row r="161" spans="1:37" x14ac:dyDescent="0.2">
      <c r="A161" s="50"/>
      <c r="B161" s="50"/>
      <c r="C161" s="50"/>
      <c r="D161" s="50"/>
      <c r="E161" s="50"/>
      <c r="F161" s="50"/>
      <c r="G161" s="50"/>
      <c r="H161" s="50"/>
      <c r="I161" s="50"/>
      <c r="J161" s="50"/>
      <c r="K161" s="50"/>
      <c r="L161" s="50"/>
      <c r="M161" s="52"/>
      <c r="N161" s="51"/>
      <c r="O161" s="51"/>
      <c r="P161" s="53">
        <f t="shared" si="14"/>
        <v>0</v>
      </c>
      <c r="Q161" s="50"/>
      <c r="R161" s="50"/>
      <c r="S161" s="51"/>
      <c r="T161" s="50"/>
      <c r="U161" s="50"/>
      <c r="V161" s="50"/>
      <c r="W161" s="50"/>
      <c r="X161" s="50"/>
      <c r="Y161" s="50"/>
      <c r="Z161" s="50"/>
      <c r="AA161" s="50"/>
      <c r="AB161" s="50"/>
      <c r="AC161" s="53">
        <f t="shared" si="15"/>
        <v>0</v>
      </c>
      <c r="AD161" s="53">
        <f t="shared" si="16"/>
        <v>0</v>
      </c>
      <c r="AE161" s="53">
        <f t="shared" si="17"/>
        <v>0</v>
      </c>
      <c r="AF161" s="53">
        <f t="shared" si="18"/>
        <v>0</v>
      </c>
      <c r="AG161" s="53">
        <f t="shared" si="19"/>
        <v>0</v>
      </c>
      <c r="AH161" s="53">
        <f t="shared" si="20"/>
        <v>0</v>
      </c>
      <c r="AI161" s="50"/>
      <c r="AJ161" s="50"/>
      <c r="AK161" s="50"/>
    </row>
    <row r="162" spans="1:37" x14ac:dyDescent="0.2">
      <c r="A162" s="50"/>
      <c r="B162" s="50"/>
      <c r="C162" s="50"/>
      <c r="D162" s="50"/>
      <c r="E162" s="50"/>
      <c r="F162" s="50"/>
      <c r="G162" s="50"/>
      <c r="H162" s="50"/>
      <c r="I162" s="50"/>
      <c r="J162" s="50"/>
      <c r="K162" s="50"/>
      <c r="L162" s="50"/>
      <c r="M162" s="52"/>
      <c r="N162" s="51"/>
      <c r="O162" s="51"/>
      <c r="P162" s="53">
        <f t="shared" si="14"/>
        <v>0</v>
      </c>
      <c r="Q162" s="50"/>
      <c r="R162" s="50"/>
      <c r="S162" s="51"/>
      <c r="T162" s="50"/>
      <c r="U162" s="50"/>
      <c r="V162" s="50"/>
      <c r="W162" s="50"/>
      <c r="X162" s="50"/>
      <c r="Y162" s="50"/>
      <c r="Z162" s="50"/>
      <c r="AA162" s="50"/>
      <c r="AB162" s="50"/>
      <c r="AC162" s="53">
        <f t="shared" si="15"/>
        <v>0</v>
      </c>
      <c r="AD162" s="53">
        <f t="shared" si="16"/>
        <v>0</v>
      </c>
      <c r="AE162" s="53">
        <f t="shared" si="17"/>
        <v>0</v>
      </c>
      <c r="AF162" s="53">
        <f t="shared" si="18"/>
        <v>0</v>
      </c>
      <c r="AG162" s="53">
        <f t="shared" si="19"/>
        <v>0</v>
      </c>
      <c r="AH162" s="53">
        <f t="shared" si="20"/>
        <v>0</v>
      </c>
      <c r="AI162" s="50"/>
      <c r="AJ162" s="50"/>
      <c r="AK162" s="50"/>
    </row>
    <row r="163" spans="1:37" x14ac:dyDescent="0.2">
      <c r="A163" s="50"/>
      <c r="B163" s="50"/>
      <c r="C163" s="50"/>
      <c r="D163" s="50"/>
      <c r="E163" s="50"/>
      <c r="F163" s="50"/>
      <c r="G163" s="50"/>
      <c r="H163" s="50"/>
      <c r="I163" s="50"/>
      <c r="J163" s="50"/>
      <c r="K163" s="50"/>
      <c r="L163" s="50"/>
      <c r="M163" s="52"/>
      <c r="N163" s="51"/>
      <c r="O163" s="51"/>
      <c r="P163" s="53">
        <f t="shared" si="14"/>
        <v>0</v>
      </c>
      <c r="Q163" s="50"/>
      <c r="R163" s="50"/>
      <c r="S163" s="51"/>
      <c r="T163" s="50"/>
      <c r="U163" s="50"/>
      <c r="V163" s="50"/>
      <c r="W163" s="50"/>
      <c r="X163" s="50"/>
      <c r="Y163" s="50"/>
      <c r="Z163" s="50"/>
      <c r="AA163" s="50"/>
      <c r="AB163" s="50"/>
      <c r="AC163" s="53">
        <f t="shared" si="15"/>
        <v>0</v>
      </c>
      <c r="AD163" s="53">
        <f t="shared" si="16"/>
        <v>0</v>
      </c>
      <c r="AE163" s="53">
        <f t="shared" si="17"/>
        <v>0</v>
      </c>
      <c r="AF163" s="53">
        <f t="shared" si="18"/>
        <v>0</v>
      </c>
      <c r="AG163" s="53">
        <f t="shared" si="19"/>
        <v>0</v>
      </c>
      <c r="AH163" s="53">
        <f t="shared" si="20"/>
        <v>0</v>
      </c>
      <c r="AI163" s="50"/>
      <c r="AJ163" s="50"/>
      <c r="AK163" s="50"/>
    </row>
    <row r="164" spans="1:37" x14ac:dyDescent="0.2">
      <c r="A164" s="50"/>
      <c r="B164" s="50"/>
      <c r="C164" s="50"/>
      <c r="D164" s="50"/>
      <c r="E164" s="50"/>
      <c r="F164" s="50"/>
      <c r="G164" s="50"/>
      <c r="H164" s="50"/>
      <c r="I164" s="50"/>
      <c r="J164" s="50"/>
      <c r="K164" s="50"/>
      <c r="L164" s="50"/>
      <c r="M164" s="52"/>
      <c r="N164" s="51"/>
      <c r="O164" s="51"/>
      <c r="P164" s="53">
        <f t="shared" si="14"/>
        <v>0</v>
      </c>
      <c r="Q164" s="50"/>
      <c r="R164" s="50"/>
      <c r="S164" s="51"/>
      <c r="T164" s="50"/>
      <c r="U164" s="50"/>
      <c r="V164" s="50"/>
      <c r="W164" s="50"/>
      <c r="X164" s="50"/>
      <c r="Y164" s="50"/>
      <c r="Z164" s="50"/>
      <c r="AA164" s="50"/>
      <c r="AB164" s="50"/>
      <c r="AC164" s="53">
        <f t="shared" si="15"/>
        <v>0</v>
      </c>
      <c r="AD164" s="53">
        <f t="shared" si="16"/>
        <v>0</v>
      </c>
      <c r="AE164" s="53">
        <f t="shared" si="17"/>
        <v>0</v>
      </c>
      <c r="AF164" s="53">
        <f t="shared" si="18"/>
        <v>0</v>
      </c>
      <c r="AG164" s="53">
        <f t="shared" si="19"/>
        <v>0</v>
      </c>
      <c r="AH164" s="53">
        <f t="shared" si="20"/>
        <v>0</v>
      </c>
      <c r="AI164" s="50"/>
      <c r="AJ164" s="50"/>
      <c r="AK164" s="50"/>
    </row>
    <row r="165" spans="1:37" x14ac:dyDescent="0.2">
      <c r="A165" s="50"/>
      <c r="B165" s="50"/>
      <c r="C165" s="50"/>
      <c r="D165" s="50"/>
      <c r="E165" s="50"/>
      <c r="F165" s="50"/>
      <c r="G165" s="50"/>
      <c r="H165" s="50"/>
      <c r="I165" s="50"/>
      <c r="J165" s="50"/>
      <c r="K165" s="50"/>
      <c r="L165" s="50"/>
      <c r="M165" s="52"/>
      <c r="N165" s="51"/>
      <c r="O165" s="51"/>
      <c r="P165" s="53">
        <f t="shared" si="14"/>
        <v>0</v>
      </c>
      <c r="Q165" s="50"/>
      <c r="R165" s="50"/>
      <c r="S165" s="51"/>
      <c r="T165" s="50"/>
      <c r="U165" s="50"/>
      <c r="V165" s="50"/>
      <c r="W165" s="50"/>
      <c r="X165" s="50"/>
      <c r="Y165" s="50"/>
      <c r="Z165" s="50"/>
      <c r="AA165" s="50"/>
      <c r="AB165" s="50"/>
      <c r="AC165" s="53">
        <f t="shared" si="15"/>
        <v>0</v>
      </c>
      <c r="AD165" s="53">
        <f t="shared" si="16"/>
        <v>0</v>
      </c>
      <c r="AE165" s="53">
        <f t="shared" si="17"/>
        <v>0</v>
      </c>
      <c r="AF165" s="53">
        <f t="shared" si="18"/>
        <v>0</v>
      </c>
      <c r="AG165" s="53">
        <f t="shared" si="19"/>
        <v>0</v>
      </c>
      <c r="AH165" s="53">
        <f t="shared" si="20"/>
        <v>0</v>
      </c>
      <c r="AI165" s="50"/>
      <c r="AJ165" s="50"/>
      <c r="AK165" s="50"/>
    </row>
    <row r="166" spans="1:37" x14ac:dyDescent="0.2">
      <c r="A166" s="50"/>
      <c r="B166" s="50"/>
      <c r="C166" s="50"/>
      <c r="D166" s="50"/>
      <c r="E166" s="50"/>
      <c r="F166" s="50"/>
      <c r="G166" s="50"/>
      <c r="H166" s="50"/>
      <c r="I166" s="50"/>
      <c r="J166" s="50"/>
      <c r="K166" s="50"/>
      <c r="L166" s="50"/>
      <c r="M166" s="52"/>
      <c r="N166" s="51"/>
      <c r="O166" s="51"/>
      <c r="P166" s="53">
        <f t="shared" si="14"/>
        <v>0</v>
      </c>
      <c r="Q166" s="50"/>
      <c r="R166" s="50"/>
      <c r="S166" s="51"/>
      <c r="T166" s="50"/>
      <c r="U166" s="50"/>
      <c r="V166" s="50"/>
      <c r="W166" s="50"/>
      <c r="X166" s="50"/>
      <c r="Y166" s="50"/>
      <c r="Z166" s="50"/>
      <c r="AA166" s="50"/>
      <c r="AB166" s="50"/>
      <c r="AC166" s="53">
        <f t="shared" si="15"/>
        <v>0</v>
      </c>
      <c r="AD166" s="53">
        <f t="shared" si="16"/>
        <v>0</v>
      </c>
      <c r="AE166" s="53">
        <f t="shared" si="17"/>
        <v>0</v>
      </c>
      <c r="AF166" s="53">
        <f t="shared" si="18"/>
        <v>0</v>
      </c>
      <c r="AG166" s="53">
        <f t="shared" si="19"/>
        <v>0</v>
      </c>
      <c r="AH166" s="53">
        <f t="shared" si="20"/>
        <v>0</v>
      </c>
      <c r="AI166" s="50"/>
      <c r="AJ166" s="50"/>
      <c r="AK166" s="50"/>
    </row>
    <row r="167" spans="1:37" x14ac:dyDescent="0.2">
      <c r="A167" s="50"/>
      <c r="B167" s="50"/>
      <c r="C167" s="50"/>
      <c r="D167" s="50"/>
      <c r="E167" s="50"/>
      <c r="F167" s="50"/>
      <c r="G167" s="50"/>
      <c r="H167" s="50"/>
      <c r="I167" s="50"/>
      <c r="J167" s="50"/>
      <c r="K167" s="50"/>
      <c r="L167" s="50"/>
      <c r="M167" s="52"/>
      <c r="N167" s="51"/>
      <c r="O167" s="51"/>
      <c r="P167" s="53">
        <f t="shared" si="14"/>
        <v>0</v>
      </c>
      <c r="Q167" s="50"/>
      <c r="R167" s="50"/>
      <c r="S167" s="51"/>
      <c r="T167" s="50"/>
      <c r="U167" s="50"/>
      <c r="V167" s="50"/>
      <c r="W167" s="50"/>
      <c r="X167" s="50"/>
      <c r="Y167" s="50"/>
      <c r="Z167" s="50"/>
      <c r="AA167" s="50"/>
      <c r="AB167" s="50"/>
      <c r="AC167" s="53">
        <f t="shared" si="15"/>
        <v>0</v>
      </c>
      <c r="AD167" s="53">
        <f t="shared" si="16"/>
        <v>0</v>
      </c>
      <c r="AE167" s="53">
        <f t="shared" si="17"/>
        <v>0</v>
      </c>
      <c r="AF167" s="53">
        <f t="shared" si="18"/>
        <v>0</v>
      </c>
      <c r="AG167" s="53">
        <f t="shared" si="19"/>
        <v>0</v>
      </c>
      <c r="AH167" s="53">
        <f t="shared" si="20"/>
        <v>0</v>
      </c>
      <c r="AI167" s="50"/>
      <c r="AJ167" s="50"/>
      <c r="AK167" s="50"/>
    </row>
    <row r="168" spans="1:37" x14ac:dyDescent="0.2">
      <c r="A168" s="50"/>
      <c r="B168" s="50"/>
      <c r="C168" s="50"/>
      <c r="D168" s="50"/>
      <c r="E168" s="50"/>
      <c r="F168" s="50"/>
      <c r="G168" s="50"/>
      <c r="H168" s="50"/>
      <c r="I168" s="50"/>
      <c r="J168" s="50"/>
      <c r="K168" s="50"/>
      <c r="L168" s="50"/>
      <c r="M168" s="52"/>
      <c r="N168" s="51"/>
      <c r="O168" s="51"/>
      <c r="P168" s="53">
        <f t="shared" si="14"/>
        <v>0</v>
      </c>
      <c r="Q168" s="50"/>
      <c r="R168" s="50"/>
      <c r="S168" s="51"/>
      <c r="T168" s="50"/>
      <c r="U168" s="50"/>
      <c r="V168" s="50"/>
      <c r="W168" s="50"/>
      <c r="X168" s="50"/>
      <c r="Y168" s="50"/>
      <c r="Z168" s="50"/>
      <c r="AA168" s="50"/>
      <c r="AB168" s="50"/>
      <c r="AC168" s="53">
        <f t="shared" si="15"/>
        <v>0</v>
      </c>
      <c r="AD168" s="53">
        <f t="shared" si="16"/>
        <v>0</v>
      </c>
      <c r="AE168" s="53">
        <f t="shared" si="17"/>
        <v>0</v>
      </c>
      <c r="AF168" s="53">
        <f t="shared" si="18"/>
        <v>0</v>
      </c>
      <c r="AG168" s="53">
        <f t="shared" si="19"/>
        <v>0</v>
      </c>
      <c r="AH168" s="53">
        <f t="shared" si="20"/>
        <v>0</v>
      </c>
      <c r="AI168" s="50"/>
      <c r="AJ168" s="50"/>
      <c r="AK168" s="50"/>
    </row>
    <row r="169" spans="1:37" x14ac:dyDescent="0.2">
      <c r="A169" s="50"/>
      <c r="B169" s="50"/>
      <c r="C169" s="50"/>
      <c r="D169" s="50"/>
      <c r="E169" s="50"/>
      <c r="F169" s="50"/>
      <c r="G169" s="50"/>
      <c r="H169" s="50"/>
      <c r="I169" s="50"/>
      <c r="J169" s="50"/>
      <c r="K169" s="50"/>
      <c r="L169" s="50"/>
      <c r="M169" s="52"/>
      <c r="N169" s="51"/>
      <c r="O169" s="51"/>
      <c r="P169" s="53">
        <f t="shared" si="14"/>
        <v>0</v>
      </c>
      <c r="Q169" s="50"/>
      <c r="R169" s="50"/>
      <c r="S169" s="51"/>
      <c r="T169" s="50"/>
      <c r="U169" s="50"/>
      <c r="V169" s="50"/>
      <c r="W169" s="50"/>
      <c r="X169" s="50"/>
      <c r="Y169" s="50"/>
      <c r="Z169" s="50"/>
      <c r="AA169" s="50"/>
      <c r="AB169" s="50"/>
      <c r="AC169" s="53">
        <f t="shared" si="15"/>
        <v>0</v>
      </c>
      <c r="AD169" s="53">
        <f t="shared" si="16"/>
        <v>0</v>
      </c>
      <c r="AE169" s="53">
        <f t="shared" si="17"/>
        <v>0</v>
      </c>
      <c r="AF169" s="53">
        <f t="shared" si="18"/>
        <v>0</v>
      </c>
      <c r="AG169" s="53">
        <f t="shared" si="19"/>
        <v>0</v>
      </c>
      <c r="AH169" s="53">
        <f t="shared" si="20"/>
        <v>0</v>
      </c>
      <c r="AI169" s="50"/>
      <c r="AJ169" s="50"/>
      <c r="AK169" s="50"/>
    </row>
    <row r="170" spans="1:37" x14ac:dyDescent="0.2">
      <c r="A170" s="50"/>
      <c r="B170" s="50"/>
      <c r="C170" s="50"/>
      <c r="D170" s="50"/>
      <c r="E170" s="50"/>
      <c r="F170" s="50"/>
      <c r="G170" s="50"/>
      <c r="H170" s="50"/>
      <c r="I170" s="50"/>
      <c r="J170" s="50"/>
      <c r="K170" s="50"/>
      <c r="L170" s="50"/>
      <c r="M170" s="52"/>
      <c r="N170" s="51"/>
      <c r="O170" s="51"/>
      <c r="P170" s="53">
        <f t="shared" si="14"/>
        <v>0</v>
      </c>
      <c r="Q170" s="50"/>
      <c r="R170" s="50"/>
      <c r="S170" s="51"/>
      <c r="T170" s="50"/>
      <c r="U170" s="50"/>
      <c r="V170" s="50"/>
      <c r="W170" s="50"/>
      <c r="X170" s="50"/>
      <c r="Y170" s="50"/>
      <c r="Z170" s="50"/>
      <c r="AA170" s="50"/>
      <c r="AB170" s="50"/>
      <c r="AC170" s="53">
        <f t="shared" si="15"/>
        <v>0</v>
      </c>
      <c r="AD170" s="53">
        <f t="shared" si="16"/>
        <v>0</v>
      </c>
      <c r="AE170" s="53">
        <f t="shared" si="17"/>
        <v>0</v>
      </c>
      <c r="AF170" s="53">
        <f t="shared" si="18"/>
        <v>0</v>
      </c>
      <c r="AG170" s="53">
        <f t="shared" si="19"/>
        <v>0</v>
      </c>
      <c r="AH170" s="53">
        <f t="shared" si="20"/>
        <v>0</v>
      </c>
      <c r="AI170" s="50"/>
      <c r="AJ170" s="50"/>
      <c r="AK170" s="50"/>
    </row>
    <row r="171" spans="1:37" x14ac:dyDescent="0.2">
      <c r="A171" s="50"/>
      <c r="B171" s="50"/>
      <c r="C171" s="50"/>
      <c r="D171" s="50"/>
      <c r="E171" s="50"/>
      <c r="F171" s="50"/>
      <c r="G171" s="50"/>
      <c r="H171" s="50"/>
      <c r="I171" s="50"/>
      <c r="J171" s="50"/>
      <c r="K171" s="50"/>
      <c r="L171" s="50"/>
      <c r="M171" s="52"/>
      <c r="N171" s="51"/>
      <c r="O171" s="51"/>
      <c r="P171" s="53">
        <f t="shared" si="14"/>
        <v>0</v>
      </c>
      <c r="Q171" s="50"/>
      <c r="R171" s="50"/>
      <c r="S171" s="51"/>
      <c r="T171" s="50"/>
      <c r="U171" s="50"/>
      <c r="V171" s="50"/>
      <c r="W171" s="50"/>
      <c r="X171" s="50"/>
      <c r="Y171" s="50"/>
      <c r="Z171" s="50"/>
      <c r="AA171" s="50"/>
      <c r="AB171" s="50"/>
      <c r="AC171" s="53">
        <f t="shared" si="15"/>
        <v>0</v>
      </c>
      <c r="AD171" s="53">
        <f t="shared" si="16"/>
        <v>0</v>
      </c>
      <c r="AE171" s="53">
        <f t="shared" si="17"/>
        <v>0</v>
      </c>
      <c r="AF171" s="53">
        <f t="shared" si="18"/>
        <v>0</v>
      </c>
      <c r="AG171" s="53">
        <f t="shared" si="19"/>
        <v>0</v>
      </c>
      <c r="AH171" s="53">
        <f t="shared" si="20"/>
        <v>0</v>
      </c>
      <c r="AI171" s="50"/>
      <c r="AJ171" s="50"/>
      <c r="AK171" s="50"/>
    </row>
    <row r="172" spans="1:37" x14ac:dyDescent="0.2">
      <c r="A172" s="50"/>
      <c r="B172" s="50"/>
      <c r="C172" s="50"/>
      <c r="D172" s="50"/>
      <c r="E172" s="50"/>
      <c r="F172" s="50"/>
      <c r="G172" s="50"/>
      <c r="H172" s="50"/>
      <c r="I172" s="50"/>
      <c r="J172" s="50"/>
      <c r="K172" s="50"/>
      <c r="L172" s="50"/>
      <c r="M172" s="52"/>
      <c r="N172" s="51"/>
      <c r="O172" s="51"/>
      <c r="P172" s="53">
        <f t="shared" si="14"/>
        <v>0</v>
      </c>
      <c r="Q172" s="50"/>
      <c r="R172" s="50"/>
      <c r="S172" s="51"/>
      <c r="T172" s="50"/>
      <c r="U172" s="50"/>
      <c r="V172" s="50"/>
      <c r="W172" s="50"/>
      <c r="X172" s="50"/>
      <c r="Y172" s="50"/>
      <c r="Z172" s="50"/>
      <c r="AA172" s="50"/>
      <c r="AB172" s="50"/>
      <c r="AC172" s="53">
        <f t="shared" si="15"/>
        <v>0</v>
      </c>
      <c r="AD172" s="53">
        <f t="shared" si="16"/>
        <v>0</v>
      </c>
      <c r="AE172" s="53">
        <f t="shared" si="17"/>
        <v>0</v>
      </c>
      <c r="AF172" s="53">
        <f t="shared" si="18"/>
        <v>0</v>
      </c>
      <c r="AG172" s="53">
        <f t="shared" si="19"/>
        <v>0</v>
      </c>
      <c r="AH172" s="53">
        <f t="shared" si="20"/>
        <v>0</v>
      </c>
      <c r="AI172" s="50"/>
      <c r="AJ172" s="50"/>
      <c r="AK172" s="50"/>
    </row>
    <row r="173" spans="1:37" x14ac:dyDescent="0.2">
      <c r="A173" s="50"/>
      <c r="B173" s="50"/>
      <c r="C173" s="50"/>
      <c r="D173" s="50"/>
      <c r="E173" s="50"/>
      <c r="F173" s="50"/>
      <c r="G173" s="50"/>
      <c r="H173" s="50"/>
      <c r="I173" s="50"/>
      <c r="J173" s="50"/>
      <c r="K173" s="50"/>
      <c r="L173" s="50"/>
      <c r="M173" s="52"/>
      <c r="N173" s="51"/>
      <c r="O173" s="51"/>
      <c r="P173" s="53">
        <f t="shared" si="14"/>
        <v>0</v>
      </c>
      <c r="Q173" s="50"/>
      <c r="R173" s="50"/>
      <c r="S173" s="51"/>
      <c r="T173" s="50"/>
      <c r="U173" s="50"/>
      <c r="V173" s="50"/>
      <c r="W173" s="50"/>
      <c r="X173" s="50"/>
      <c r="Y173" s="50"/>
      <c r="Z173" s="50"/>
      <c r="AA173" s="50"/>
      <c r="AB173" s="50"/>
      <c r="AC173" s="53">
        <f t="shared" si="15"/>
        <v>0</v>
      </c>
      <c r="AD173" s="53">
        <f t="shared" si="16"/>
        <v>0</v>
      </c>
      <c r="AE173" s="53">
        <f t="shared" si="17"/>
        <v>0</v>
      </c>
      <c r="AF173" s="53">
        <f t="shared" si="18"/>
        <v>0</v>
      </c>
      <c r="AG173" s="53">
        <f t="shared" si="19"/>
        <v>0</v>
      </c>
      <c r="AH173" s="53">
        <f t="shared" si="20"/>
        <v>0</v>
      </c>
      <c r="AI173" s="50"/>
      <c r="AJ173" s="50"/>
      <c r="AK173" s="50"/>
    </row>
    <row r="174" spans="1:37" x14ac:dyDescent="0.2">
      <c r="A174" s="50"/>
      <c r="B174" s="50"/>
      <c r="C174" s="50"/>
      <c r="D174" s="50"/>
      <c r="E174" s="50"/>
      <c r="F174" s="50"/>
      <c r="G174" s="50"/>
      <c r="H174" s="50"/>
      <c r="I174" s="50"/>
      <c r="J174" s="50"/>
      <c r="K174" s="50"/>
      <c r="L174" s="50"/>
      <c r="M174" s="52"/>
      <c r="N174" s="51"/>
      <c r="O174" s="51"/>
      <c r="P174" s="53">
        <f t="shared" si="14"/>
        <v>0</v>
      </c>
      <c r="Q174" s="50"/>
      <c r="R174" s="50"/>
      <c r="S174" s="51"/>
      <c r="T174" s="50"/>
      <c r="U174" s="50"/>
      <c r="V174" s="50"/>
      <c r="W174" s="50"/>
      <c r="X174" s="50"/>
      <c r="Y174" s="50"/>
      <c r="Z174" s="50"/>
      <c r="AA174" s="50"/>
      <c r="AB174" s="50"/>
      <c r="AC174" s="53">
        <f t="shared" si="15"/>
        <v>0</v>
      </c>
      <c r="AD174" s="53">
        <f t="shared" si="16"/>
        <v>0</v>
      </c>
      <c r="AE174" s="53">
        <f t="shared" si="17"/>
        <v>0</v>
      </c>
      <c r="AF174" s="53">
        <f t="shared" si="18"/>
        <v>0</v>
      </c>
      <c r="AG174" s="53">
        <f t="shared" si="19"/>
        <v>0</v>
      </c>
      <c r="AH174" s="53">
        <f t="shared" si="20"/>
        <v>0</v>
      </c>
      <c r="AI174" s="50"/>
      <c r="AJ174" s="50"/>
      <c r="AK174" s="50"/>
    </row>
    <row r="175" spans="1:37" x14ac:dyDescent="0.2">
      <c r="A175" s="50"/>
      <c r="B175" s="50"/>
      <c r="C175" s="50"/>
      <c r="D175" s="50"/>
      <c r="E175" s="50"/>
      <c r="F175" s="50"/>
      <c r="G175" s="50"/>
      <c r="H175" s="50"/>
      <c r="I175" s="50"/>
      <c r="J175" s="50"/>
      <c r="K175" s="50"/>
      <c r="L175" s="50"/>
      <c r="M175" s="52"/>
      <c r="N175" s="51"/>
      <c r="O175" s="51"/>
      <c r="P175" s="53">
        <f t="shared" si="14"/>
        <v>0</v>
      </c>
      <c r="Q175" s="50"/>
      <c r="R175" s="50"/>
      <c r="S175" s="51"/>
      <c r="T175" s="50"/>
      <c r="U175" s="50"/>
      <c r="V175" s="50"/>
      <c r="W175" s="50"/>
      <c r="X175" s="50"/>
      <c r="Y175" s="50"/>
      <c r="Z175" s="50"/>
      <c r="AA175" s="50"/>
      <c r="AB175" s="50"/>
      <c r="AC175" s="53">
        <f t="shared" si="15"/>
        <v>0</v>
      </c>
      <c r="AD175" s="53">
        <f t="shared" si="16"/>
        <v>0</v>
      </c>
      <c r="AE175" s="53">
        <f t="shared" si="17"/>
        <v>0</v>
      </c>
      <c r="AF175" s="53">
        <f t="shared" si="18"/>
        <v>0</v>
      </c>
      <c r="AG175" s="53">
        <f t="shared" si="19"/>
        <v>0</v>
      </c>
      <c r="AH175" s="53">
        <f t="shared" si="20"/>
        <v>0</v>
      </c>
      <c r="AI175" s="50"/>
      <c r="AJ175" s="50"/>
      <c r="AK175" s="50"/>
    </row>
    <row r="176" spans="1:37" x14ac:dyDescent="0.2">
      <c r="A176" s="50"/>
      <c r="B176" s="50"/>
      <c r="C176" s="50"/>
      <c r="D176" s="50"/>
      <c r="E176" s="50"/>
      <c r="F176" s="50"/>
      <c r="G176" s="50"/>
      <c r="H176" s="50"/>
      <c r="I176" s="50"/>
      <c r="J176" s="50"/>
      <c r="K176" s="50"/>
      <c r="L176" s="50"/>
      <c r="M176" s="52"/>
      <c r="N176" s="51"/>
      <c r="O176" s="51"/>
      <c r="P176" s="53">
        <f t="shared" si="14"/>
        <v>0</v>
      </c>
      <c r="Q176" s="50"/>
      <c r="R176" s="50"/>
      <c r="S176" s="51"/>
      <c r="T176" s="50"/>
      <c r="U176" s="50"/>
      <c r="V176" s="50"/>
      <c r="W176" s="50"/>
      <c r="X176" s="50"/>
      <c r="Y176" s="50"/>
      <c r="Z176" s="50"/>
      <c r="AA176" s="50"/>
      <c r="AB176" s="50"/>
      <c r="AC176" s="53">
        <f t="shared" si="15"/>
        <v>0</v>
      </c>
      <c r="AD176" s="53">
        <f t="shared" si="16"/>
        <v>0</v>
      </c>
      <c r="AE176" s="53">
        <f t="shared" si="17"/>
        <v>0</v>
      </c>
      <c r="AF176" s="53">
        <f t="shared" si="18"/>
        <v>0</v>
      </c>
      <c r="AG176" s="53">
        <f t="shared" si="19"/>
        <v>0</v>
      </c>
      <c r="AH176" s="53">
        <f t="shared" si="20"/>
        <v>0</v>
      </c>
      <c r="AI176" s="50"/>
      <c r="AJ176" s="50"/>
      <c r="AK176" s="50"/>
    </row>
    <row r="177" spans="1:37" x14ac:dyDescent="0.2">
      <c r="A177" s="50"/>
      <c r="B177" s="50"/>
      <c r="C177" s="50"/>
      <c r="D177" s="50"/>
      <c r="E177" s="50"/>
      <c r="F177" s="50"/>
      <c r="G177" s="50"/>
      <c r="H177" s="50"/>
      <c r="I177" s="50"/>
      <c r="J177" s="50"/>
      <c r="K177" s="50"/>
      <c r="L177" s="50"/>
      <c r="M177" s="52"/>
      <c r="N177" s="51"/>
      <c r="O177" s="51"/>
      <c r="P177" s="53">
        <f t="shared" si="14"/>
        <v>0</v>
      </c>
      <c r="Q177" s="50"/>
      <c r="R177" s="50"/>
      <c r="S177" s="51"/>
      <c r="T177" s="50"/>
      <c r="U177" s="50"/>
      <c r="V177" s="50"/>
      <c r="W177" s="50"/>
      <c r="X177" s="50"/>
      <c r="Y177" s="50"/>
      <c r="Z177" s="50"/>
      <c r="AA177" s="50"/>
      <c r="AB177" s="50"/>
      <c r="AC177" s="53">
        <f t="shared" si="15"/>
        <v>0</v>
      </c>
      <c r="AD177" s="53">
        <f t="shared" si="16"/>
        <v>0</v>
      </c>
      <c r="AE177" s="53">
        <f t="shared" si="17"/>
        <v>0</v>
      </c>
      <c r="AF177" s="53">
        <f t="shared" si="18"/>
        <v>0</v>
      </c>
      <c r="AG177" s="53">
        <f t="shared" si="19"/>
        <v>0</v>
      </c>
      <c r="AH177" s="53">
        <f t="shared" si="20"/>
        <v>0</v>
      </c>
      <c r="AI177" s="50"/>
      <c r="AJ177" s="50"/>
      <c r="AK177" s="50"/>
    </row>
    <row r="178" spans="1:37" x14ac:dyDescent="0.2">
      <c r="A178" s="50"/>
      <c r="B178" s="50"/>
      <c r="C178" s="50"/>
      <c r="D178" s="50"/>
      <c r="E178" s="50"/>
      <c r="F178" s="50"/>
      <c r="G178" s="50"/>
      <c r="H178" s="50"/>
      <c r="I178" s="50"/>
      <c r="J178" s="50"/>
      <c r="K178" s="50"/>
      <c r="L178" s="50"/>
      <c r="M178" s="52"/>
      <c r="N178" s="51"/>
      <c r="O178" s="51"/>
      <c r="P178" s="53">
        <f t="shared" si="14"/>
        <v>0</v>
      </c>
      <c r="Q178" s="50"/>
      <c r="R178" s="50"/>
      <c r="S178" s="51"/>
      <c r="T178" s="50"/>
      <c r="U178" s="50"/>
      <c r="V178" s="50"/>
      <c r="W178" s="50"/>
      <c r="X178" s="50"/>
      <c r="Y178" s="50"/>
      <c r="Z178" s="50"/>
      <c r="AA178" s="50"/>
      <c r="AB178" s="50"/>
      <c r="AC178" s="53">
        <f t="shared" si="15"/>
        <v>0</v>
      </c>
      <c r="AD178" s="53">
        <f t="shared" si="16"/>
        <v>0</v>
      </c>
      <c r="AE178" s="53">
        <f t="shared" si="17"/>
        <v>0</v>
      </c>
      <c r="AF178" s="53">
        <f t="shared" si="18"/>
        <v>0</v>
      </c>
      <c r="AG178" s="53">
        <f t="shared" si="19"/>
        <v>0</v>
      </c>
      <c r="AH178" s="53">
        <f t="shared" si="20"/>
        <v>0</v>
      </c>
      <c r="AI178" s="50"/>
      <c r="AJ178" s="50"/>
      <c r="AK178" s="50"/>
    </row>
    <row r="179" spans="1:37" x14ac:dyDescent="0.2">
      <c r="A179" s="50"/>
      <c r="B179" s="50"/>
      <c r="C179" s="50"/>
      <c r="D179" s="50"/>
      <c r="E179" s="50"/>
      <c r="F179" s="50"/>
      <c r="G179" s="50"/>
      <c r="H179" s="50"/>
      <c r="I179" s="50"/>
      <c r="J179" s="50"/>
      <c r="K179" s="50"/>
      <c r="L179" s="50"/>
      <c r="M179" s="52"/>
      <c r="N179" s="51"/>
      <c r="O179" s="51"/>
      <c r="P179" s="53">
        <f t="shared" si="14"/>
        <v>0</v>
      </c>
      <c r="Q179" s="50"/>
      <c r="R179" s="50"/>
      <c r="S179" s="51"/>
      <c r="T179" s="50"/>
      <c r="U179" s="50"/>
      <c r="V179" s="50"/>
      <c r="W179" s="50"/>
      <c r="X179" s="50"/>
      <c r="Y179" s="50"/>
      <c r="Z179" s="50"/>
      <c r="AA179" s="50"/>
      <c r="AB179" s="50"/>
      <c r="AC179" s="53">
        <f t="shared" si="15"/>
        <v>0</v>
      </c>
      <c r="AD179" s="53">
        <f t="shared" si="16"/>
        <v>0</v>
      </c>
      <c r="AE179" s="53">
        <f t="shared" si="17"/>
        <v>0</v>
      </c>
      <c r="AF179" s="53">
        <f t="shared" si="18"/>
        <v>0</v>
      </c>
      <c r="AG179" s="53">
        <f t="shared" si="19"/>
        <v>0</v>
      </c>
      <c r="AH179" s="53">
        <f t="shared" si="20"/>
        <v>0</v>
      </c>
      <c r="AI179" s="50"/>
      <c r="AJ179" s="50"/>
      <c r="AK179" s="50"/>
    </row>
    <row r="180" spans="1:37" x14ac:dyDescent="0.2">
      <c r="A180" s="50"/>
      <c r="B180" s="50"/>
      <c r="C180" s="50"/>
      <c r="D180" s="50"/>
      <c r="E180" s="50"/>
      <c r="F180" s="50"/>
      <c r="G180" s="50"/>
      <c r="H180" s="50"/>
      <c r="I180" s="50"/>
      <c r="J180" s="50"/>
      <c r="K180" s="50"/>
      <c r="L180" s="50"/>
      <c r="M180" s="52"/>
      <c r="N180" s="51"/>
      <c r="O180" s="51"/>
      <c r="P180" s="53">
        <f t="shared" si="14"/>
        <v>0</v>
      </c>
      <c r="Q180" s="50"/>
      <c r="R180" s="50"/>
      <c r="S180" s="51"/>
      <c r="T180" s="50"/>
      <c r="U180" s="50"/>
      <c r="V180" s="50"/>
      <c r="W180" s="50"/>
      <c r="X180" s="50"/>
      <c r="Y180" s="50"/>
      <c r="Z180" s="50"/>
      <c r="AA180" s="50"/>
      <c r="AB180" s="50"/>
      <c r="AC180" s="53">
        <f t="shared" si="15"/>
        <v>0</v>
      </c>
      <c r="AD180" s="53">
        <f t="shared" si="16"/>
        <v>0</v>
      </c>
      <c r="AE180" s="53">
        <f t="shared" si="17"/>
        <v>0</v>
      </c>
      <c r="AF180" s="53">
        <f t="shared" si="18"/>
        <v>0</v>
      </c>
      <c r="AG180" s="53">
        <f t="shared" si="19"/>
        <v>0</v>
      </c>
      <c r="AH180" s="53">
        <f t="shared" si="20"/>
        <v>0</v>
      </c>
      <c r="AI180" s="50"/>
      <c r="AJ180" s="50"/>
      <c r="AK180" s="50"/>
    </row>
    <row r="181" spans="1:37" x14ac:dyDescent="0.2">
      <c r="A181" s="50"/>
      <c r="B181" s="50"/>
      <c r="C181" s="50"/>
      <c r="D181" s="50"/>
      <c r="E181" s="50"/>
      <c r="F181" s="50"/>
      <c r="G181" s="50"/>
      <c r="H181" s="50"/>
      <c r="I181" s="50"/>
      <c r="J181" s="50"/>
      <c r="K181" s="50"/>
      <c r="L181" s="50"/>
      <c r="M181" s="52"/>
      <c r="N181" s="51"/>
      <c r="O181" s="51"/>
      <c r="P181" s="53">
        <f t="shared" si="14"/>
        <v>0</v>
      </c>
      <c r="Q181" s="50"/>
      <c r="R181" s="50"/>
      <c r="S181" s="51"/>
      <c r="T181" s="50"/>
      <c r="U181" s="50"/>
      <c r="V181" s="50"/>
      <c r="W181" s="50"/>
      <c r="X181" s="50"/>
      <c r="Y181" s="50"/>
      <c r="Z181" s="50"/>
      <c r="AA181" s="50"/>
      <c r="AB181" s="50"/>
      <c r="AC181" s="53">
        <f t="shared" si="15"/>
        <v>0</v>
      </c>
      <c r="AD181" s="53">
        <f t="shared" si="16"/>
        <v>0</v>
      </c>
      <c r="AE181" s="53">
        <f t="shared" si="17"/>
        <v>0</v>
      </c>
      <c r="AF181" s="53">
        <f t="shared" si="18"/>
        <v>0</v>
      </c>
      <c r="AG181" s="53">
        <f t="shared" si="19"/>
        <v>0</v>
      </c>
      <c r="AH181" s="53">
        <f t="shared" si="20"/>
        <v>0</v>
      </c>
      <c r="AI181" s="50"/>
      <c r="AJ181" s="50"/>
      <c r="AK181" s="50"/>
    </row>
    <row r="182" spans="1:37" x14ac:dyDescent="0.2">
      <c r="A182" s="50"/>
      <c r="B182" s="50"/>
      <c r="C182" s="50"/>
      <c r="D182" s="50"/>
      <c r="E182" s="50"/>
      <c r="F182" s="50"/>
      <c r="G182" s="50"/>
      <c r="H182" s="50"/>
      <c r="I182" s="50"/>
      <c r="J182" s="50"/>
      <c r="K182" s="50"/>
      <c r="L182" s="50"/>
      <c r="M182" s="52"/>
      <c r="N182" s="51"/>
      <c r="O182" s="51"/>
      <c r="P182" s="53">
        <f t="shared" si="14"/>
        <v>0</v>
      </c>
      <c r="Q182" s="50"/>
      <c r="R182" s="50"/>
      <c r="S182" s="51"/>
      <c r="T182" s="50"/>
      <c r="U182" s="50"/>
      <c r="V182" s="50"/>
      <c r="W182" s="50"/>
      <c r="X182" s="50"/>
      <c r="Y182" s="50"/>
      <c r="Z182" s="50"/>
      <c r="AA182" s="50"/>
      <c r="AB182" s="50"/>
      <c r="AC182" s="53">
        <f t="shared" si="15"/>
        <v>0</v>
      </c>
      <c r="AD182" s="53">
        <f t="shared" si="16"/>
        <v>0</v>
      </c>
      <c r="AE182" s="53">
        <f t="shared" si="17"/>
        <v>0</v>
      </c>
      <c r="AF182" s="53">
        <f t="shared" si="18"/>
        <v>0</v>
      </c>
      <c r="AG182" s="53">
        <f t="shared" si="19"/>
        <v>0</v>
      </c>
      <c r="AH182" s="53">
        <f t="shared" si="20"/>
        <v>0</v>
      </c>
      <c r="AI182" s="50"/>
      <c r="AJ182" s="50"/>
      <c r="AK182" s="50"/>
    </row>
    <row r="183" spans="1:37" x14ac:dyDescent="0.2">
      <c r="A183" s="50"/>
      <c r="B183" s="50"/>
      <c r="C183" s="50"/>
      <c r="D183" s="50"/>
      <c r="E183" s="50"/>
      <c r="F183" s="50"/>
      <c r="G183" s="50"/>
      <c r="H183" s="50"/>
      <c r="I183" s="50"/>
      <c r="J183" s="50"/>
      <c r="K183" s="50"/>
      <c r="L183" s="50"/>
      <c r="M183" s="52"/>
      <c r="N183" s="51"/>
      <c r="O183" s="51"/>
      <c r="P183" s="53">
        <f t="shared" si="14"/>
        <v>0</v>
      </c>
      <c r="Q183" s="50"/>
      <c r="R183" s="50"/>
      <c r="S183" s="51"/>
      <c r="T183" s="50"/>
      <c r="U183" s="50"/>
      <c r="V183" s="50"/>
      <c r="W183" s="50"/>
      <c r="X183" s="50"/>
      <c r="Y183" s="50"/>
      <c r="Z183" s="50"/>
      <c r="AA183" s="50"/>
      <c r="AB183" s="50"/>
      <c r="AC183" s="53">
        <f t="shared" si="15"/>
        <v>0</v>
      </c>
      <c r="AD183" s="53">
        <f t="shared" si="16"/>
        <v>0</v>
      </c>
      <c r="AE183" s="53">
        <f t="shared" si="17"/>
        <v>0</v>
      </c>
      <c r="AF183" s="53">
        <f t="shared" si="18"/>
        <v>0</v>
      </c>
      <c r="AG183" s="53">
        <f t="shared" si="19"/>
        <v>0</v>
      </c>
      <c r="AH183" s="53">
        <f t="shared" si="20"/>
        <v>0</v>
      </c>
      <c r="AI183" s="50"/>
      <c r="AJ183" s="50"/>
      <c r="AK183" s="50"/>
    </row>
    <row r="184" spans="1:37" x14ac:dyDescent="0.2">
      <c r="A184" s="50"/>
      <c r="B184" s="50"/>
      <c r="C184" s="50"/>
      <c r="D184" s="50"/>
      <c r="E184" s="50"/>
      <c r="F184" s="50"/>
      <c r="G184" s="50"/>
      <c r="H184" s="50"/>
      <c r="I184" s="50"/>
      <c r="J184" s="50"/>
      <c r="K184" s="50"/>
      <c r="L184" s="50"/>
      <c r="M184" s="52"/>
      <c r="N184" s="51"/>
      <c r="O184" s="51"/>
      <c r="P184" s="53">
        <f t="shared" si="14"/>
        <v>0</v>
      </c>
      <c r="Q184" s="50"/>
      <c r="R184" s="50"/>
      <c r="S184" s="51"/>
      <c r="T184" s="50"/>
      <c r="U184" s="50"/>
      <c r="V184" s="50"/>
      <c r="W184" s="50"/>
      <c r="X184" s="50"/>
      <c r="Y184" s="50"/>
      <c r="Z184" s="50"/>
      <c r="AA184" s="50"/>
      <c r="AB184" s="50"/>
      <c r="AC184" s="53">
        <f t="shared" si="15"/>
        <v>0</v>
      </c>
      <c r="AD184" s="53">
        <f t="shared" si="16"/>
        <v>0</v>
      </c>
      <c r="AE184" s="53">
        <f t="shared" si="17"/>
        <v>0</v>
      </c>
      <c r="AF184" s="53">
        <f t="shared" si="18"/>
        <v>0</v>
      </c>
      <c r="AG184" s="53">
        <f t="shared" si="19"/>
        <v>0</v>
      </c>
      <c r="AH184" s="53">
        <f t="shared" si="20"/>
        <v>0</v>
      </c>
      <c r="AI184" s="50"/>
      <c r="AJ184" s="50"/>
      <c r="AK184" s="50"/>
    </row>
    <row r="185" spans="1:37" x14ac:dyDescent="0.2">
      <c r="A185" s="50"/>
      <c r="B185" s="50"/>
      <c r="C185" s="50"/>
      <c r="D185" s="50"/>
      <c r="E185" s="50"/>
      <c r="F185" s="50"/>
      <c r="G185" s="50"/>
      <c r="H185" s="50"/>
      <c r="I185" s="50"/>
      <c r="J185" s="50"/>
      <c r="K185" s="50"/>
      <c r="L185" s="50"/>
      <c r="M185" s="52"/>
      <c r="N185" s="51"/>
      <c r="O185" s="51"/>
      <c r="P185" s="53">
        <f t="shared" si="14"/>
        <v>0</v>
      </c>
      <c r="Q185" s="50"/>
      <c r="R185" s="50"/>
      <c r="S185" s="51"/>
      <c r="T185" s="50"/>
      <c r="U185" s="50"/>
      <c r="V185" s="50"/>
      <c r="W185" s="50"/>
      <c r="X185" s="50"/>
      <c r="Y185" s="50"/>
      <c r="Z185" s="50"/>
      <c r="AA185" s="50"/>
      <c r="AB185" s="50"/>
      <c r="AC185" s="53">
        <f t="shared" si="15"/>
        <v>0</v>
      </c>
      <c r="AD185" s="53">
        <f t="shared" si="16"/>
        <v>0</v>
      </c>
      <c r="AE185" s="53">
        <f t="shared" si="17"/>
        <v>0</v>
      </c>
      <c r="AF185" s="53">
        <f t="shared" si="18"/>
        <v>0</v>
      </c>
      <c r="AG185" s="53">
        <f t="shared" si="19"/>
        <v>0</v>
      </c>
      <c r="AH185" s="53">
        <f t="shared" si="20"/>
        <v>0</v>
      </c>
      <c r="AI185" s="50"/>
      <c r="AJ185" s="50"/>
      <c r="AK185" s="50"/>
    </row>
    <row r="186" spans="1:37" x14ac:dyDescent="0.2">
      <c r="A186" s="50"/>
      <c r="B186" s="50"/>
      <c r="C186" s="50"/>
      <c r="D186" s="50"/>
      <c r="E186" s="50"/>
      <c r="F186" s="50"/>
      <c r="G186" s="50"/>
      <c r="H186" s="50"/>
      <c r="I186" s="50"/>
      <c r="J186" s="50"/>
      <c r="K186" s="50"/>
      <c r="L186" s="50"/>
      <c r="M186" s="52"/>
      <c r="N186" s="51"/>
      <c r="O186" s="51"/>
      <c r="P186" s="53">
        <f t="shared" si="14"/>
        <v>0</v>
      </c>
      <c r="Q186" s="50"/>
      <c r="R186" s="50"/>
      <c r="S186" s="51"/>
      <c r="T186" s="50"/>
      <c r="U186" s="50"/>
      <c r="V186" s="50"/>
      <c r="W186" s="50"/>
      <c r="X186" s="50"/>
      <c r="Y186" s="50"/>
      <c r="Z186" s="50"/>
      <c r="AA186" s="50"/>
      <c r="AB186" s="50"/>
      <c r="AC186" s="53">
        <f t="shared" si="15"/>
        <v>0</v>
      </c>
      <c r="AD186" s="53">
        <f t="shared" si="16"/>
        <v>0</v>
      </c>
      <c r="AE186" s="53">
        <f t="shared" si="17"/>
        <v>0</v>
      </c>
      <c r="AF186" s="53">
        <f t="shared" si="18"/>
        <v>0</v>
      </c>
      <c r="AG186" s="53">
        <f t="shared" si="19"/>
        <v>0</v>
      </c>
      <c r="AH186" s="53">
        <f t="shared" si="20"/>
        <v>0</v>
      </c>
      <c r="AI186" s="50"/>
      <c r="AJ186" s="50"/>
      <c r="AK186" s="50"/>
    </row>
    <row r="187" spans="1:37" x14ac:dyDescent="0.2">
      <c r="A187" s="50"/>
      <c r="B187" s="50"/>
      <c r="C187" s="50"/>
      <c r="D187" s="50"/>
      <c r="E187" s="50"/>
      <c r="F187" s="50"/>
      <c r="G187" s="50"/>
      <c r="H187" s="50"/>
      <c r="I187" s="50"/>
      <c r="J187" s="50"/>
      <c r="K187" s="50"/>
      <c r="L187" s="50"/>
      <c r="M187" s="52"/>
      <c r="N187" s="51"/>
      <c r="O187" s="51"/>
      <c r="P187" s="53">
        <f t="shared" si="14"/>
        <v>0</v>
      </c>
      <c r="Q187" s="50"/>
      <c r="R187" s="50"/>
      <c r="S187" s="51"/>
      <c r="T187" s="50"/>
      <c r="U187" s="50"/>
      <c r="V187" s="50"/>
      <c r="W187" s="50"/>
      <c r="X187" s="50"/>
      <c r="Y187" s="50"/>
      <c r="Z187" s="50"/>
      <c r="AA187" s="50"/>
      <c r="AB187" s="50"/>
      <c r="AC187" s="53">
        <f t="shared" si="15"/>
        <v>0</v>
      </c>
      <c r="AD187" s="53">
        <f t="shared" si="16"/>
        <v>0</v>
      </c>
      <c r="AE187" s="53">
        <f t="shared" si="17"/>
        <v>0</v>
      </c>
      <c r="AF187" s="53">
        <f t="shared" si="18"/>
        <v>0</v>
      </c>
      <c r="AG187" s="53">
        <f t="shared" si="19"/>
        <v>0</v>
      </c>
      <c r="AH187" s="53">
        <f t="shared" si="20"/>
        <v>0</v>
      </c>
      <c r="AI187" s="50"/>
      <c r="AJ187" s="50"/>
      <c r="AK187" s="50"/>
    </row>
    <row r="188" spans="1:37" x14ac:dyDescent="0.2">
      <c r="A188" s="50"/>
      <c r="B188" s="50"/>
      <c r="C188" s="50"/>
      <c r="D188" s="50"/>
      <c r="E188" s="50"/>
      <c r="F188" s="50"/>
      <c r="G188" s="50"/>
      <c r="H188" s="50"/>
      <c r="I188" s="50"/>
      <c r="J188" s="50"/>
      <c r="K188" s="50"/>
      <c r="L188" s="50"/>
      <c r="M188" s="52"/>
      <c r="N188" s="51"/>
      <c r="O188" s="51"/>
      <c r="P188" s="53">
        <f t="shared" si="14"/>
        <v>0</v>
      </c>
      <c r="Q188" s="50"/>
      <c r="R188" s="50"/>
      <c r="S188" s="51"/>
      <c r="T188" s="50"/>
      <c r="U188" s="50"/>
      <c r="V188" s="50"/>
      <c r="W188" s="50"/>
      <c r="X188" s="50"/>
      <c r="Y188" s="50"/>
      <c r="Z188" s="50"/>
      <c r="AA188" s="50"/>
      <c r="AB188" s="50"/>
      <c r="AC188" s="53">
        <f t="shared" si="15"/>
        <v>0</v>
      </c>
      <c r="AD188" s="53">
        <f t="shared" si="16"/>
        <v>0</v>
      </c>
      <c r="AE188" s="53">
        <f t="shared" si="17"/>
        <v>0</v>
      </c>
      <c r="AF188" s="53">
        <f t="shared" si="18"/>
        <v>0</v>
      </c>
      <c r="AG188" s="53">
        <f t="shared" si="19"/>
        <v>0</v>
      </c>
      <c r="AH188" s="53">
        <f t="shared" si="20"/>
        <v>0</v>
      </c>
      <c r="AI188" s="50"/>
      <c r="AJ188" s="50"/>
      <c r="AK188" s="50"/>
    </row>
    <row r="189" spans="1:37" x14ac:dyDescent="0.2">
      <c r="A189" s="50"/>
      <c r="B189" s="50"/>
      <c r="C189" s="50"/>
      <c r="D189" s="50"/>
      <c r="E189" s="50"/>
      <c r="F189" s="50"/>
      <c r="G189" s="50"/>
      <c r="H189" s="50"/>
      <c r="I189" s="50"/>
      <c r="J189" s="50"/>
      <c r="K189" s="50"/>
      <c r="L189" s="50"/>
      <c r="M189" s="52"/>
      <c r="N189" s="51"/>
      <c r="O189" s="51"/>
      <c r="P189" s="53">
        <f t="shared" si="14"/>
        <v>0</v>
      </c>
      <c r="Q189" s="50"/>
      <c r="R189" s="50"/>
      <c r="S189" s="51"/>
      <c r="T189" s="50"/>
      <c r="U189" s="50"/>
      <c r="V189" s="50"/>
      <c r="W189" s="50"/>
      <c r="X189" s="50"/>
      <c r="Y189" s="50"/>
      <c r="Z189" s="50"/>
      <c r="AA189" s="50"/>
      <c r="AB189" s="50"/>
      <c r="AC189" s="53">
        <f t="shared" si="15"/>
        <v>0</v>
      </c>
      <c r="AD189" s="53">
        <f t="shared" si="16"/>
        <v>0</v>
      </c>
      <c r="AE189" s="53">
        <f t="shared" si="17"/>
        <v>0</v>
      </c>
      <c r="AF189" s="53">
        <f t="shared" si="18"/>
        <v>0</v>
      </c>
      <c r="AG189" s="53">
        <f t="shared" si="19"/>
        <v>0</v>
      </c>
      <c r="AH189" s="53">
        <f t="shared" si="20"/>
        <v>0</v>
      </c>
      <c r="AI189" s="50"/>
      <c r="AJ189" s="50"/>
      <c r="AK189" s="50"/>
    </row>
    <row r="190" spans="1:37" x14ac:dyDescent="0.2">
      <c r="A190" s="50"/>
      <c r="B190" s="50"/>
      <c r="C190" s="50"/>
      <c r="D190" s="50"/>
      <c r="E190" s="50"/>
      <c r="F190" s="50"/>
      <c r="G190" s="50"/>
      <c r="H190" s="50"/>
      <c r="I190" s="50"/>
      <c r="J190" s="50"/>
      <c r="K190" s="50"/>
      <c r="L190" s="50"/>
      <c r="M190" s="52"/>
      <c r="N190" s="51"/>
      <c r="O190" s="51"/>
      <c r="P190" s="53">
        <f t="shared" si="14"/>
        <v>0</v>
      </c>
      <c r="Q190" s="50"/>
      <c r="R190" s="50"/>
      <c r="S190" s="51"/>
      <c r="T190" s="50"/>
      <c r="U190" s="50"/>
      <c r="V190" s="50"/>
      <c r="W190" s="50"/>
      <c r="X190" s="50"/>
      <c r="Y190" s="50"/>
      <c r="Z190" s="50"/>
      <c r="AA190" s="50"/>
      <c r="AB190" s="50"/>
      <c r="AC190" s="53">
        <f t="shared" si="15"/>
        <v>0</v>
      </c>
      <c r="AD190" s="53">
        <f t="shared" si="16"/>
        <v>0</v>
      </c>
      <c r="AE190" s="53">
        <f t="shared" si="17"/>
        <v>0</v>
      </c>
      <c r="AF190" s="53">
        <f t="shared" si="18"/>
        <v>0</v>
      </c>
      <c r="AG190" s="53">
        <f t="shared" si="19"/>
        <v>0</v>
      </c>
      <c r="AH190" s="53">
        <f t="shared" si="20"/>
        <v>0</v>
      </c>
      <c r="AI190" s="50"/>
      <c r="AJ190" s="50"/>
      <c r="AK190" s="50"/>
    </row>
    <row r="191" spans="1:37" x14ac:dyDescent="0.2">
      <c r="A191" s="50"/>
      <c r="B191" s="50"/>
      <c r="C191" s="50"/>
      <c r="D191" s="50"/>
      <c r="E191" s="50"/>
      <c r="F191" s="50"/>
      <c r="G191" s="50"/>
      <c r="H191" s="50"/>
      <c r="I191" s="50"/>
      <c r="J191" s="50"/>
      <c r="K191" s="50"/>
      <c r="L191" s="50"/>
      <c r="M191" s="52"/>
      <c r="N191" s="51"/>
      <c r="O191" s="51"/>
      <c r="P191" s="53">
        <f t="shared" si="14"/>
        <v>0</v>
      </c>
      <c r="Q191" s="50"/>
      <c r="R191" s="50"/>
      <c r="S191" s="51"/>
      <c r="T191" s="50"/>
      <c r="U191" s="50"/>
      <c r="V191" s="50"/>
      <c r="W191" s="50"/>
      <c r="X191" s="50"/>
      <c r="Y191" s="50"/>
      <c r="Z191" s="50"/>
      <c r="AA191" s="50"/>
      <c r="AB191" s="50"/>
      <c r="AC191" s="53">
        <f t="shared" si="15"/>
        <v>0</v>
      </c>
      <c r="AD191" s="53">
        <f t="shared" si="16"/>
        <v>0</v>
      </c>
      <c r="AE191" s="53">
        <f t="shared" si="17"/>
        <v>0</v>
      </c>
      <c r="AF191" s="53">
        <f t="shared" si="18"/>
        <v>0</v>
      </c>
      <c r="AG191" s="53">
        <f t="shared" si="19"/>
        <v>0</v>
      </c>
      <c r="AH191" s="53">
        <f t="shared" si="20"/>
        <v>0</v>
      </c>
      <c r="AI191" s="50"/>
      <c r="AJ191" s="50"/>
      <c r="AK191" s="50"/>
    </row>
    <row r="192" spans="1:37" x14ac:dyDescent="0.2">
      <c r="A192" s="50"/>
      <c r="B192" s="50"/>
      <c r="C192" s="50"/>
      <c r="D192" s="50"/>
      <c r="E192" s="50"/>
      <c r="F192" s="50"/>
      <c r="G192" s="50"/>
      <c r="H192" s="50"/>
      <c r="I192" s="50"/>
      <c r="J192" s="50"/>
      <c r="K192" s="50"/>
      <c r="L192" s="50"/>
      <c r="M192" s="52"/>
      <c r="N192" s="51"/>
      <c r="O192" s="51"/>
      <c r="P192" s="53">
        <f t="shared" si="14"/>
        <v>0</v>
      </c>
      <c r="Q192" s="50"/>
      <c r="R192" s="50"/>
      <c r="S192" s="51"/>
      <c r="T192" s="50"/>
      <c r="U192" s="50"/>
      <c r="V192" s="50"/>
      <c r="W192" s="50"/>
      <c r="X192" s="50"/>
      <c r="Y192" s="50"/>
      <c r="Z192" s="50"/>
      <c r="AA192" s="50"/>
      <c r="AB192" s="50"/>
      <c r="AC192" s="53">
        <f t="shared" si="15"/>
        <v>0</v>
      </c>
      <c r="AD192" s="53">
        <f t="shared" si="16"/>
        <v>0</v>
      </c>
      <c r="AE192" s="53">
        <f t="shared" si="17"/>
        <v>0</v>
      </c>
      <c r="AF192" s="53">
        <f t="shared" si="18"/>
        <v>0</v>
      </c>
      <c r="AG192" s="53">
        <f t="shared" si="19"/>
        <v>0</v>
      </c>
      <c r="AH192" s="53">
        <f t="shared" si="20"/>
        <v>0</v>
      </c>
      <c r="AI192" s="50"/>
      <c r="AJ192" s="50"/>
      <c r="AK192" s="50"/>
    </row>
    <row r="193" spans="1:37" x14ac:dyDescent="0.2">
      <c r="A193" s="50"/>
      <c r="B193" s="50"/>
      <c r="C193" s="50"/>
      <c r="D193" s="50"/>
      <c r="E193" s="50"/>
      <c r="F193" s="50"/>
      <c r="G193" s="50"/>
      <c r="H193" s="50"/>
      <c r="I193" s="50"/>
      <c r="J193" s="50"/>
      <c r="K193" s="50"/>
      <c r="L193" s="50"/>
      <c r="M193" s="52"/>
      <c r="N193" s="51"/>
      <c r="O193" s="51"/>
      <c r="P193" s="53">
        <f t="shared" si="14"/>
        <v>0</v>
      </c>
      <c r="Q193" s="50"/>
      <c r="R193" s="50"/>
      <c r="S193" s="51"/>
      <c r="T193" s="50"/>
      <c r="U193" s="50"/>
      <c r="V193" s="50"/>
      <c r="W193" s="50"/>
      <c r="X193" s="50"/>
      <c r="Y193" s="50"/>
      <c r="Z193" s="50"/>
      <c r="AA193" s="50"/>
      <c r="AB193" s="50"/>
      <c r="AC193" s="53">
        <f t="shared" si="15"/>
        <v>0</v>
      </c>
      <c r="AD193" s="53">
        <f t="shared" si="16"/>
        <v>0</v>
      </c>
      <c r="AE193" s="53">
        <f t="shared" si="17"/>
        <v>0</v>
      </c>
      <c r="AF193" s="53">
        <f t="shared" si="18"/>
        <v>0</v>
      </c>
      <c r="AG193" s="53">
        <f t="shared" si="19"/>
        <v>0</v>
      </c>
      <c r="AH193" s="53">
        <f t="shared" si="20"/>
        <v>0</v>
      </c>
      <c r="AI193" s="50"/>
      <c r="AJ193" s="50"/>
      <c r="AK193" s="50"/>
    </row>
    <row r="194" spans="1:37" x14ac:dyDescent="0.2">
      <c r="A194" s="50"/>
      <c r="B194" s="50"/>
      <c r="C194" s="50"/>
      <c r="D194" s="50"/>
      <c r="E194" s="50"/>
      <c r="F194" s="50"/>
      <c r="G194" s="50"/>
      <c r="H194" s="50"/>
      <c r="I194" s="50"/>
      <c r="J194" s="50"/>
      <c r="K194" s="50"/>
      <c r="L194" s="50"/>
      <c r="M194" s="52"/>
      <c r="N194" s="51"/>
      <c r="O194" s="51"/>
      <c r="P194" s="53">
        <f t="shared" si="14"/>
        <v>0</v>
      </c>
      <c r="Q194" s="50"/>
      <c r="R194" s="50"/>
      <c r="S194" s="51"/>
      <c r="T194" s="50"/>
      <c r="U194" s="50"/>
      <c r="V194" s="50"/>
      <c r="W194" s="50"/>
      <c r="X194" s="50"/>
      <c r="Y194" s="50"/>
      <c r="Z194" s="50"/>
      <c r="AA194" s="50"/>
      <c r="AB194" s="50"/>
      <c r="AC194" s="53">
        <f t="shared" si="15"/>
        <v>0</v>
      </c>
      <c r="AD194" s="53">
        <f t="shared" si="16"/>
        <v>0</v>
      </c>
      <c r="AE194" s="53">
        <f t="shared" si="17"/>
        <v>0</v>
      </c>
      <c r="AF194" s="53">
        <f t="shared" si="18"/>
        <v>0</v>
      </c>
      <c r="AG194" s="53">
        <f t="shared" si="19"/>
        <v>0</v>
      </c>
      <c r="AH194" s="53">
        <f t="shared" si="20"/>
        <v>0</v>
      </c>
      <c r="AI194" s="50"/>
      <c r="AJ194" s="50"/>
      <c r="AK194" s="50"/>
    </row>
    <row r="195" spans="1:37" x14ac:dyDescent="0.2">
      <c r="A195" s="50"/>
      <c r="B195" s="50"/>
      <c r="C195" s="50"/>
      <c r="D195" s="50"/>
      <c r="E195" s="50"/>
      <c r="F195" s="50"/>
      <c r="G195" s="50"/>
      <c r="H195" s="50"/>
      <c r="I195" s="50"/>
      <c r="J195" s="50"/>
      <c r="K195" s="50"/>
      <c r="L195" s="50"/>
      <c r="M195" s="52"/>
      <c r="N195" s="51"/>
      <c r="O195" s="51"/>
      <c r="P195" s="53">
        <f t="shared" si="14"/>
        <v>0</v>
      </c>
      <c r="Q195" s="50"/>
      <c r="R195" s="50"/>
      <c r="S195" s="51"/>
      <c r="T195" s="50"/>
      <c r="U195" s="50"/>
      <c r="V195" s="50"/>
      <c r="W195" s="50"/>
      <c r="X195" s="50"/>
      <c r="Y195" s="50"/>
      <c r="Z195" s="50"/>
      <c r="AA195" s="50"/>
      <c r="AB195" s="50"/>
      <c r="AC195" s="53">
        <f t="shared" si="15"/>
        <v>0</v>
      </c>
      <c r="AD195" s="53">
        <f t="shared" si="16"/>
        <v>0</v>
      </c>
      <c r="AE195" s="53">
        <f t="shared" si="17"/>
        <v>0</v>
      </c>
      <c r="AF195" s="53">
        <f t="shared" si="18"/>
        <v>0</v>
      </c>
      <c r="AG195" s="53">
        <f t="shared" si="19"/>
        <v>0</v>
      </c>
      <c r="AH195" s="53">
        <f t="shared" si="20"/>
        <v>0</v>
      </c>
      <c r="AI195" s="50"/>
      <c r="AJ195" s="50"/>
      <c r="AK195" s="50"/>
    </row>
    <row r="196" spans="1:37" x14ac:dyDescent="0.2">
      <c r="A196" s="50"/>
      <c r="B196" s="50"/>
      <c r="C196" s="50"/>
      <c r="D196" s="50"/>
      <c r="E196" s="50"/>
      <c r="F196" s="50"/>
      <c r="G196" s="50"/>
      <c r="H196" s="50"/>
      <c r="I196" s="50"/>
      <c r="J196" s="50"/>
      <c r="K196" s="50"/>
      <c r="L196" s="50"/>
      <c r="M196" s="52"/>
      <c r="N196" s="51"/>
      <c r="O196" s="51"/>
      <c r="P196" s="53">
        <f t="shared" si="14"/>
        <v>0</v>
      </c>
      <c r="Q196" s="50"/>
      <c r="R196" s="50"/>
      <c r="S196" s="51"/>
      <c r="T196" s="50"/>
      <c r="U196" s="50"/>
      <c r="V196" s="50"/>
      <c r="W196" s="50"/>
      <c r="X196" s="50"/>
      <c r="Y196" s="50"/>
      <c r="Z196" s="50"/>
      <c r="AA196" s="50"/>
      <c r="AB196" s="50"/>
      <c r="AC196" s="53">
        <f t="shared" si="15"/>
        <v>0</v>
      </c>
      <c r="AD196" s="53">
        <f t="shared" si="16"/>
        <v>0</v>
      </c>
      <c r="AE196" s="53">
        <f t="shared" si="17"/>
        <v>0</v>
      </c>
      <c r="AF196" s="53">
        <f t="shared" si="18"/>
        <v>0</v>
      </c>
      <c r="AG196" s="53">
        <f t="shared" si="19"/>
        <v>0</v>
      </c>
      <c r="AH196" s="53">
        <f t="shared" si="20"/>
        <v>0</v>
      </c>
      <c r="AI196" s="50"/>
      <c r="AJ196" s="50"/>
      <c r="AK196" s="50"/>
    </row>
    <row r="197" spans="1:37" x14ac:dyDescent="0.2">
      <c r="A197" s="50"/>
      <c r="B197" s="50"/>
      <c r="C197" s="50"/>
      <c r="D197" s="50"/>
      <c r="E197" s="50"/>
      <c r="F197" s="50"/>
      <c r="G197" s="50"/>
      <c r="H197" s="50"/>
      <c r="I197" s="50"/>
      <c r="J197" s="50"/>
      <c r="K197" s="50"/>
      <c r="L197" s="50"/>
      <c r="M197" s="52"/>
      <c r="N197" s="51"/>
      <c r="O197" s="51"/>
      <c r="P197" s="53">
        <f t="shared" ref="P197:P260" si="21">IF(OR(M197="",M197=0),0,M197*(1-N197)*(1+O197))</f>
        <v>0</v>
      </c>
      <c r="Q197" s="50"/>
      <c r="R197" s="50"/>
      <c r="S197" s="51"/>
      <c r="T197" s="50"/>
      <c r="U197" s="50"/>
      <c r="V197" s="50"/>
      <c r="W197" s="50"/>
      <c r="X197" s="50"/>
      <c r="Y197" s="50"/>
      <c r="Z197" s="50"/>
      <c r="AA197" s="50"/>
      <c r="AB197" s="50"/>
      <c r="AC197" s="53">
        <f t="shared" ref="AC197:AC260" si="22">IFERROR(X197*$P197,0)</f>
        <v>0</v>
      </c>
      <c r="AD197" s="53">
        <f t="shared" ref="AD197:AD260" si="23">IFERROR(Y197*$P197,0)</f>
        <v>0</v>
      </c>
      <c r="AE197" s="53">
        <f t="shared" ref="AE197:AE260" si="24">IFERROR(Z197*$P197,0)</f>
        <v>0</v>
      </c>
      <c r="AF197" s="53">
        <f t="shared" ref="AF197:AF260" si="25">IFERROR(AA197*$P197,0)</f>
        <v>0</v>
      </c>
      <c r="AG197" s="53">
        <f t="shared" ref="AG197:AG260" si="26">IFERROR(AB197*$P197,0)</f>
        <v>0</v>
      </c>
      <c r="AH197" s="53">
        <f t="shared" ref="AH197:AH260" si="27">SUM(AC197:AG197)</f>
        <v>0</v>
      </c>
      <c r="AI197" s="50"/>
      <c r="AJ197" s="50"/>
      <c r="AK197" s="50"/>
    </row>
    <row r="198" spans="1:37" x14ac:dyDescent="0.2">
      <c r="A198" s="50"/>
      <c r="B198" s="50"/>
      <c r="C198" s="50"/>
      <c r="D198" s="50"/>
      <c r="E198" s="50"/>
      <c r="F198" s="50"/>
      <c r="G198" s="50"/>
      <c r="H198" s="50"/>
      <c r="I198" s="50"/>
      <c r="J198" s="50"/>
      <c r="K198" s="50"/>
      <c r="L198" s="50"/>
      <c r="M198" s="52"/>
      <c r="N198" s="51"/>
      <c r="O198" s="51"/>
      <c r="P198" s="53">
        <f t="shared" si="21"/>
        <v>0</v>
      </c>
      <c r="Q198" s="50"/>
      <c r="R198" s="50"/>
      <c r="S198" s="51"/>
      <c r="T198" s="50"/>
      <c r="U198" s="50"/>
      <c r="V198" s="50"/>
      <c r="W198" s="50"/>
      <c r="X198" s="50"/>
      <c r="Y198" s="50"/>
      <c r="Z198" s="50"/>
      <c r="AA198" s="50"/>
      <c r="AB198" s="50"/>
      <c r="AC198" s="53">
        <f t="shared" si="22"/>
        <v>0</v>
      </c>
      <c r="AD198" s="53">
        <f t="shared" si="23"/>
        <v>0</v>
      </c>
      <c r="AE198" s="53">
        <f t="shared" si="24"/>
        <v>0</v>
      </c>
      <c r="AF198" s="53">
        <f t="shared" si="25"/>
        <v>0</v>
      </c>
      <c r="AG198" s="53">
        <f t="shared" si="26"/>
        <v>0</v>
      </c>
      <c r="AH198" s="53">
        <f t="shared" si="27"/>
        <v>0</v>
      </c>
      <c r="AI198" s="50"/>
      <c r="AJ198" s="50"/>
      <c r="AK198" s="50"/>
    </row>
    <row r="199" spans="1:37" x14ac:dyDescent="0.2">
      <c r="A199" s="50"/>
      <c r="B199" s="50"/>
      <c r="C199" s="50"/>
      <c r="D199" s="50"/>
      <c r="E199" s="50"/>
      <c r="F199" s="50"/>
      <c r="G199" s="50"/>
      <c r="H199" s="50"/>
      <c r="I199" s="50"/>
      <c r="J199" s="50"/>
      <c r="K199" s="50"/>
      <c r="L199" s="50"/>
      <c r="M199" s="52"/>
      <c r="N199" s="51"/>
      <c r="O199" s="51"/>
      <c r="P199" s="53">
        <f t="shared" si="21"/>
        <v>0</v>
      </c>
      <c r="Q199" s="50"/>
      <c r="R199" s="50"/>
      <c r="S199" s="51"/>
      <c r="T199" s="50"/>
      <c r="U199" s="50"/>
      <c r="V199" s="50"/>
      <c r="W199" s="50"/>
      <c r="X199" s="50"/>
      <c r="Y199" s="50"/>
      <c r="Z199" s="50"/>
      <c r="AA199" s="50"/>
      <c r="AB199" s="50"/>
      <c r="AC199" s="53">
        <f t="shared" si="22"/>
        <v>0</v>
      </c>
      <c r="AD199" s="53">
        <f t="shared" si="23"/>
        <v>0</v>
      </c>
      <c r="AE199" s="53">
        <f t="shared" si="24"/>
        <v>0</v>
      </c>
      <c r="AF199" s="53">
        <f t="shared" si="25"/>
        <v>0</v>
      </c>
      <c r="AG199" s="53">
        <f t="shared" si="26"/>
        <v>0</v>
      </c>
      <c r="AH199" s="53">
        <f t="shared" si="27"/>
        <v>0</v>
      </c>
      <c r="AI199" s="50"/>
      <c r="AJ199" s="50"/>
      <c r="AK199" s="50"/>
    </row>
    <row r="200" spans="1:37" x14ac:dyDescent="0.2">
      <c r="A200" s="50"/>
      <c r="B200" s="50"/>
      <c r="C200" s="50"/>
      <c r="D200" s="50"/>
      <c r="E200" s="50"/>
      <c r="F200" s="50"/>
      <c r="G200" s="50"/>
      <c r="H200" s="50"/>
      <c r="I200" s="50"/>
      <c r="J200" s="50"/>
      <c r="K200" s="50"/>
      <c r="L200" s="50"/>
      <c r="M200" s="52"/>
      <c r="N200" s="51"/>
      <c r="O200" s="51"/>
      <c r="P200" s="53">
        <f t="shared" si="21"/>
        <v>0</v>
      </c>
      <c r="Q200" s="50"/>
      <c r="R200" s="50"/>
      <c r="S200" s="51"/>
      <c r="T200" s="50"/>
      <c r="U200" s="50"/>
      <c r="V200" s="50"/>
      <c r="W200" s="50"/>
      <c r="X200" s="50"/>
      <c r="Y200" s="50"/>
      <c r="Z200" s="50"/>
      <c r="AA200" s="50"/>
      <c r="AB200" s="50"/>
      <c r="AC200" s="53">
        <f t="shared" si="22"/>
        <v>0</v>
      </c>
      <c r="AD200" s="53">
        <f t="shared" si="23"/>
        <v>0</v>
      </c>
      <c r="AE200" s="53">
        <f t="shared" si="24"/>
        <v>0</v>
      </c>
      <c r="AF200" s="53">
        <f t="shared" si="25"/>
        <v>0</v>
      </c>
      <c r="AG200" s="53">
        <f t="shared" si="26"/>
        <v>0</v>
      </c>
      <c r="AH200" s="53">
        <f t="shared" si="27"/>
        <v>0</v>
      </c>
      <c r="AI200" s="50"/>
      <c r="AJ200" s="50"/>
      <c r="AK200" s="50"/>
    </row>
    <row r="201" spans="1:37" x14ac:dyDescent="0.2">
      <c r="A201" s="50"/>
      <c r="B201" s="50"/>
      <c r="C201" s="50"/>
      <c r="D201" s="50"/>
      <c r="E201" s="50"/>
      <c r="F201" s="50"/>
      <c r="G201" s="50"/>
      <c r="H201" s="50"/>
      <c r="I201" s="50"/>
      <c r="J201" s="50"/>
      <c r="K201" s="50"/>
      <c r="L201" s="50"/>
      <c r="M201" s="52"/>
      <c r="N201" s="51"/>
      <c r="O201" s="51"/>
      <c r="P201" s="53">
        <f t="shared" si="21"/>
        <v>0</v>
      </c>
      <c r="Q201" s="50"/>
      <c r="R201" s="50"/>
      <c r="S201" s="51"/>
      <c r="T201" s="50"/>
      <c r="U201" s="50"/>
      <c r="V201" s="50"/>
      <c r="W201" s="50"/>
      <c r="X201" s="50"/>
      <c r="Y201" s="50"/>
      <c r="Z201" s="50"/>
      <c r="AA201" s="50"/>
      <c r="AB201" s="50"/>
      <c r="AC201" s="53">
        <f t="shared" si="22"/>
        <v>0</v>
      </c>
      <c r="AD201" s="53">
        <f t="shared" si="23"/>
        <v>0</v>
      </c>
      <c r="AE201" s="53">
        <f t="shared" si="24"/>
        <v>0</v>
      </c>
      <c r="AF201" s="53">
        <f t="shared" si="25"/>
        <v>0</v>
      </c>
      <c r="AG201" s="53">
        <f t="shared" si="26"/>
        <v>0</v>
      </c>
      <c r="AH201" s="53">
        <f t="shared" si="27"/>
        <v>0</v>
      </c>
      <c r="AI201" s="50"/>
      <c r="AJ201" s="50"/>
      <c r="AK201" s="50"/>
    </row>
    <row r="202" spans="1:37" x14ac:dyDescent="0.2">
      <c r="A202" s="50"/>
      <c r="B202" s="50"/>
      <c r="C202" s="50"/>
      <c r="D202" s="50"/>
      <c r="E202" s="50"/>
      <c r="F202" s="50"/>
      <c r="G202" s="50"/>
      <c r="H202" s="50"/>
      <c r="I202" s="50"/>
      <c r="J202" s="50"/>
      <c r="K202" s="50"/>
      <c r="L202" s="50"/>
      <c r="M202" s="52"/>
      <c r="N202" s="51"/>
      <c r="O202" s="51"/>
      <c r="P202" s="53">
        <f t="shared" si="21"/>
        <v>0</v>
      </c>
      <c r="Q202" s="50"/>
      <c r="R202" s="50"/>
      <c r="S202" s="51"/>
      <c r="T202" s="50"/>
      <c r="U202" s="50"/>
      <c r="V202" s="50"/>
      <c r="W202" s="50"/>
      <c r="X202" s="50"/>
      <c r="Y202" s="50"/>
      <c r="Z202" s="50"/>
      <c r="AA202" s="50"/>
      <c r="AB202" s="50"/>
      <c r="AC202" s="53">
        <f t="shared" si="22"/>
        <v>0</v>
      </c>
      <c r="AD202" s="53">
        <f t="shared" si="23"/>
        <v>0</v>
      </c>
      <c r="AE202" s="53">
        <f t="shared" si="24"/>
        <v>0</v>
      </c>
      <c r="AF202" s="53">
        <f t="shared" si="25"/>
        <v>0</v>
      </c>
      <c r="AG202" s="53">
        <f t="shared" si="26"/>
        <v>0</v>
      </c>
      <c r="AH202" s="53">
        <f t="shared" si="27"/>
        <v>0</v>
      </c>
      <c r="AI202" s="50"/>
      <c r="AJ202" s="50"/>
      <c r="AK202" s="50"/>
    </row>
    <row r="203" spans="1:37" x14ac:dyDescent="0.2">
      <c r="A203" s="50"/>
      <c r="B203" s="50"/>
      <c r="C203" s="50"/>
      <c r="D203" s="50"/>
      <c r="E203" s="50"/>
      <c r="F203" s="50"/>
      <c r="G203" s="50"/>
      <c r="H203" s="50"/>
      <c r="I203" s="50"/>
      <c r="J203" s="50"/>
      <c r="K203" s="50"/>
      <c r="L203" s="50"/>
      <c r="M203" s="52"/>
      <c r="N203" s="51"/>
      <c r="O203" s="51"/>
      <c r="P203" s="53">
        <f t="shared" si="21"/>
        <v>0</v>
      </c>
      <c r="Q203" s="50"/>
      <c r="R203" s="50"/>
      <c r="S203" s="51"/>
      <c r="T203" s="50"/>
      <c r="U203" s="50"/>
      <c r="V203" s="50"/>
      <c r="W203" s="50"/>
      <c r="X203" s="50"/>
      <c r="Y203" s="50"/>
      <c r="Z203" s="50"/>
      <c r="AA203" s="50"/>
      <c r="AB203" s="50"/>
      <c r="AC203" s="53">
        <f t="shared" si="22"/>
        <v>0</v>
      </c>
      <c r="AD203" s="53">
        <f t="shared" si="23"/>
        <v>0</v>
      </c>
      <c r="AE203" s="53">
        <f t="shared" si="24"/>
        <v>0</v>
      </c>
      <c r="AF203" s="53">
        <f t="shared" si="25"/>
        <v>0</v>
      </c>
      <c r="AG203" s="53">
        <f t="shared" si="26"/>
        <v>0</v>
      </c>
      <c r="AH203" s="53">
        <f t="shared" si="27"/>
        <v>0</v>
      </c>
      <c r="AI203" s="50"/>
      <c r="AJ203" s="50"/>
      <c r="AK203" s="50"/>
    </row>
    <row r="204" spans="1:37" x14ac:dyDescent="0.2">
      <c r="A204" s="50"/>
      <c r="B204" s="50"/>
      <c r="C204" s="50"/>
      <c r="D204" s="50"/>
      <c r="E204" s="50"/>
      <c r="F204" s="50"/>
      <c r="G204" s="50"/>
      <c r="H204" s="50"/>
      <c r="I204" s="50"/>
      <c r="J204" s="50"/>
      <c r="K204" s="50"/>
      <c r="L204" s="50"/>
      <c r="M204" s="52"/>
      <c r="N204" s="51"/>
      <c r="O204" s="51"/>
      <c r="P204" s="53">
        <f t="shared" si="21"/>
        <v>0</v>
      </c>
      <c r="Q204" s="50"/>
      <c r="R204" s="50"/>
      <c r="S204" s="51"/>
      <c r="T204" s="50"/>
      <c r="U204" s="50"/>
      <c r="V204" s="50"/>
      <c r="W204" s="50"/>
      <c r="X204" s="50"/>
      <c r="Y204" s="50"/>
      <c r="Z204" s="50"/>
      <c r="AA204" s="50"/>
      <c r="AB204" s="50"/>
      <c r="AC204" s="53">
        <f t="shared" si="22"/>
        <v>0</v>
      </c>
      <c r="AD204" s="53">
        <f t="shared" si="23"/>
        <v>0</v>
      </c>
      <c r="AE204" s="53">
        <f t="shared" si="24"/>
        <v>0</v>
      </c>
      <c r="AF204" s="53">
        <f t="shared" si="25"/>
        <v>0</v>
      </c>
      <c r="AG204" s="53">
        <f t="shared" si="26"/>
        <v>0</v>
      </c>
      <c r="AH204" s="53">
        <f t="shared" si="27"/>
        <v>0</v>
      </c>
      <c r="AI204" s="50"/>
      <c r="AJ204" s="50"/>
      <c r="AK204" s="50"/>
    </row>
    <row r="205" spans="1:37" x14ac:dyDescent="0.2">
      <c r="A205" s="50"/>
      <c r="B205" s="50"/>
      <c r="C205" s="50"/>
      <c r="D205" s="50"/>
      <c r="E205" s="50"/>
      <c r="F205" s="50"/>
      <c r="G205" s="50"/>
      <c r="H205" s="50"/>
      <c r="I205" s="50"/>
      <c r="J205" s="50"/>
      <c r="K205" s="50"/>
      <c r="L205" s="50"/>
      <c r="M205" s="52"/>
      <c r="N205" s="51"/>
      <c r="O205" s="51"/>
      <c r="P205" s="53">
        <f t="shared" si="21"/>
        <v>0</v>
      </c>
      <c r="Q205" s="50"/>
      <c r="R205" s="50"/>
      <c r="S205" s="51"/>
      <c r="T205" s="50"/>
      <c r="U205" s="50"/>
      <c r="V205" s="50"/>
      <c r="W205" s="50"/>
      <c r="X205" s="50"/>
      <c r="Y205" s="50"/>
      <c r="Z205" s="50"/>
      <c r="AA205" s="50"/>
      <c r="AB205" s="50"/>
      <c r="AC205" s="53">
        <f t="shared" si="22"/>
        <v>0</v>
      </c>
      <c r="AD205" s="53">
        <f t="shared" si="23"/>
        <v>0</v>
      </c>
      <c r="AE205" s="53">
        <f t="shared" si="24"/>
        <v>0</v>
      </c>
      <c r="AF205" s="53">
        <f t="shared" si="25"/>
        <v>0</v>
      </c>
      <c r="AG205" s="53">
        <f t="shared" si="26"/>
        <v>0</v>
      </c>
      <c r="AH205" s="53">
        <f t="shared" si="27"/>
        <v>0</v>
      </c>
      <c r="AI205" s="50"/>
      <c r="AJ205" s="50"/>
      <c r="AK205" s="50"/>
    </row>
    <row r="206" spans="1:37" x14ac:dyDescent="0.2">
      <c r="A206" s="50"/>
      <c r="B206" s="50"/>
      <c r="C206" s="50"/>
      <c r="D206" s="50"/>
      <c r="E206" s="50"/>
      <c r="F206" s="50"/>
      <c r="G206" s="50"/>
      <c r="H206" s="50"/>
      <c r="I206" s="50"/>
      <c r="J206" s="50"/>
      <c r="K206" s="50"/>
      <c r="L206" s="50"/>
      <c r="M206" s="52"/>
      <c r="N206" s="51"/>
      <c r="O206" s="51"/>
      <c r="P206" s="53">
        <f t="shared" si="21"/>
        <v>0</v>
      </c>
      <c r="Q206" s="50"/>
      <c r="R206" s="50"/>
      <c r="S206" s="51"/>
      <c r="T206" s="50"/>
      <c r="U206" s="50"/>
      <c r="V206" s="50"/>
      <c r="W206" s="50"/>
      <c r="X206" s="50"/>
      <c r="Y206" s="50"/>
      <c r="Z206" s="50"/>
      <c r="AA206" s="50"/>
      <c r="AB206" s="50"/>
      <c r="AC206" s="53">
        <f t="shared" si="22"/>
        <v>0</v>
      </c>
      <c r="AD206" s="53">
        <f t="shared" si="23"/>
        <v>0</v>
      </c>
      <c r="AE206" s="53">
        <f t="shared" si="24"/>
        <v>0</v>
      </c>
      <c r="AF206" s="53">
        <f t="shared" si="25"/>
        <v>0</v>
      </c>
      <c r="AG206" s="53">
        <f t="shared" si="26"/>
        <v>0</v>
      </c>
      <c r="AH206" s="53">
        <f t="shared" si="27"/>
        <v>0</v>
      </c>
      <c r="AI206" s="50"/>
      <c r="AJ206" s="50"/>
      <c r="AK206" s="50"/>
    </row>
    <row r="207" spans="1:37" x14ac:dyDescent="0.2">
      <c r="A207" s="50"/>
      <c r="B207" s="50"/>
      <c r="C207" s="50"/>
      <c r="D207" s="50"/>
      <c r="E207" s="50"/>
      <c r="F207" s="50"/>
      <c r="G207" s="50"/>
      <c r="H207" s="50"/>
      <c r="I207" s="50"/>
      <c r="J207" s="50"/>
      <c r="K207" s="50"/>
      <c r="L207" s="50"/>
      <c r="M207" s="52"/>
      <c r="N207" s="51"/>
      <c r="O207" s="51"/>
      <c r="P207" s="53">
        <f t="shared" si="21"/>
        <v>0</v>
      </c>
      <c r="Q207" s="50"/>
      <c r="R207" s="50"/>
      <c r="S207" s="51"/>
      <c r="T207" s="50"/>
      <c r="U207" s="50"/>
      <c r="V207" s="50"/>
      <c r="W207" s="50"/>
      <c r="X207" s="50"/>
      <c r="Y207" s="50"/>
      <c r="Z207" s="50"/>
      <c r="AA207" s="50"/>
      <c r="AB207" s="50"/>
      <c r="AC207" s="53">
        <f t="shared" si="22"/>
        <v>0</v>
      </c>
      <c r="AD207" s="53">
        <f t="shared" si="23"/>
        <v>0</v>
      </c>
      <c r="AE207" s="53">
        <f t="shared" si="24"/>
        <v>0</v>
      </c>
      <c r="AF207" s="53">
        <f t="shared" si="25"/>
        <v>0</v>
      </c>
      <c r="AG207" s="53">
        <f t="shared" si="26"/>
        <v>0</v>
      </c>
      <c r="AH207" s="53">
        <f t="shared" si="27"/>
        <v>0</v>
      </c>
      <c r="AI207" s="50"/>
      <c r="AJ207" s="50"/>
      <c r="AK207" s="50"/>
    </row>
    <row r="208" spans="1:37" x14ac:dyDescent="0.2">
      <c r="A208" s="50"/>
      <c r="B208" s="50"/>
      <c r="C208" s="50"/>
      <c r="D208" s="50"/>
      <c r="E208" s="50"/>
      <c r="F208" s="50"/>
      <c r="G208" s="50"/>
      <c r="H208" s="50"/>
      <c r="I208" s="50"/>
      <c r="J208" s="50"/>
      <c r="K208" s="50"/>
      <c r="L208" s="50"/>
      <c r="M208" s="52"/>
      <c r="N208" s="51"/>
      <c r="O208" s="51"/>
      <c r="P208" s="53">
        <f t="shared" si="21"/>
        <v>0</v>
      </c>
      <c r="Q208" s="50"/>
      <c r="R208" s="50"/>
      <c r="S208" s="51"/>
      <c r="T208" s="50"/>
      <c r="U208" s="50"/>
      <c r="V208" s="50"/>
      <c r="W208" s="50"/>
      <c r="X208" s="50"/>
      <c r="Y208" s="50"/>
      <c r="Z208" s="50"/>
      <c r="AA208" s="50"/>
      <c r="AB208" s="50"/>
      <c r="AC208" s="53">
        <f t="shared" si="22"/>
        <v>0</v>
      </c>
      <c r="AD208" s="53">
        <f t="shared" si="23"/>
        <v>0</v>
      </c>
      <c r="AE208" s="53">
        <f t="shared" si="24"/>
        <v>0</v>
      </c>
      <c r="AF208" s="53">
        <f t="shared" si="25"/>
        <v>0</v>
      </c>
      <c r="AG208" s="53">
        <f t="shared" si="26"/>
        <v>0</v>
      </c>
      <c r="AH208" s="53">
        <f t="shared" si="27"/>
        <v>0</v>
      </c>
      <c r="AI208" s="50"/>
      <c r="AJ208" s="50"/>
      <c r="AK208" s="50"/>
    </row>
    <row r="209" spans="1:37" x14ac:dyDescent="0.2">
      <c r="A209" s="50"/>
      <c r="B209" s="50"/>
      <c r="C209" s="50"/>
      <c r="D209" s="50"/>
      <c r="E209" s="50"/>
      <c r="F209" s="50"/>
      <c r="G209" s="50"/>
      <c r="H209" s="50"/>
      <c r="I209" s="50"/>
      <c r="J209" s="50"/>
      <c r="K209" s="50"/>
      <c r="L209" s="50"/>
      <c r="M209" s="52"/>
      <c r="N209" s="51"/>
      <c r="O209" s="51"/>
      <c r="P209" s="53">
        <f t="shared" si="21"/>
        <v>0</v>
      </c>
      <c r="Q209" s="50"/>
      <c r="R209" s="50"/>
      <c r="S209" s="51"/>
      <c r="T209" s="50"/>
      <c r="U209" s="50"/>
      <c r="V209" s="50"/>
      <c r="W209" s="50"/>
      <c r="X209" s="50"/>
      <c r="Y209" s="50"/>
      <c r="Z209" s="50"/>
      <c r="AA209" s="50"/>
      <c r="AB209" s="50"/>
      <c r="AC209" s="53">
        <f t="shared" si="22"/>
        <v>0</v>
      </c>
      <c r="AD209" s="53">
        <f t="shared" si="23"/>
        <v>0</v>
      </c>
      <c r="AE209" s="53">
        <f t="shared" si="24"/>
        <v>0</v>
      </c>
      <c r="AF209" s="53">
        <f t="shared" si="25"/>
        <v>0</v>
      </c>
      <c r="AG209" s="53">
        <f t="shared" si="26"/>
        <v>0</v>
      </c>
      <c r="AH209" s="53">
        <f t="shared" si="27"/>
        <v>0</v>
      </c>
      <c r="AI209" s="50"/>
      <c r="AJ209" s="50"/>
      <c r="AK209" s="50"/>
    </row>
    <row r="210" spans="1:37" x14ac:dyDescent="0.2">
      <c r="A210" s="50"/>
      <c r="B210" s="50"/>
      <c r="C210" s="50"/>
      <c r="D210" s="50"/>
      <c r="E210" s="50"/>
      <c r="F210" s="50"/>
      <c r="G210" s="50"/>
      <c r="H210" s="50"/>
      <c r="I210" s="50"/>
      <c r="J210" s="50"/>
      <c r="K210" s="50"/>
      <c r="L210" s="50"/>
      <c r="M210" s="52"/>
      <c r="N210" s="51"/>
      <c r="O210" s="51"/>
      <c r="P210" s="53">
        <f t="shared" si="21"/>
        <v>0</v>
      </c>
      <c r="Q210" s="50"/>
      <c r="R210" s="50"/>
      <c r="S210" s="51"/>
      <c r="T210" s="50"/>
      <c r="U210" s="50"/>
      <c r="V210" s="50"/>
      <c r="W210" s="50"/>
      <c r="X210" s="50"/>
      <c r="Y210" s="50"/>
      <c r="Z210" s="50"/>
      <c r="AA210" s="50"/>
      <c r="AB210" s="50"/>
      <c r="AC210" s="53">
        <f t="shared" si="22"/>
        <v>0</v>
      </c>
      <c r="AD210" s="53">
        <f t="shared" si="23"/>
        <v>0</v>
      </c>
      <c r="AE210" s="53">
        <f t="shared" si="24"/>
        <v>0</v>
      </c>
      <c r="AF210" s="53">
        <f t="shared" si="25"/>
        <v>0</v>
      </c>
      <c r="AG210" s="53">
        <f t="shared" si="26"/>
        <v>0</v>
      </c>
      <c r="AH210" s="53">
        <f t="shared" si="27"/>
        <v>0</v>
      </c>
      <c r="AI210" s="50"/>
      <c r="AJ210" s="50"/>
      <c r="AK210" s="50"/>
    </row>
    <row r="211" spans="1:37" x14ac:dyDescent="0.2">
      <c r="A211" s="50"/>
      <c r="B211" s="50"/>
      <c r="C211" s="50"/>
      <c r="D211" s="50"/>
      <c r="E211" s="50"/>
      <c r="F211" s="50"/>
      <c r="G211" s="50"/>
      <c r="H211" s="50"/>
      <c r="I211" s="50"/>
      <c r="J211" s="50"/>
      <c r="K211" s="50"/>
      <c r="L211" s="50"/>
      <c r="M211" s="52"/>
      <c r="N211" s="51"/>
      <c r="O211" s="51"/>
      <c r="P211" s="53">
        <f t="shared" si="21"/>
        <v>0</v>
      </c>
      <c r="Q211" s="50"/>
      <c r="R211" s="50"/>
      <c r="S211" s="51"/>
      <c r="T211" s="50"/>
      <c r="U211" s="50"/>
      <c r="V211" s="50"/>
      <c r="W211" s="50"/>
      <c r="X211" s="50"/>
      <c r="Y211" s="50"/>
      <c r="Z211" s="50"/>
      <c r="AA211" s="50"/>
      <c r="AB211" s="50"/>
      <c r="AC211" s="53">
        <f t="shared" si="22"/>
        <v>0</v>
      </c>
      <c r="AD211" s="53">
        <f t="shared" si="23"/>
        <v>0</v>
      </c>
      <c r="AE211" s="53">
        <f t="shared" si="24"/>
        <v>0</v>
      </c>
      <c r="AF211" s="53">
        <f t="shared" si="25"/>
        <v>0</v>
      </c>
      <c r="AG211" s="53">
        <f t="shared" si="26"/>
        <v>0</v>
      </c>
      <c r="AH211" s="53">
        <f t="shared" si="27"/>
        <v>0</v>
      </c>
      <c r="AI211" s="50"/>
      <c r="AJ211" s="50"/>
      <c r="AK211" s="50"/>
    </row>
    <row r="212" spans="1:37" x14ac:dyDescent="0.2">
      <c r="A212" s="50"/>
      <c r="B212" s="50"/>
      <c r="C212" s="50"/>
      <c r="D212" s="50"/>
      <c r="E212" s="50"/>
      <c r="F212" s="50"/>
      <c r="G212" s="50"/>
      <c r="H212" s="50"/>
      <c r="I212" s="50"/>
      <c r="J212" s="50"/>
      <c r="K212" s="50"/>
      <c r="L212" s="50"/>
      <c r="M212" s="52"/>
      <c r="N212" s="51"/>
      <c r="O212" s="51"/>
      <c r="P212" s="53">
        <f t="shared" si="21"/>
        <v>0</v>
      </c>
      <c r="Q212" s="50"/>
      <c r="R212" s="50"/>
      <c r="S212" s="51"/>
      <c r="T212" s="50"/>
      <c r="U212" s="50"/>
      <c r="V212" s="50"/>
      <c r="W212" s="50"/>
      <c r="X212" s="50"/>
      <c r="Y212" s="50"/>
      <c r="Z212" s="50"/>
      <c r="AA212" s="50"/>
      <c r="AB212" s="50"/>
      <c r="AC212" s="53">
        <f t="shared" si="22"/>
        <v>0</v>
      </c>
      <c r="AD212" s="53">
        <f t="shared" si="23"/>
        <v>0</v>
      </c>
      <c r="AE212" s="53">
        <f t="shared" si="24"/>
        <v>0</v>
      </c>
      <c r="AF212" s="53">
        <f t="shared" si="25"/>
        <v>0</v>
      </c>
      <c r="AG212" s="53">
        <f t="shared" si="26"/>
        <v>0</v>
      </c>
      <c r="AH212" s="53">
        <f t="shared" si="27"/>
        <v>0</v>
      </c>
      <c r="AI212" s="50"/>
      <c r="AJ212" s="50"/>
      <c r="AK212" s="50"/>
    </row>
    <row r="213" spans="1:37" x14ac:dyDescent="0.2">
      <c r="A213" s="50"/>
      <c r="B213" s="50"/>
      <c r="C213" s="50"/>
      <c r="D213" s="50"/>
      <c r="E213" s="50"/>
      <c r="F213" s="50"/>
      <c r="G213" s="50"/>
      <c r="H213" s="50"/>
      <c r="I213" s="50"/>
      <c r="J213" s="50"/>
      <c r="K213" s="50"/>
      <c r="L213" s="50"/>
      <c r="M213" s="52"/>
      <c r="N213" s="51"/>
      <c r="O213" s="51"/>
      <c r="P213" s="53">
        <f t="shared" si="21"/>
        <v>0</v>
      </c>
      <c r="Q213" s="50"/>
      <c r="R213" s="50"/>
      <c r="S213" s="51"/>
      <c r="T213" s="50"/>
      <c r="U213" s="50"/>
      <c r="V213" s="50"/>
      <c r="W213" s="50"/>
      <c r="X213" s="50"/>
      <c r="Y213" s="50"/>
      <c r="Z213" s="50"/>
      <c r="AA213" s="50"/>
      <c r="AB213" s="50"/>
      <c r="AC213" s="53">
        <f t="shared" si="22"/>
        <v>0</v>
      </c>
      <c r="AD213" s="53">
        <f t="shared" si="23"/>
        <v>0</v>
      </c>
      <c r="AE213" s="53">
        <f t="shared" si="24"/>
        <v>0</v>
      </c>
      <c r="AF213" s="53">
        <f t="shared" si="25"/>
        <v>0</v>
      </c>
      <c r="AG213" s="53">
        <f t="shared" si="26"/>
        <v>0</v>
      </c>
      <c r="AH213" s="53">
        <f t="shared" si="27"/>
        <v>0</v>
      </c>
      <c r="AI213" s="50"/>
      <c r="AJ213" s="50"/>
      <c r="AK213" s="50"/>
    </row>
    <row r="214" spans="1:37" x14ac:dyDescent="0.2">
      <c r="A214" s="50"/>
      <c r="B214" s="50"/>
      <c r="C214" s="50"/>
      <c r="D214" s="50"/>
      <c r="E214" s="50"/>
      <c r="F214" s="50"/>
      <c r="G214" s="50"/>
      <c r="H214" s="50"/>
      <c r="I214" s="50"/>
      <c r="J214" s="50"/>
      <c r="K214" s="50"/>
      <c r="L214" s="50"/>
      <c r="M214" s="52"/>
      <c r="N214" s="51"/>
      <c r="O214" s="51"/>
      <c r="P214" s="53">
        <f t="shared" si="21"/>
        <v>0</v>
      </c>
      <c r="Q214" s="50"/>
      <c r="R214" s="50"/>
      <c r="S214" s="51"/>
      <c r="T214" s="50"/>
      <c r="U214" s="50"/>
      <c r="V214" s="50"/>
      <c r="W214" s="50"/>
      <c r="X214" s="50"/>
      <c r="Y214" s="50"/>
      <c r="Z214" s="50"/>
      <c r="AA214" s="50"/>
      <c r="AB214" s="50"/>
      <c r="AC214" s="53">
        <f t="shared" si="22"/>
        <v>0</v>
      </c>
      <c r="AD214" s="53">
        <f t="shared" si="23"/>
        <v>0</v>
      </c>
      <c r="AE214" s="53">
        <f t="shared" si="24"/>
        <v>0</v>
      </c>
      <c r="AF214" s="53">
        <f t="shared" si="25"/>
        <v>0</v>
      </c>
      <c r="AG214" s="53">
        <f t="shared" si="26"/>
        <v>0</v>
      </c>
      <c r="AH214" s="53">
        <f t="shared" si="27"/>
        <v>0</v>
      </c>
      <c r="AI214" s="50"/>
      <c r="AJ214" s="50"/>
      <c r="AK214" s="50"/>
    </row>
    <row r="215" spans="1:37" x14ac:dyDescent="0.2">
      <c r="A215" s="50"/>
      <c r="B215" s="50"/>
      <c r="C215" s="50"/>
      <c r="D215" s="50"/>
      <c r="E215" s="50"/>
      <c r="F215" s="50"/>
      <c r="G215" s="50"/>
      <c r="H215" s="50"/>
      <c r="I215" s="50"/>
      <c r="J215" s="50"/>
      <c r="K215" s="50"/>
      <c r="L215" s="50"/>
      <c r="M215" s="52"/>
      <c r="N215" s="51"/>
      <c r="O215" s="51"/>
      <c r="P215" s="53">
        <f t="shared" si="21"/>
        <v>0</v>
      </c>
      <c r="Q215" s="50"/>
      <c r="R215" s="50"/>
      <c r="S215" s="51"/>
      <c r="T215" s="50"/>
      <c r="U215" s="50"/>
      <c r="V215" s="50"/>
      <c r="W215" s="50"/>
      <c r="X215" s="50"/>
      <c r="Y215" s="50"/>
      <c r="Z215" s="50"/>
      <c r="AA215" s="50"/>
      <c r="AB215" s="50"/>
      <c r="AC215" s="53">
        <f t="shared" si="22"/>
        <v>0</v>
      </c>
      <c r="AD215" s="53">
        <f t="shared" si="23"/>
        <v>0</v>
      </c>
      <c r="AE215" s="53">
        <f t="shared" si="24"/>
        <v>0</v>
      </c>
      <c r="AF215" s="53">
        <f t="shared" si="25"/>
        <v>0</v>
      </c>
      <c r="AG215" s="53">
        <f t="shared" si="26"/>
        <v>0</v>
      </c>
      <c r="AH215" s="53">
        <f t="shared" si="27"/>
        <v>0</v>
      </c>
      <c r="AI215" s="50"/>
      <c r="AJ215" s="50"/>
      <c r="AK215" s="50"/>
    </row>
    <row r="216" spans="1:37" x14ac:dyDescent="0.2">
      <c r="A216" s="50"/>
      <c r="B216" s="50"/>
      <c r="C216" s="50"/>
      <c r="D216" s="50"/>
      <c r="E216" s="50"/>
      <c r="F216" s="50"/>
      <c r="G216" s="50"/>
      <c r="H216" s="50"/>
      <c r="I216" s="50"/>
      <c r="J216" s="50"/>
      <c r="K216" s="50"/>
      <c r="L216" s="50"/>
      <c r="M216" s="52"/>
      <c r="N216" s="51"/>
      <c r="O216" s="51"/>
      <c r="P216" s="53">
        <f t="shared" si="21"/>
        <v>0</v>
      </c>
      <c r="Q216" s="50"/>
      <c r="R216" s="50"/>
      <c r="S216" s="51"/>
      <c r="T216" s="50"/>
      <c r="U216" s="50"/>
      <c r="V216" s="50"/>
      <c r="W216" s="50"/>
      <c r="X216" s="50"/>
      <c r="Y216" s="50"/>
      <c r="Z216" s="50"/>
      <c r="AA216" s="50"/>
      <c r="AB216" s="50"/>
      <c r="AC216" s="53">
        <f t="shared" si="22"/>
        <v>0</v>
      </c>
      <c r="AD216" s="53">
        <f t="shared" si="23"/>
        <v>0</v>
      </c>
      <c r="AE216" s="53">
        <f t="shared" si="24"/>
        <v>0</v>
      </c>
      <c r="AF216" s="53">
        <f t="shared" si="25"/>
        <v>0</v>
      </c>
      <c r="AG216" s="53">
        <f t="shared" si="26"/>
        <v>0</v>
      </c>
      <c r="AH216" s="53">
        <f t="shared" si="27"/>
        <v>0</v>
      </c>
      <c r="AI216" s="50"/>
      <c r="AJ216" s="50"/>
      <c r="AK216" s="50"/>
    </row>
    <row r="217" spans="1:37" x14ac:dyDescent="0.2">
      <c r="A217" s="50"/>
      <c r="B217" s="50"/>
      <c r="C217" s="50"/>
      <c r="D217" s="50"/>
      <c r="E217" s="50"/>
      <c r="F217" s="50"/>
      <c r="G217" s="50"/>
      <c r="H217" s="50"/>
      <c r="I217" s="50"/>
      <c r="J217" s="50"/>
      <c r="K217" s="50"/>
      <c r="L217" s="50"/>
      <c r="M217" s="52"/>
      <c r="N217" s="51"/>
      <c r="O217" s="51"/>
      <c r="P217" s="53">
        <f t="shared" si="21"/>
        <v>0</v>
      </c>
      <c r="Q217" s="50"/>
      <c r="R217" s="50"/>
      <c r="S217" s="51"/>
      <c r="T217" s="50"/>
      <c r="U217" s="50"/>
      <c r="V217" s="50"/>
      <c r="W217" s="50"/>
      <c r="X217" s="50"/>
      <c r="Y217" s="50"/>
      <c r="Z217" s="50"/>
      <c r="AA217" s="50"/>
      <c r="AB217" s="50"/>
      <c r="AC217" s="53">
        <f t="shared" si="22"/>
        <v>0</v>
      </c>
      <c r="AD217" s="53">
        <f t="shared" si="23"/>
        <v>0</v>
      </c>
      <c r="AE217" s="53">
        <f t="shared" si="24"/>
        <v>0</v>
      </c>
      <c r="AF217" s="53">
        <f t="shared" si="25"/>
        <v>0</v>
      </c>
      <c r="AG217" s="53">
        <f t="shared" si="26"/>
        <v>0</v>
      </c>
      <c r="AH217" s="53">
        <f t="shared" si="27"/>
        <v>0</v>
      </c>
      <c r="AI217" s="50"/>
      <c r="AJ217" s="50"/>
      <c r="AK217" s="50"/>
    </row>
    <row r="218" spans="1:37" x14ac:dyDescent="0.2">
      <c r="A218" s="50"/>
      <c r="B218" s="50"/>
      <c r="C218" s="50"/>
      <c r="D218" s="50"/>
      <c r="E218" s="50"/>
      <c r="F218" s="50"/>
      <c r="G218" s="50"/>
      <c r="H218" s="50"/>
      <c r="I218" s="50"/>
      <c r="J218" s="50"/>
      <c r="K218" s="50"/>
      <c r="L218" s="50"/>
      <c r="M218" s="52"/>
      <c r="N218" s="51"/>
      <c r="O218" s="51"/>
      <c r="P218" s="53">
        <f t="shared" si="21"/>
        <v>0</v>
      </c>
      <c r="Q218" s="50"/>
      <c r="R218" s="50"/>
      <c r="S218" s="51"/>
      <c r="T218" s="50"/>
      <c r="U218" s="50"/>
      <c r="V218" s="50"/>
      <c r="W218" s="50"/>
      <c r="X218" s="50"/>
      <c r="Y218" s="50"/>
      <c r="Z218" s="50"/>
      <c r="AA218" s="50"/>
      <c r="AB218" s="50"/>
      <c r="AC218" s="53">
        <f t="shared" si="22"/>
        <v>0</v>
      </c>
      <c r="AD218" s="53">
        <f t="shared" si="23"/>
        <v>0</v>
      </c>
      <c r="AE218" s="53">
        <f t="shared" si="24"/>
        <v>0</v>
      </c>
      <c r="AF218" s="53">
        <f t="shared" si="25"/>
        <v>0</v>
      </c>
      <c r="AG218" s="53">
        <f t="shared" si="26"/>
        <v>0</v>
      </c>
      <c r="AH218" s="53">
        <f t="shared" si="27"/>
        <v>0</v>
      </c>
      <c r="AI218" s="50"/>
      <c r="AJ218" s="50"/>
      <c r="AK218" s="50"/>
    </row>
    <row r="219" spans="1:37" x14ac:dyDescent="0.2">
      <c r="A219" s="50"/>
      <c r="B219" s="50"/>
      <c r="C219" s="50"/>
      <c r="D219" s="50"/>
      <c r="E219" s="50"/>
      <c r="F219" s="50"/>
      <c r="G219" s="50"/>
      <c r="H219" s="50"/>
      <c r="I219" s="50"/>
      <c r="J219" s="50"/>
      <c r="K219" s="50"/>
      <c r="L219" s="50"/>
      <c r="M219" s="52"/>
      <c r="N219" s="51"/>
      <c r="O219" s="51"/>
      <c r="P219" s="53">
        <f t="shared" si="21"/>
        <v>0</v>
      </c>
      <c r="Q219" s="50"/>
      <c r="R219" s="50"/>
      <c r="S219" s="51"/>
      <c r="T219" s="50"/>
      <c r="U219" s="50"/>
      <c r="V219" s="50"/>
      <c r="W219" s="50"/>
      <c r="X219" s="50"/>
      <c r="Y219" s="50"/>
      <c r="Z219" s="50"/>
      <c r="AA219" s="50"/>
      <c r="AB219" s="50"/>
      <c r="AC219" s="53">
        <f t="shared" si="22"/>
        <v>0</v>
      </c>
      <c r="AD219" s="53">
        <f t="shared" si="23"/>
        <v>0</v>
      </c>
      <c r="AE219" s="53">
        <f t="shared" si="24"/>
        <v>0</v>
      </c>
      <c r="AF219" s="53">
        <f t="shared" si="25"/>
        <v>0</v>
      </c>
      <c r="AG219" s="53">
        <f t="shared" si="26"/>
        <v>0</v>
      </c>
      <c r="AH219" s="53">
        <f t="shared" si="27"/>
        <v>0</v>
      </c>
      <c r="AI219" s="50"/>
      <c r="AJ219" s="50"/>
      <c r="AK219" s="50"/>
    </row>
    <row r="220" spans="1:37" x14ac:dyDescent="0.2">
      <c r="A220" s="50"/>
      <c r="B220" s="50"/>
      <c r="C220" s="50"/>
      <c r="D220" s="50"/>
      <c r="E220" s="50"/>
      <c r="F220" s="50"/>
      <c r="G220" s="50"/>
      <c r="H220" s="50"/>
      <c r="I220" s="50"/>
      <c r="J220" s="50"/>
      <c r="K220" s="50"/>
      <c r="L220" s="50"/>
      <c r="M220" s="52"/>
      <c r="N220" s="51"/>
      <c r="O220" s="51"/>
      <c r="P220" s="53">
        <f t="shared" si="21"/>
        <v>0</v>
      </c>
      <c r="Q220" s="50"/>
      <c r="R220" s="50"/>
      <c r="S220" s="51"/>
      <c r="T220" s="50"/>
      <c r="U220" s="50"/>
      <c r="V220" s="50"/>
      <c r="W220" s="50"/>
      <c r="X220" s="50"/>
      <c r="Y220" s="50"/>
      <c r="Z220" s="50"/>
      <c r="AA220" s="50"/>
      <c r="AB220" s="50"/>
      <c r="AC220" s="53">
        <f t="shared" si="22"/>
        <v>0</v>
      </c>
      <c r="AD220" s="53">
        <f t="shared" si="23"/>
        <v>0</v>
      </c>
      <c r="AE220" s="53">
        <f t="shared" si="24"/>
        <v>0</v>
      </c>
      <c r="AF220" s="53">
        <f t="shared" si="25"/>
        <v>0</v>
      </c>
      <c r="AG220" s="53">
        <f t="shared" si="26"/>
        <v>0</v>
      </c>
      <c r="AH220" s="53">
        <f t="shared" si="27"/>
        <v>0</v>
      </c>
      <c r="AI220" s="50"/>
      <c r="AJ220" s="50"/>
      <c r="AK220" s="50"/>
    </row>
    <row r="221" spans="1:37" x14ac:dyDescent="0.2">
      <c r="A221" s="50"/>
      <c r="B221" s="50"/>
      <c r="C221" s="50"/>
      <c r="D221" s="50"/>
      <c r="E221" s="50"/>
      <c r="F221" s="50"/>
      <c r="G221" s="50"/>
      <c r="H221" s="50"/>
      <c r="I221" s="50"/>
      <c r="J221" s="50"/>
      <c r="K221" s="50"/>
      <c r="L221" s="50"/>
      <c r="M221" s="52"/>
      <c r="N221" s="51"/>
      <c r="O221" s="51"/>
      <c r="P221" s="53">
        <f t="shared" si="21"/>
        <v>0</v>
      </c>
      <c r="Q221" s="50"/>
      <c r="R221" s="50"/>
      <c r="S221" s="51"/>
      <c r="T221" s="50"/>
      <c r="U221" s="50"/>
      <c r="V221" s="50"/>
      <c r="W221" s="50"/>
      <c r="X221" s="50"/>
      <c r="Y221" s="50"/>
      <c r="Z221" s="50"/>
      <c r="AA221" s="50"/>
      <c r="AB221" s="50"/>
      <c r="AC221" s="53">
        <f t="shared" si="22"/>
        <v>0</v>
      </c>
      <c r="AD221" s="53">
        <f t="shared" si="23"/>
        <v>0</v>
      </c>
      <c r="AE221" s="53">
        <f t="shared" si="24"/>
        <v>0</v>
      </c>
      <c r="AF221" s="53">
        <f t="shared" si="25"/>
        <v>0</v>
      </c>
      <c r="AG221" s="53">
        <f t="shared" si="26"/>
        <v>0</v>
      </c>
      <c r="AH221" s="53">
        <f t="shared" si="27"/>
        <v>0</v>
      </c>
      <c r="AI221" s="50"/>
      <c r="AJ221" s="50"/>
      <c r="AK221" s="50"/>
    </row>
    <row r="222" spans="1:37" x14ac:dyDescent="0.2">
      <c r="A222" s="50"/>
      <c r="B222" s="50"/>
      <c r="C222" s="50"/>
      <c r="D222" s="50"/>
      <c r="E222" s="50"/>
      <c r="F222" s="50"/>
      <c r="G222" s="50"/>
      <c r="H222" s="50"/>
      <c r="I222" s="50"/>
      <c r="J222" s="50"/>
      <c r="K222" s="50"/>
      <c r="L222" s="50"/>
      <c r="M222" s="52"/>
      <c r="N222" s="51"/>
      <c r="O222" s="51"/>
      <c r="P222" s="53">
        <f t="shared" si="21"/>
        <v>0</v>
      </c>
      <c r="Q222" s="50"/>
      <c r="R222" s="50"/>
      <c r="S222" s="51"/>
      <c r="T222" s="50"/>
      <c r="U222" s="50"/>
      <c r="V222" s="50"/>
      <c r="W222" s="50"/>
      <c r="X222" s="50"/>
      <c r="Y222" s="50"/>
      <c r="Z222" s="50"/>
      <c r="AA222" s="50"/>
      <c r="AB222" s="50"/>
      <c r="AC222" s="53">
        <f t="shared" si="22"/>
        <v>0</v>
      </c>
      <c r="AD222" s="53">
        <f t="shared" si="23"/>
        <v>0</v>
      </c>
      <c r="AE222" s="53">
        <f t="shared" si="24"/>
        <v>0</v>
      </c>
      <c r="AF222" s="53">
        <f t="shared" si="25"/>
        <v>0</v>
      </c>
      <c r="AG222" s="53">
        <f t="shared" si="26"/>
        <v>0</v>
      </c>
      <c r="AH222" s="53">
        <f t="shared" si="27"/>
        <v>0</v>
      </c>
      <c r="AI222" s="50"/>
      <c r="AJ222" s="50"/>
      <c r="AK222" s="50"/>
    </row>
    <row r="223" spans="1:37" x14ac:dyDescent="0.2">
      <c r="A223" s="50"/>
      <c r="B223" s="50"/>
      <c r="C223" s="50"/>
      <c r="D223" s="50"/>
      <c r="E223" s="50"/>
      <c r="F223" s="50"/>
      <c r="G223" s="50"/>
      <c r="H223" s="50"/>
      <c r="I223" s="50"/>
      <c r="J223" s="50"/>
      <c r="K223" s="50"/>
      <c r="L223" s="50"/>
      <c r="M223" s="52"/>
      <c r="N223" s="51"/>
      <c r="O223" s="51"/>
      <c r="P223" s="53">
        <f t="shared" si="21"/>
        <v>0</v>
      </c>
      <c r="Q223" s="50"/>
      <c r="R223" s="50"/>
      <c r="S223" s="51"/>
      <c r="T223" s="50"/>
      <c r="U223" s="50"/>
      <c r="V223" s="50"/>
      <c r="W223" s="50"/>
      <c r="X223" s="50"/>
      <c r="Y223" s="50"/>
      <c r="Z223" s="50"/>
      <c r="AA223" s="50"/>
      <c r="AB223" s="50"/>
      <c r="AC223" s="53">
        <f t="shared" si="22"/>
        <v>0</v>
      </c>
      <c r="AD223" s="53">
        <f t="shared" si="23"/>
        <v>0</v>
      </c>
      <c r="AE223" s="53">
        <f t="shared" si="24"/>
        <v>0</v>
      </c>
      <c r="AF223" s="53">
        <f t="shared" si="25"/>
        <v>0</v>
      </c>
      <c r="AG223" s="53">
        <f t="shared" si="26"/>
        <v>0</v>
      </c>
      <c r="AH223" s="53">
        <f t="shared" si="27"/>
        <v>0</v>
      </c>
      <c r="AI223" s="50"/>
      <c r="AJ223" s="50"/>
      <c r="AK223" s="50"/>
    </row>
    <row r="224" spans="1:37" x14ac:dyDescent="0.2">
      <c r="A224" s="50"/>
      <c r="B224" s="50"/>
      <c r="C224" s="50"/>
      <c r="D224" s="50"/>
      <c r="E224" s="50"/>
      <c r="F224" s="50"/>
      <c r="G224" s="50"/>
      <c r="H224" s="50"/>
      <c r="I224" s="50"/>
      <c r="J224" s="50"/>
      <c r="K224" s="50"/>
      <c r="L224" s="50"/>
      <c r="M224" s="52"/>
      <c r="N224" s="51"/>
      <c r="O224" s="51"/>
      <c r="P224" s="53">
        <f t="shared" si="21"/>
        <v>0</v>
      </c>
      <c r="Q224" s="50"/>
      <c r="R224" s="50"/>
      <c r="S224" s="51"/>
      <c r="T224" s="50"/>
      <c r="U224" s="50"/>
      <c r="V224" s="50"/>
      <c r="W224" s="50"/>
      <c r="X224" s="50"/>
      <c r="Y224" s="50"/>
      <c r="Z224" s="50"/>
      <c r="AA224" s="50"/>
      <c r="AB224" s="50"/>
      <c r="AC224" s="53">
        <f t="shared" si="22"/>
        <v>0</v>
      </c>
      <c r="AD224" s="53">
        <f t="shared" si="23"/>
        <v>0</v>
      </c>
      <c r="AE224" s="53">
        <f t="shared" si="24"/>
        <v>0</v>
      </c>
      <c r="AF224" s="53">
        <f t="shared" si="25"/>
        <v>0</v>
      </c>
      <c r="AG224" s="53">
        <f t="shared" si="26"/>
        <v>0</v>
      </c>
      <c r="AH224" s="53">
        <f t="shared" si="27"/>
        <v>0</v>
      </c>
      <c r="AI224" s="50"/>
      <c r="AJ224" s="50"/>
      <c r="AK224" s="50"/>
    </row>
    <row r="225" spans="1:37" x14ac:dyDescent="0.2">
      <c r="A225" s="50"/>
      <c r="B225" s="50"/>
      <c r="C225" s="50"/>
      <c r="D225" s="50"/>
      <c r="E225" s="50"/>
      <c r="F225" s="50"/>
      <c r="G225" s="50"/>
      <c r="H225" s="50"/>
      <c r="I225" s="50"/>
      <c r="J225" s="50"/>
      <c r="K225" s="50"/>
      <c r="L225" s="50"/>
      <c r="M225" s="52"/>
      <c r="N225" s="51"/>
      <c r="O225" s="51"/>
      <c r="P225" s="53">
        <f t="shared" si="21"/>
        <v>0</v>
      </c>
      <c r="Q225" s="50"/>
      <c r="R225" s="50"/>
      <c r="S225" s="51"/>
      <c r="T225" s="50"/>
      <c r="U225" s="50"/>
      <c r="V225" s="50"/>
      <c r="W225" s="50"/>
      <c r="X225" s="50"/>
      <c r="Y225" s="50"/>
      <c r="Z225" s="50"/>
      <c r="AA225" s="50"/>
      <c r="AB225" s="50"/>
      <c r="AC225" s="53">
        <f t="shared" si="22"/>
        <v>0</v>
      </c>
      <c r="AD225" s="53">
        <f t="shared" si="23"/>
        <v>0</v>
      </c>
      <c r="AE225" s="53">
        <f t="shared" si="24"/>
        <v>0</v>
      </c>
      <c r="AF225" s="53">
        <f t="shared" si="25"/>
        <v>0</v>
      </c>
      <c r="AG225" s="53">
        <f t="shared" si="26"/>
        <v>0</v>
      </c>
      <c r="AH225" s="53">
        <f t="shared" si="27"/>
        <v>0</v>
      </c>
      <c r="AI225" s="50"/>
      <c r="AJ225" s="50"/>
      <c r="AK225" s="50"/>
    </row>
    <row r="226" spans="1:37" x14ac:dyDescent="0.2">
      <c r="A226" s="50"/>
      <c r="B226" s="50"/>
      <c r="C226" s="50"/>
      <c r="D226" s="50"/>
      <c r="E226" s="50"/>
      <c r="F226" s="50"/>
      <c r="G226" s="50"/>
      <c r="H226" s="50"/>
      <c r="I226" s="50"/>
      <c r="J226" s="50"/>
      <c r="K226" s="50"/>
      <c r="L226" s="50"/>
      <c r="M226" s="52"/>
      <c r="N226" s="51"/>
      <c r="O226" s="51"/>
      <c r="P226" s="53">
        <f t="shared" si="21"/>
        <v>0</v>
      </c>
      <c r="Q226" s="50"/>
      <c r="R226" s="50"/>
      <c r="S226" s="51"/>
      <c r="T226" s="50"/>
      <c r="U226" s="50"/>
      <c r="V226" s="50"/>
      <c r="W226" s="50"/>
      <c r="X226" s="50"/>
      <c r="Y226" s="50"/>
      <c r="Z226" s="50"/>
      <c r="AA226" s="50"/>
      <c r="AB226" s="50"/>
      <c r="AC226" s="53">
        <f t="shared" si="22"/>
        <v>0</v>
      </c>
      <c r="AD226" s="53">
        <f t="shared" si="23"/>
        <v>0</v>
      </c>
      <c r="AE226" s="53">
        <f t="shared" si="24"/>
        <v>0</v>
      </c>
      <c r="AF226" s="53">
        <f t="shared" si="25"/>
        <v>0</v>
      </c>
      <c r="AG226" s="53">
        <f t="shared" si="26"/>
        <v>0</v>
      </c>
      <c r="AH226" s="53">
        <f t="shared" si="27"/>
        <v>0</v>
      </c>
      <c r="AI226" s="50"/>
      <c r="AJ226" s="50"/>
      <c r="AK226" s="50"/>
    </row>
    <row r="227" spans="1:37" x14ac:dyDescent="0.2">
      <c r="A227" s="50"/>
      <c r="B227" s="50"/>
      <c r="C227" s="50"/>
      <c r="D227" s="50"/>
      <c r="E227" s="50"/>
      <c r="F227" s="50"/>
      <c r="G227" s="50"/>
      <c r="H227" s="50"/>
      <c r="I227" s="50"/>
      <c r="J227" s="50"/>
      <c r="K227" s="50"/>
      <c r="L227" s="50"/>
      <c r="M227" s="52"/>
      <c r="N227" s="51"/>
      <c r="O227" s="51"/>
      <c r="P227" s="53">
        <f t="shared" si="21"/>
        <v>0</v>
      </c>
      <c r="Q227" s="50"/>
      <c r="R227" s="50"/>
      <c r="S227" s="51"/>
      <c r="T227" s="50"/>
      <c r="U227" s="50"/>
      <c r="V227" s="50"/>
      <c r="W227" s="50"/>
      <c r="X227" s="50"/>
      <c r="Y227" s="50"/>
      <c r="Z227" s="50"/>
      <c r="AA227" s="50"/>
      <c r="AB227" s="50"/>
      <c r="AC227" s="53">
        <f t="shared" si="22"/>
        <v>0</v>
      </c>
      <c r="AD227" s="53">
        <f t="shared" si="23"/>
        <v>0</v>
      </c>
      <c r="AE227" s="53">
        <f t="shared" si="24"/>
        <v>0</v>
      </c>
      <c r="AF227" s="53">
        <f t="shared" si="25"/>
        <v>0</v>
      </c>
      <c r="AG227" s="53">
        <f t="shared" si="26"/>
        <v>0</v>
      </c>
      <c r="AH227" s="53">
        <f t="shared" si="27"/>
        <v>0</v>
      </c>
      <c r="AI227" s="50"/>
      <c r="AJ227" s="50"/>
      <c r="AK227" s="50"/>
    </row>
    <row r="228" spans="1:37" x14ac:dyDescent="0.2">
      <c r="A228" s="50"/>
      <c r="B228" s="50"/>
      <c r="C228" s="50"/>
      <c r="D228" s="50"/>
      <c r="E228" s="50"/>
      <c r="F228" s="50"/>
      <c r="G228" s="50"/>
      <c r="H228" s="50"/>
      <c r="I228" s="50"/>
      <c r="J228" s="50"/>
      <c r="K228" s="50"/>
      <c r="L228" s="50"/>
      <c r="M228" s="52"/>
      <c r="N228" s="51"/>
      <c r="O228" s="51"/>
      <c r="P228" s="53">
        <f t="shared" si="21"/>
        <v>0</v>
      </c>
      <c r="Q228" s="50"/>
      <c r="R228" s="50"/>
      <c r="S228" s="51"/>
      <c r="T228" s="50"/>
      <c r="U228" s="50"/>
      <c r="V228" s="50"/>
      <c r="W228" s="50"/>
      <c r="X228" s="50"/>
      <c r="Y228" s="50"/>
      <c r="Z228" s="50"/>
      <c r="AA228" s="50"/>
      <c r="AB228" s="50"/>
      <c r="AC228" s="53">
        <f t="shared" si="22"/>
        <v>0</v>
      </c>
      <c r="AD228" s="53">
        <f t="shared" si="23"/>
        <v>0</v>
      </c>
      <c r="AE228" s="53">
        <f t="shared" si="24"/>
        <v>0</v>
      </c>
      <c r="AF228" s="53">
        <f t="shared" si="25"/>
        <v>0</v>
      </c>
      <c r="AG228" s="53">
        <f t="shared" si="26"/>
        <v>0</v>
      </c>
      <c r="AH228" s="53">
        <f t="shared" si="27"/>
        <v>0</v>
      </c>
      <c r="AI228" s="50"/>
      <c r="AJ228" s="50"/>
      <c r="AK228" s="50"/>
    </row>
    <row r="229" spans="1:37" x14ac:dyDescent="0.2">
      <c r="A229" s="50"/>
      <c r="B229" s="50"/>
      <c r="C229" s="50"/>
      <c r="D229" s="50"/>
      <c r="E229" s="50"/>
      <c r="F229" s="50"/>
      <c r="G229" s="50"/>
      <c r="H229" s="50"/>
      <c r="I229" s="50"/>
      <c r="J229" s="50"/>
      <c r="K229" s="50"/>
      <c r="L229" s="50"/>
      <c r="M229" s="52"/>
      <c r="N229" s="51"/>
      <c r="O229" s="51"/>
      <c r="P229" s="53">
        <f t="shared" si="21"/>
        <v>0</v>
      </c>
      <c r="Q229" s="50"/>
      <c r="R229" s="50"/>
      <c r="S229" s="51"/>
      <c r="T229" s="50"/>
      <c r="U229" s="50"/>
      <c r="V229" s="50"/>
      <c r="W229" s="50"/>
      <c r="X229" s="50"/>
      <c r="Y229" s="50"/>
      <c r="Z229" s="50"/>
      <c r="AA229" s="50"/>
      <c r="AB229" s="50"/>
      <c r="AC229" s="53">
        <f t="shared" si="22"/>
        <v>0</v>
      </c>
      <c r="AD229" s="53">
        <f t="shared" si="23"/>
        <v>0</v>
      </c>
      <c r="AE229" s="53">
        <f t="shared" si="24"/>
        <v>0</v>
      </c>
      <c r="AF229" s="53">
        <f t="shared" si="25"/>
        <v>0</v>
      </c>
      <c r="AG229" s="53">
        <f t="shared" si="26"/>
        <v>0</v>
      </c>
      <c r="AH229" s="53">
        <f t="shared" si="27"/>
        <v>0</v>
      </c>
      <c r="AI229" s="50"/>
      <c r="AJ229" s="50"/>
      <c r="AK229" s="50"/>
    </row>
    <row r="230" spans="1:37" x14ac:dyDescent="0.2">
      <c r="A230" s="50"/>
      <c r="B230" s="50"/>
      <c r="C230" s="50"/>
      <c r="D230" s="50"/>
      <c r="E230" s="50"/>
      <c r="F230" s="50"/>
      <c r="G230" s="50"/>
      <c r="H230" s="50"/>
      <c r="I230" s="50"/>
      <c r="J230" s="50"/>
      <c r="K230" s="50"/>
      <c r="L230" s="50"/>
      <c r="M230" s="52"/>
      <c r="N230" s="51"/>
      <c r="O230" s="51"/>
      <c r="P230" s="53">
        <f t="shared" si="21"/>
        <v>0</v>
      </c>
      <c r="Q230" s="50"/>
      <c r="R230" s="50"/>
      <c r="S230" s="51"/>
      <c r="T230" s="50"/>
      <c r="U230" s="50"/>
      <c r="V230" s="50"/>
      <c r="W230" s="50"/>
      <c r="X230" s="50"/>
      <c r="Y230" s="50"/>
      <c r="Z230" s="50"/>
      <c r="AA230" s="50"/>
      <c r="AB230" s="50"/>
      <c r="AC230" s="53">
        <f t="shared" si="22"/>
        <v>0</v>
      </c>
      <c r="AD230" s="53">
        <f t="shared" si="23"/>
        <v>0</v>
      </c>
      <c r="AE230" s="53">
        <f t="shared" si="24"/>
        <v>0</v>
      </c>
      <c r="AF230" s="53">
        <f t="shared" si="25"/>
        <v>0</v>
      </c>
      <c r="AG230" s="53">
        <f t="shared" si="26"/>
        <v>0</v>
      </c>
      <c r="AH230" s="53">
        <f t="shared" si="27"/>
        <v>0</v>
      </c>
      <c r="AI230" s="50"/>
      <c r="AJ230" s="50"/>
      <c r="AK230" s="50"/>
    </row>
    <row r="231" spans="1:37" x14ac:dyDescent="0.2">
      <c r="A231" s="50"/>
      <c r="B231" s="50"/>
      <c r="C231" s="50"/>
      <c r="D231" s="50"/>
      <c r="E231" s="50"/>
      <c r="F231" s="50"/>
      <c r="G231" s="50"/>
      <c r="H231" s="50"/>
      <c r="I231" s="50"/>
      <c r="J231" s="50"/>
      <c r="K231" s="50"/>
      <c r="L231" s="50"/>
      <c r="M231" s="52"/>
      <c r="N231" s="51"/>
      <c r="O231" s="51"/>
      <c r="P231" s="53">
        <f t="shared" si="21"/>
        <v>0</v>
      </c>
      <c r="Q231" s="50"/>
      <c r="R231" s="50"/>
      <c r="S231" s="51"/>
      <c r="T231" s="50"/>
      <c r="U231" s="50"/>
      <c r="V231" s="50"/>
      <c r="W231" s="50"/>
      <c r="X231" s="50"/>
      <c r="Y231" s="50"/>
      <c r="Z231" s="50"/>
      <c r="AA231" s="50"/>
      <c r="AB231" s="50"/>
      <c r="AC231" s="53">
        <f t="shared" si="22"/>
        <v>0</v>
      </c>
      <c r="AD231" s="53">
        <f t="shared" si="23"/>
        <v>0</v>
      </c>
      <c r="AE231" s="53">
        <f t="shared" si="24"/>
        <v>0</v>
      </c>
      <c r="AF231" s="53">
        <f t="shared" si="25"/>
        <v>0</v>
      </c>
      <c r="AG231" s="53">
        <f t="shared" si="26"/>
        <v>0</v>
      </c>
      <c r="AH231" s="53">
        <f t="shared" si="27"/>
        <v>0</v>
      </c>
      <c r="AI231" s="50"/>
      <c r="AJ231" s="50"/>
      <c r="AK231" s="50"/>
    </row>
    <row r="232" spans="1:37" x14ac:dyDescent="0.2">
      <c r="A232" s="50"/>
      <c r="B232" s="50"/>
      <c r="C232" s="50"/>
      <c r="D232" s="50"/>
      <c r="E232" s="50"/>
      <c r="F232" s="50"/>
      <c r="G232" s="50"/>
      <c r="H232" s="50"/>
      <c r="I232" s="50"/>
      <c r="J232" s="50"/>
      <c r="K232" s="50"/>
      <c r="L232" s="50"/>
      <c r="M232" s="52"/>
      <c r="N232" s="51"/>
      <c r="O232" s="51"/>
      <c r="P232" s="53">
        <f t="shared" si="21"/>
        <v>0</v>
      </c>
      <c r="Q232" s="50"/>
      <c r="R232" s="50"/>
      <c r="S232" s="51"/>
      <c r="T232" s="50"/>
      <c r="U232" s="50"/>
      <c r="V232" s="50"/>
      <c r="W232" s="50"/>
      <c r="X232" s="50"/>
      <c r="Y232" s="50"/>
      <c r="Z232" s="50"/>
      <c r="AA232" s="50"/>
      <c r="AB232" s="50"/>
      <c r="AC232" s="53">
        <f t="shared" si="22"/>
        <v>0</v>
      </c>
      <c r="AD232" s="53">
        <f t="shared" si="23"/>
        <v>0</v>
      </c>
      <c r="AE232" s="53">
        <f t="shared" si="24"/>
        <v>0</v>
      </c>
      <c r="AF232" s="53">
        <f t="shared" si="25"/>
        <v>0</v>
      </c>
      <c r="AG232" s="53">
        <f t="shared" si="26"/>
        <v>0</v>
      </c>
      <c r="AH232" s="53">
        <f t="shared" si="27"/>
        <v>0</v>
      </c>
      <c r="AI232" s="50"/>
      <c r="AJ232" s="50"/>
      <c r="AK232" s="50"/>
    </row>
    <row r="233" spans="1:37" x14ac:dyDescent="0.2">
      <c r="A233" s="50"/>
      <c r="B233" s="50"/>
      <c r="C233" s="50"/>
      <c r="D233" s="50"/>
      <c r="E233" s="50"/>
      <c r="F233" s="50"/>
      <c r="G233" s="50"/>
      <c r="H233" s="50"/>
      <c r="I233" s="50"/>
      <c r="J233" s="50"/>
      <c r="K233" s="50"/>
      <c r="L233" s="50"/>
      <c r="M233" s="52"/>
      <c r="N233" s="51"/>
      <c r="O233" s="51"/>
      <c r="P233" s="53">
        <f t="shared" si="21"/>
        <v>0</v>
      </c>
      <c r="Q233" s="50"/>
      <c r="R233" s="50"/>
      <c r="S233" s="51"/>
      <c r="T233" s="50"/>
      <c r="U233" s="50"/>
      <c r="V233" s="50"/>
      <c r="W233" s="50"/>
      <c r="X233" s="50"/>
      <c r="Y233" s="50"/>
      <c r="Z233" s="50"/>
      <c r="AA233" s="50"/>
      <c r="AB233" s="50"/>
      <c r="AC233" s="53">
        <f t="shared" si="22"/>
        <v>0</v>
      </c>
      <c r="AD233" s="53">
        <f t="shared" si="23"/>
        <v>0</v>
      </c>
      <c r="AE233" s="53">
        <f t="shared" si="24"/>
        <v>0</v>
      </c>
      <c r="AF233" s="53">
        <f t="shared" si="25"/>
        <v>0</v>
      </c>
      <c r="AG233" s="53">
        <f t="shared" si="26"/>
        <v>0</v>
      </c>
      <c r="AH233" s="53">
        <f t="shared" si="27"/>
        <v>0</v>
      </c>
      <c r="AI233" s="50"/>
      <c r="AJ233" s="50"/>
      <c r="AK233" s="50"/>
    </row>
    <row r="234" spans="1:37" x14ac:dyDescent="0.2">
      <c r="A234" s="50"/>
      <c r="B234" s="50"/>
      <c r="C234" s="50"/>
      <c r="D234" s="50"/>
      <c r="E234" s="50"/>
      <c r="F234" s="50"/>
      <c r="G234" s="50"/>
      <c r="H234" s="50"/>
      <c r="I234" s="50"/>
      <c r="J234" s="50"/>
      <c r="K234" s="50"/>
      <c r="L234" s="50"/>
      <c r="M234" s="52"/>
      <c r="N234" s="51"/>
      <c r="O234" s="51"/>
      <c r="P234" s="53">
        <f t="shared" si="21"/>
        <v>0</v>
      </c>
      <c r="Q234" s="50"/>
      <c r="R234" s="50"/>
      <c r="S234" s="51"/>
      <c r="T234" s="50"/>
      <c r="U234" s="50"/>
      <c r="V234" s="50"/>
      <c r="W234" s="50"/>
      <c r="X234" s="50"/>
      <c r="Y234" s="50"/>
      <c r="Z234" s="50"/>
      <c r="AA234" s="50"/>
      <c r="AB234" s="50"/>
      <c r="AC234" s="53">
        <f t="shared" si="22"/>
        <v>0</v>
      </c>
      <c r="AD234" s="53">
        <f t="shared" si="23"/>
        <v>0</v>
      </c>
      <c r="AE234" s="53">
        <f t="shared" si="24"/>
        <v>0</v>
      </c>
      <c r="AF234" s="53">
        <f t="shared" si="25"/>
        <v>0</v>
      </c>
      <c r="AG234" s="53">
        <f t="shared" si="26"/>
        <v>0</v>
      </c>
      <c r="AH234" s="53">
        <f t="shared" si="27"/>
        <v>0</v>
      </c>
      <c r="AI234" s="50"/>
      <c r="AJ234" s="50"/>
      <c r="AK234" s="50"/>
    </row>
    <row r="235" spans="1:37" x14ac:dyDescent="0.2">
      <c r="A235" s="50"/>
      <c r="B235" s="50"/>
      <c r="C235" s="50"/>
      <c r="D235" s="50"/>
      <c r="E235" s="50"/>
      <c r="F235" s="50"/>
      <c r="G235" s="50"/>
      <c r="H235" s="50"/>
      <c r="I235" s="50"/>
      <c r="J235" s="50"/>
      <c r="K235" s="50"/>
      <c r="L235" s="50"/>
      <c r="M235" s="52"/>
      <c r="N235" s="51"/>
      <c r="O235" s="51"/>
      <c r="P235" s="53">
        <f t="shared" si="21"/>
        <v>0</v>
      </c>
      <c r="Q235" s="50"/>
      <c r="R235" s="50"/>
      <c r="S235" s="51"/>
      <c r="T235" s="50"/>
      <c r="U235" s="50"/>
      <c r="V235" s="50"/>
      <c r="W235" s="50"/>
      <c r="X235" s="50"/>
      <c r="Y235" s="50"/>
      <c r="Z235" s="50"/>
      <c r="AA235" s="50"/>
      <c r="AB235" s="50"/>
      <c r="AC235" s="53">
        <f t="shared" si="22"/>
        <v>0</v>
      </c>
      <c r="AD235" s="53">
        <f t="shared" si="23"/>
        <v>0</v>
      </c>
      <c r="AE235" s="53">
        <f t="shared" si="24"/>
        <v>0</v>
      </c>
      <c r="AF235" s="53">
        <f t="shared" si="25"/>
        <v>0</v>
      </c>
      <c r="AG235" s="53">
        <f t="shared" si="26"/>
        <v>0</v>
      </c>
      <c r="AH235" s="53">
        <f t="shared" si="27"/>
        <v>0</v>
      </c>
      <c r="AI235" s="50"/>
      <c r="AJ235" s="50"/>
      <c r="AK235" s="50"/>
    </row>
    <row r="236" spans="1:37" x14ac:dyDescent="0.2">
      <c r="A236" s="50"/>
      <c r="B236" s="50"/>
      <c r="C236" s="50"/>
      <c r="D236" s="50"/>
      <c r="E236" s="50"/>
      <c r="F236" s="50"/>
      <c r="G236" s="50"/>
      <c r="H236" s="50"/>
      <c r="I236" s="50"/>
      <c r="J236" s="50"/>
      <c r="K236" s="50"/>
      <c r="L236" s="50"/>
      <c r="M236" s="52"/>
      <c r="N236" s="51"/>
      <c r="O236" s="51"/>
      <c r="P236" s="53">
        <f t="shared" si="21"/>
        <v>0</v>
      </c>
      <c r="Q236" s="50"/>
      <c r="R236" s="50"/>
      <c r="S236" s="51"/>
      <c r="T236" s="50"/>
      <c r="U236" s="50"/>
      <c r="V236" s="50"/>
      <c r="W236" s="50"/>
      <c r="X236" s="50"/>
      <c r="Y236" s="50"/>
      <c r="Z236" s="50"/>
      <c r="AA236" s="50"/>
      <c r="AB236" s="50"/>
      <c r="AC236" s="53">
        <f t="shared" si="22"/>
        <v>0</v>
      </c>
      <c r="AD236" s="53">
        <f t="shared" si="23"/>
        <v>0</v>
      </c>
      <c r="AE236" s="53">
        <f t="shared" si="24"/>
        <v>0</v>
      </c>
      <c r="AF236" s="53">
        <f t="shared" si="25"/>
        <v>0</v>
      </c>
      <c r="AG236" s="53">
        <f t="shared" si="26"/>
        <v>0</v>
      </c>
      <c r="AH236" s="53">
        <f t="shared" si="27"/>
        <v>0</v>
      </c>
      <c r="AI236" s="50"/>
      <c r="AJ236" s="50"/>
      <c r="AK236" s="50"/>
    </row>
    <row r="237" spans="1:37" x14ac:dyDescent="0.2">
      <c r="A237" s="50"/>
      <c r="B237" s="50"/>
      <c r="C237" s="50"/>
      <c r="D237" s="50"/>
      <c r="E237" s="50"/>
      <c r="F237" s="50"/>
      <c r="G237" s="50"/>
      <c r="H237" s="50"/>
      <c r="I237" s="50"/>
      <c r="J237" s="50"/>
      <c r="K237" s="50"/>
      <c r="L237" s="50"/>
      <c r="M237" s="52"/>
      <c r="N237" s="51"/>
      <c r="O237" s="51"/>
      <c r="P237" s="53">
        <f t="shared" si="21"/>
        <v>0</v>
      </c>
      <c r="Q237" s="50"/>
      <c r="R237" s="50"/>
      <c r="S237" s="51"/>
      <c r="T237" s="50"/>
      <c r="U237" s="50"/>
      <c r="V237" s="50"/>
      <c r="W237" s="50"/>
      <c r="X237" s="50"/>
      <c r="Y237" s="50"/>
      <c r="Z237" s="50"/>
      <c r="AA237" s="50"/>
      <c r="AB237" s="50"/>
      <c r="AC237" s="53">
        <f t="shared" si="22"/>
        <v>0</v>
      </c>
      <c r="AD237" s="53">
        <f t="shared" si="23"/>
        <v>0</v>
      </c>
      <c r="AE237" s="53">
        <f t="shared" si="24"/>
        <v>0</v>
      </c>
      <c r="AF237" s="53">
        <f t="shared" si="25"/>
        <v>0</v>
      </c>
      <c r="AG237" s="53">
        <f t="shared" si="26"/>
        <v>0</v>
      </c>
      <c r="AH237" s="53">
        <f t="shared" si="27"/>
        <v>0</v>
      </c>
      <c r="AI237" s="50"/>
      <c r="AJ237" s="50"/>
      <c r="AK237" s="50"/>
    </row>
    <row r="238" spans="1:37" x14ac:dyDescent="0.2">
      <c r="A238" s="50"/>
      <c r="B238" s="50"/>
      <c r="C238" s="50"/>
      <c r="D238" s="50"/>
      <c r="E238" s="50"/>
      <c r="F238" s="50"/>
      <c r="G238" s="50"/>
      <c r="H238" s="50"/>
      <c r="I238" s="50"/>
      <c r="J238" s="50"/>
      <c r="K238" s="50"/>
      <c r="L238" s="50"/>
      <c r="M238" s="52"/>
      <c r="N238" s="51"/>
      <c r="O238" s="51"/>
      <c r="P238" s="53">
        <f t="shared" si="21"/>
        <v>0</v>
      </c>
      <c r="Q238" s="50"/>
      <c r="R238" s="50"/>
      <c r="S238" s="51"/>
      <c r="T238" s="50"/>
      <c r="U238" s="50"/>
      <c r="V238" s="50"/>
      <c r="W238" s="50"/>
      <c r="X238" s="50"/>
      <c r="Y238" s="50"/>
      <c r="Z238" s="50"/>
      <c r="AA238" s="50"/>
      <c r="AB238" s="50"/>
      <c r="AC238" s="53">
        <f t="shared" si="22"/>
        <v>0</v>
      </c>
      <c r="AD238" s="53">
        <f t="shared" si="23"/>
        <v>0</v>
      </c>
      <c r="AE238" s="53">
        <f t="shared" si="24"/>
        <v>0</v>
      </c>
      <c r="AF238" s="53">
        <f t="shared" si="25"/>
        <v>0</v>
      </c>
      <c r="AG238" s="53">
        <f t="shared" si="26"/>
        <v>0</v>
      </c>
      <c r="AH238" s="53">
        <f t="shared" si="27"/>
        <v>0</v>
      </c>
      <c r="AI238" s="50"/>
      <c r="AJ238" s="50"/>
      <c r="AK238" s="50"/>
    </row>
    <row r="239" spans="1:37" x14ac:dyDescent="0.2">
      <c r="A239" s="50"/>
      <c r="B239" s="50"/>
      <c r="C239" s="50"/>
      <c r="D239" s="50"/>
      <c r="E239" s="50"/>
      <c r="F239" s="50"/>
      <c r="G239" s="50"/>
      <c r="H239" s="50"/>
      <c r="I239" s="50"/>
      <c r="J239" s="50"/>
      <c r="K239" s="50"/>
      <c r="L239" s="50"/>
      <c r="M239" s="52"/>
      <c r="N239" s="51"/>
      <c r="O239" s="51"/>
      <c r="P239" s="53">
        <f t="shared" si="21"/>
        <v>0</v>
      </c>
      <c r="Q239" s="50"/>
      <c r="R239" s="50"/>
      <c r="S239" s="51"/>
      <c r="T239" s="50"/>
      <c r="U239" s="50"/>
      <c r="V239" s="50"/>
      <c r="W239" s="50"/>
      <c r="X239" s="50"/>
      <c r="Y239" s="50"/>
      <c r="Z239" s="50"/>
      <c r="AA239" s="50"/>
      <c r="AB239" s="50"/>
      <c r="AC239" s="53">
        <f t="shared" si="22"/>
        <v>0</v>
      </c>
      <c r="AD239" s="53">
        <f t="shared" si="23"/>
        <v>0</v>
      </c>
      <c r="AE239" s="53">
        <f t="shared" si="24"/>
        <v>0</v>
      </c>
      <c r="AF239" s="53">
        <f t="shared" si="25"/>
        <v>0</v>
      </c>
      <c r="AG239" s="53">
        <f t="shared" si="26"/>
        <v>0</v>
      </c>
      <c r="AH239" s="53">
        <f t="shared" si="27"/>
        <v>0</v>
      </c>
      <c r="AI239" s="50"/>
      <c r="AJ239" s="50"/>
      <c r="AK239" s="50"/>
    </row>
    <row r="240" spans="1:37" x14ac:dyDescent="0.2">
      <c r="A240" s="50"/>
      <c r="B240" s="50"/>
      <c r="C240" s="50"/>
      <c r="D240" s="50"/>
      <c r="E240" s="50"/>
      <c r="F240" s="50"/>
      <c r="G240" s="50"/>
      <c r="H240" s="50"/>
      <c r="I240" s="50"/>
      <c r="J240" s="50"/>
      <c r="K240" s="50"/>
      <c r="L240" s="50"/>
      <c r="M240" s="52"/>
      <c r="N240" s="51"/>
      <c r="O240" s="51"/>
      <c r="P240" s="53">
        <f t="shared" si="21"/>
        <v>0</v>
      </c>
      <c r="Q240" s="50"/>
      <c r="R240" s="50"/>
      <c r="S240" s="51"/>
      <c r="T240" s="50"/>
      <c r="U240" s="50"/>
      <c r="V240" s="50"/>
      <c r="W240" s="50"/>
      <c r="X240" s="50"/>
      <c r="Y240" s="50"/>
      <c r="Z240" s="50"/>
      <c r="AA240" s="50"/>
      <c r="AB240" s="50"/>
      <c r="AC240" s="53">
        <f t="shared" si="22"/>
        <v>0</v>
      </c>
      <c r="AD240" s="53">
        <f t="shared" si="23"/>
        <v>0</v>
      </c>
      <c r="AE240" s="53">
        <f t="shared" si="24"/>
        <v>0</v>
      </c>
      <c r="AF240" s="53">
        <f t="shared" si="25"/>
        <v>0</v>
      </c>
      <c r="AG240" s="53">
        <f t="shared" si="26"/>
        <v>0</v>
      </c>
      <c r="AH240" s="53">
        <f t="shared" si="27"/>
        <v>0</v>
      </c>
      <c r="AI240" s="50"/>
      <c r="AJ240" s="50"/>
      <c r="AK240" s="50"/>
    </row>
    <row r="241" spans="1:37" x14ac:dyDescent="0.2">
      <c r="A241" s="50"/>
      <c r="B241" s="50"/>
      <c r="C241" s="50"/>
      <c r="D241" s="50"/>
      <c r="E241" s="50"/>
      <c r="F241" s="50"/>
      <c r="G241" s="50"/>
      <c r="H241" s="50"/>
      <c r="I241" s="50"/>
      <c r="J241" s="50"/>
      <c r="K241" s="50"/>
      <c r="L241" s="50"/>
      <c r="M241" s="52"/>
      <c r="N241" s="51"/>
      <c r="O241" s="51"/>
      <c r="P241" s="53">
        <f t="shared" si="21"/>
        <v>0</v>
      </c>
      <c r="Q241" s="50"/>
      <c r="R241" s="50"/>
      <c r="S241" s="51"/>
      <c r="T241" s="50"/>
      <c r="U241" s="50"/>
      <c r="V241" s="50"/>
      <c r="W241" s="50"/>
      <c r="X241" s="50"/>
      <c r="Y241" s="50"/>
      <c r="Z241" s="50"/>
      <c r="AA241" s="50"/>
      <c r="AB241" s="50"/>
      <c r="AC241" s="53">
        <f t="shared" si="22"/>
        <v>0</v>
      </c>
      <c r="AD241" s="53">
        <f t="shared" si="23"/>
        <v>0</v>
      </c>
      <c r="AE241" s="53">
        <f t="shared" si="24"/>
        <v>0</v>
      </c>
      <c r="AF241" s="53">
        <f t="shared" si="25"/>
        <v>0</v>
      </c>
      <c r="AG241" s="53">
        <f t="shared" si="26"/>
        <v>0</v>
      </c>
      <c r="AH241" s="53">
        <f t="shared" si="27"/>
        <v>0</v>
      </c>
      <c r="AI241" s="50"/>
      <c r="AJ241" s="50"/>
      <c r="AK241" s="50"/>
    </row>
    <row r="242" spans="1:37" x14ac:dyDescent="0.2">
      <c r="A242" s="50"/>
      <c r="B242" s="50"/>
      <c r="C242" s="50"/>
      <c r="D242" s="50"/>
      <c r="E242" s="50"/>
      <c r="F242" s="50"/>
      <c r="G242" s="50"/>
      <c r="H242" s="50"/>
      <c r="I242" s="50"/>
      <c r="J242" s="50"/>
      <c r="K242" s="50"/>
      <c r="L242" s="50"/>
      <c r="M242" s="52"/>
      <c r="N242" s="51"/>
      <c r="O242" s="51"/>
      <c r="P242" s="53">
        <f t="shared" si="21"/>
        <v>0</v>
      </c>
      <c r="Q242" s="50"/>
      <c r="R242" s="50"/>
      <c r="S242" s="51"/>
      <c r="T242" s="50"/>
      <c r="U242" s="50"/>
      <c r="V242" s="50"/>
      <c r="W242" s="50"/>
      <c r="X242" s="50"/>
      <c r="Y242" s="50"/>
      <c r="Z242" s="50"/>
      <c r="AA242" s="50"/>
      <c r="AB242" s="50"/>
      <c r="AC242" s="53">
        <f t="shared" si="22"/>
        <v>0</v>
      </c>
      <c r="AD242" s="53">
        <f t="shared" si="23"/>
        <v>0</v>
      </c>
      <c r="AE242" s="53">
        <f t="shared" si="24"/>
        <v>0</v>
      </c>
      <c r="AF242" s="53">
        <f t="shared" si="25"/>
        <v>0</v>
      </c>
      <c r="AG242" s="53">
        <f t="shared" si="26"/>
        <v>0</v>
      </c>
      <c r="AH242" s="53">
        <f t="shared" si="27"/>
        <v>0</v>
      </c>
      <c r="AI242" s="50"/>
      <c r="AJ242" s="50"/>
      <c r="AK242" s="50"/>
    </row>
    <row r="243" spans="1:37" x14ac:dyDescent="0.2">
      <c r="A243" s="50"/>
      <c r="B243" s="50"/>
      <c r="C243" s="50"/>
      <c r="D243" s="50"/>
      <c r="E243" s="50"/>
      <c r="F243" s="50"/>
      <c r="G243" s="50"/>
      <c r="H243" s="50"/>
      <c r="I243" s="50"/>
      <c r="J243" s="50"/>
      <c r="K243" s="50"/>
      <c r="L243" s="50"/>
      <c r="M243" s="52"/>
      <c r="N243" s="51"/>
      <c r="O243" s="51"/>
      <c r="P243" s="53">
        <f t="shared" si="21"/>
        <v>0</v>
      </c>
      <c r="Q243" s="50"/>
      <c r="R243" s="50"/>
      <c r="S243" s="51"/>
      <c r="T243" s="50"/>
      <c r="U243" s="50"/>
      <c r="V243" s="50"/>
      <c r="W243" s="50"/>
      <c r="X243" s="50"/>
      <c r="Y243" s="50"/>
      <c r="Z243" s="50"/>
      <c r="AA243" s="50"/>
      <c r="AB243" s="50"/>
      <c r="AC243" s="53">
        <f t="shared" si="22"/>
        <v>0</v>
      </c>
      <c r="AD243" s="53">
        <f t="shared" si="23"/>
        <v>0</v>
      </c>
      <c r="AE243" s="53">
        <f t="shared" si="24"/>
        <v>0</v>
      </c>
      <c r="AF243" s="53">
        <f t="shared" si="25"/>
        <v>0</v>
      </c>
      <c r="AG243" s="53">
        <f t="shared" si="26"/>
        <v>0</v>
      </c>
      <c r="AH243" s="53">
        <f t="shared" si="27"/>
        <v>0</v>
      </c>
      <c r="AI243" s="50"/>
      <c r="AJ243" s="50"/>
      <c r="AK243" s="50"/>
    </row>
    <row r="244" spans="1:37" x14ac:dyDescent="0.2">
      <c r="A244" s="50"/>
      <c r="B244" s="50"/>
      <c r="C244" s="50"/>
      <c r="D244" s="50"/>
      <c r="E244" s="50"/>
      <c r="F244" s="50"/>
      <c r="G244" s="50"/>
      <c r="H244" s="50"/>
      <c r="I244" s="50"/>
      <c r="J244" s="50"/>
      <c r="K244" s="50"/>
      <c r="L244" s="50"/>
      <c r="M244" s="52"/>
      <c r="N244" s="51"/>
      <c r="O244" s="51"/>
      <c r="P244" s="53">
        <f t="shared" si="21"/>
        <v>0</v>
      </c>
      <c r="Q244" s="50"/>
      <c r="R244" s="50"/>
      <c r="S244" s="51"/>
      <c r="T244" s="50"/>
      <c r="U244" s="50"/>
      <c r="V244" s="50"/>
      <c r="W244" s="50"/>
      <c r="X244" s="50"/>
      <c r="Y244" s="50"/>
      <c r="Z244" s="50"/>
      <c r="AA244" s="50"/>
      <c r="AB244" s="50"/>
      <c r="AC244" s="53">
        <f t="shared" si="22"/>
        <v>0</v>
      </c>
      <c r="AD244" s="53">
        <f t="shared" si="23"/>
        <v>0</v>
      </c>
      <c r="AE244" s="53">
        <f t="shared" si="24"/>
        <v>0</v>
      </c>
      <c r="AF244" s="53">
        <f t="shared" si="25"/>
        <v>0</v>
      </c>
      <c r="AG244" s="53">
        <f t="shared" si="26"/>
        <v>0</v>
      </c>
      <c r="AH244" s="53">
        <f t="shared" si="27"/>
        <v>0</v>
      </c>
      <c r="AI244" s="50"/>
      <c r="AJ244" s="50"/>
      <c r="AK244" s="50"/>
    </row>
    <row r="245" spans="1:37" x14ac:dyDescent="0.2">
      <c r="A245" s="50"/>
      <c r="B245" s="50"/>
      <c r="C245" s="50"/>
      <c r="D245" s="50"/>
      <c r="E245" s="50"/>
      <c r="F245" s="50"/>
      <c r="G245" s="50"/>
      <c r="H245" s="50"/>
      <c r="I245" s="50"/>
      <c r="J245" s="50"/>
      <c r="K245" s="50"/>
      <c r="L245" s="50"/>
      <c r="M245" s="52"/>
      <c r="N245" s="51"/>
      <c r="O245" s="51"/>
      <c r="P245" s="53">
        <f t="shared" si="21"/>
        <v>0</v>
      </c>
      <c r="Q245" s="50"/>
      <c r="R245" s="50"/>
      <c r="S245" s="51"/>
      <c r="T245" s="50"/>
      <c r="U245" s="50"/>
      <c r="V245" s="50"/>
      <c r="W245" s="50"/>
      <c r="X245" s="50"/>
      <c r="Y245" s="50"/>
      <c r="Z245" s="50"/>
      <c r="AA245" s="50"/>
      <c r="AB245" s="50"/>
      <c r="AC245" s="53">
        <f t="shared" si="22"/>
        <v>0</v>
      </c>
      <c r="AD245" s="53">
        <f t="shared" si="23"/>
        <v>0</v>
      </c>
      <c r="AE245" s="53">
        <f t="shared" si="24"/>
        <v>0</v>
      </c>
      <c r="AF245" s="53">
        <f t="shared" si="25"/>
        <v>0</v>
      </c>
      <c r="AG245" s="53">
        <f t="shared" si="26"/>
        <v>0</v>
      </c>
      <c r="AH245" s="53">
        <f t="shared" si="27"/>
        <v>0</v>
      </c>
      <c r="AI245" s="50"/>
      <c r="AJ245" s="50"/>
      <c r="AK245" s="50"/>
    </row>
    <row r="246" spans="1:37" x14ac:dyDescent="0.2">
      <c r="A246" s="50"/>
      <c r="B246" s="50"/>
      <c r="C246" s="50"/>
      <c r="D246" s="50"/>
      <c r="E246" s="50"/>
      <c r="F246" s="50"/>
      <c r="G246" s="50"/>
      <c r="H246" s="50"/>
      <c r="I246" s="50"/>
      <c r="J246" s="50"/>
      <c r="K246" s="50"/>
      <c r="L246" s="50"/>
      <c r="M246" s="52"/>
      <c r="N246" s="51"/>
      <c r="O246" s="51"/>
      <c r="P246" s="53">
        <f t="shared" si="21"/>
        <v>0</v>
      </c>
      <c r="Q246" s="50"/>
      <c r="R246" s="50"/>
      <c r="S246" s="51"/>
      <c r="T246" s="50"/>
      <c r="U246" s="50"/>
      <c r="V246" s="50"/>
      <c r="W246" s="50"/>
      <c r="X246" s="50"/>
      <c r="Y246" s="50"/>
      <c r="Z246" s="50"/>
      <c r="AA246" s="50"/>
      <c r="AB246" s="50"/>
      <c r="AC246" s="53">
        <f t="shared" si="22"/>
        <v>0</v>
      </c>
      <c r="AD246" s="53">
        <f t="shared" si="23"/>
        <v>0</v>
      </c>
      <c r="AE246" s="53">
        <f t="shared" si="24"/>
        <v>0</v>
      </c>
      <c r="AF246" s="53">
        <f t="shared" si="25"/>
        <v>0</v>
      </c>
      <c r="AG246" s="53">
        <f t="shared" si="26"/>
        <v>0</v>
      </c>
      <c r="AH246" s="53">
        <f t="shared" si="27"/>
        <v>0</v>
      </c>
      <c r="AI246" s="50"/>
      <c r="AJ246" s="50"/>
      <c r="AK246" s="50"/>
    </row>
    <row r="247" spans="1:37" x14ac:dyDescent="0.2">
      <c r="A247" s="50"/>
      <c r="B247" s="50"/>
      <c r="C247" s="50"/>
      <c r="D247" s="50"/>
      <c r="E247" s="50"/>
      <c r="F247" s="50"/>
      <c r="G247" s="50"/>
      <c r="H247" s="50"/>
      <c r="I247" s="50"/>
      <c r="J247" s="50"/>
      <c r="K247" s="50"/>
      <c r="L247" s="50"/>
      <c r="M247" s="52"/>
      <c r="N247" s="51"/>
      <c r="O247" s="51"/>
      <c r="P247" s="53">
        <f t="shared" si="21"/>
        <v>0</v>
      </c>
      <c r="Q247" s="50"/>
      <c r="R247" s="50"/>
      <c r="S247" s="51"/>
      <c r="T247" s="50"/>
      <c r="U247" s="50"/>
      <c r="V247" s="50"/>
      <c r="W247" s="50"/>
      <c r="X247" s="50"/>
      <c r="Y247" s="50"/>
      <c r="Z247" s="50"/>
      <c r="AA247" s="50"/>
      <c r="AB247" s="50"/>
      <c r="AC247" s="53">
        <f t="shared" si="22"/>
        <v>0</v>
      </c>
      <c r="AD247" s="53">
        <f t="shared" si="23"/>
        <v>0</v>
      </c>
      <c r="AE247" s="53">
        <f t="shared" si="24"/>
        <v>0</v>
      </c>
      <c r="AF247" s="53">
        <f t="shared" si="25"/>
        <v>0</v>
      </c>
      <c r="AG247" s="53">
        <f t="shared" si="26"/>
        <v>0</v>
      </c>
      <c r="AH247" s="53">
        <f t="shared" si="27"/>
        <v>0</v>
      </c>
      <c r="AI247" s="50"/>
      <c r="AJ247" s="50"/>
      <c r="AK247" s="50"/>
    </row>
    <row r="248" spans="1:37" x14ac:dyDescent="0.2">
      <c r="A248" s="50"/>
      <c r="B248" s="50"/>
      <c r="C248" s="50"/>
      <c r="D248" s="50"/>
      <c r="E248" s="50"/>
      <c r="F248" s="50"/>
      <c r="G248" s="50"/>
      <c r="H248" s="50"/>
      <c r="I248" s="50"/>
      <c r="J248" s="50"/>
      <c r="K248" s="50"/>
      <c r="L248" s="50"/>
      <c r="M248" s="52"/>
      <c r="N248" s="51"/>
      <c r="O248" s="51"/>
      <c r="P248" s="53">
        <f t="shared" si="21"/>
        <v>0</v>
      </c>
      <c r="Q248" s="50"/>
      <c r="R248" s="50"/>
      <c r="S248" s="51"/>
      <c r="T248" s="50"/>
      <c r="U248" s="50"/>
      <c r="V248" s="50"/>
      <c r="W248" s="50"/>
      <c r="X248" s="50"/>
      <c r="Y248" s="50"/>
      <c r="Z248" s="50"/>
      <c r="AA248" s="50"/>
      <c r="AB248" s="50"/>
      <c r="AC248" s="53">
        <f t="shared" si="22"/>
        <v>0</v>
      </c>
      <c r="AD248" s="53">
        <f t="shared" si="23"/>
        <v>0</v>
      </c>
      <c r="AE248" s="53">
        <f t="shared" si="24"/>
        <v>0</v>
      </c>
      <c r="AF248" s="53">
        <f t="shared" si="25"/>
        <v>0</v>
      </c>
      <c r="AG248" s="53">
        <f t="shared" si="26"/>
        <v>0</v>
      </c>
      <c r="AH248" s="53">
        <f t="shared" si="27"/>
        <v>0</v>
      </c>
      <c r="AI248" s="50"/>
      <c r="AJ248" s="50"/>
      <c r="AK248" s="50"/>
    </row>
    <row r="249" spans="1:37" x14ac:dyDescent="0.2">
      <c r="A249" s="50"/>
      <c r="B249" s="50"/>
      <c r="C249" s="50"/>
      <c r="D249" s="50"/>
      <c r="E249" s="50"/>
      <c r="F249" s="50"/>
      <c r="G249" s="50"/>
      <c r="H249" s="50"/>
      <c r="I249" s="50"/>
      <c r="J249" s="50"/>
      <c r="K249" s="50"/>
      <c r="L249" s="50"/>
      <c r="M249" s="52"/>
      <c r="N249" s="51"/>
      <c r="O249" s="51"/>
      <c r="P249" s="53">
        <f t="shared" si="21"/>
        <v>0</v>
      </c>
      <c r="Q249" s="50"/>
      <c r="R249" s="50"/>
      <c r="S249" s="51"/>
      <c r="T249" s="50"/>
      <c r="U249" s="50"/>
      <c r="V249" s="50"/>
      <c r="W249" s="50"/>
      <c r="X249" s="50"/>
      <c r="Y249" s="50"/>
      <c r="Z249" s="50"/>
      <c r="AA249" s="50"/>
      <c r="AB249" s="50"/>
      <c r="AC249" s="53">
        <f t="shared" si="22"/>
        <v>0</v>
      </c>
      <c r="AD249" s="53">
        <f t="shared" si="23"/>
        <v>0</v>
      </c>
      <c r="AE249" s="53">
        <f t="shared" si="24"/>
        <v>0</v>
      </c>
      <c r="AF249" s="53">
        <f t="shared" si="25"/>
        <v>0</v>
      </c>
      <c r="AG249" s="53">
        <f t="shared" si="26"/>
        <v>0</v>
      </c>
      <c r="AH249" s="53">
        <f t="shared" si="27"/>
        <v>0</v>
      </c>
      <c r="AI249" s="50"/>
      <c r="AJ249" s="50"/>
      <c r="AK249" s="50"/>
    </row>
    <row r="250" spans="1:37" x14ac:dyDescent="0.2">
      <c r="A250" s="50"/>
      <c r="B250" s="50"/>
      <c r="C250" s="50"/>
      <c r="D250" s="50"/>
      <c r="E250" s="50"/>
      <c r="F250" s="50"/>
      <c r="G250" s="50"/>
      <c r="H250" s="50"/>
      <c r="I250" s="50"/>
      <c r="J250" s="50"/>
      <c r="K250" s="50"/>
      <c r="L250" s="50"/>
      <c r="M250" s="52"/>
      <c r="N250" s="51"/>
      <c r="O250" s="51"/>
      <c r="P250" s="53">
        <f t="shared" si="21"/>
        <v>0</v>
      </c>
      <c r="Q250" s="50"/>
      <c r="R250" s="50"/>
      <c r="S250" s="51"/>
      <c r="T250" s="50"/>
      <c r="U250" s="50"/>
      <c r="V250" s="50"/>
      <c r="W250" s="50"/>
      <c r="X250" s="50"/>
      <c r="Y250" s="50"/>
      <c r="Z250" s="50"/>
      <c r="AA250" s="50"/>
      <c r="AB250" s="50"/>
      <c r="AC250" s="53">
        <f t="shared" si="22"/>
        <v>0</v>
      </c>
      <c r="AD250" s="53">
        <f t="shared" si="23"/>
        <v>0</v>
      </c>
      <c r="AE250" s="53">
        <f t="shared" si="24"/>
        <v>0</v>
      </c>
      <c r="AF250" s="53">
        <f t="shared" si="25"/>
        <v>0</v>
      </c>
      <c r="AG250" s="53">
        <f t="shared" si="26"/>
        <v>0</v>
      </c>
      <c r="AH250" s="53">
        <f t="shared" si="27"/>
        <v>0</v>
      </c>
      <c r="AI250" s="50"/>
      <c r="AJ250" s="50"/>
      <c r="AK250" s="50"/>
    </row>
    <row r="251" spans="1:37" x14ac:dyDescent="0.2">
      <c r="A251" s="50"/>
      <c r="B251" s="50"/>
      <c r="C251" s="50"/>
      <c r="D251" s="50"/>
      <c r="E251" s="50"/>
      <c r="F251" s="50"/>
      <c r="G251" s="50"/>
      <c r="H251" s="50"/>
      <c r="I251" s="50"/>
      <c r="J251" s="50"/>
      <c r="K251" s="50"/>
      <c r="L251" s="50"/>
      <c r="M251" s="52"/>
      <c r="N251" s="51"/>
      <c r="O251" s="51"/>
      <c r="P251" s="53">
        <f t="shared" si="21"/>
        <v>0</v>
      </c>
      <c r="Q251" s="50"/>
      <c r="R251" s="50"/>
      <c r="S251" s="51"/>
      <c r="T251" s="50"/>
      <c r="U251" s="50"/>
      <c r="V251" s="50"/>
      <c r="W251" s="50"/>
      <c r="X251" s="50"/>
      <c r="Y251" s="50"/>
      <c r="Z251" s="50"/>
      <c r="AA251" s="50"/>
      <c r="AB251" s="50"/>
      <c r="AC251" s="53">
        <f t="shared" si="22"/>
        <v>0</v>
      </c>
      <c r="AD251" s="53">
        <f t="shared" si="23"/>
        <v>0</v>
      </c>
      <c r="AE251" s="53">
        <f t="shared" si="24"/>
        <v>0</v>
      </c>
      <c r="AF251" s="53">
        <f t="shared" si="25"/>
        <v>0</v>
      </c>
      <c r="AG251" s="53">
        <f t="shared" si="26"/>
        <v>0</v>
      </c>
      <c r="AH251" s="53">
        <f t="shared" si="27"/>
        <v>0</v>
      </c>
      <c r="AI251" s="50"/>
      <c r="AJ251" s="50"/>
      <c r="AK251" s="50"/>
    </row>
    <row r="252" spans="1:37" x14ac:dyDescent="0.2">
      <c r="A252" s="50"/>
      <c r="B252" s="50"/>
      <c r="C252" s="50"/>
      <c r="D252" s="50"/>
      <c r="E252" s="50"/>
      <c r="F252" s="50"/>
      <c r="G252" s="50"/>
      <c r="H252" s="50"/>
      <c r="I252" s="50"/>
      <c r="J252" s="50"/>
      <c r="K252" s="50"/>
      <c r="L252" s="50"/>
      <c r="M252" s="52"/>
      <c r="N252" s="51"/>
      <c r="O252" s="51"/>
      <c r="P252" s="53">
        <f t="shared" si="21"/>
        <v>0</v>
      </c>
      <c r="Q252" s="50"/>
      <c r="R252" s="50"/>
      <c r="S252" s="51"/>
      <c r="T252" s="50"/>
      <c r="U252" s="50"/>
      <c r="V252" s="50"/>
      <c r="W252" s="50"/>
      <c r="X252" s="50"/>
      <c r="Y252" s="50"/>
      <c r="Z252" s="50"/>
      <c r="AA252" s="50"/>
      <c r="AB252" s="50"/>
      <c r="AC252" s="53">
        <f t="shared" si="22"/>
        <v>0</v>
      </c>
      <c r="AD252" s="53">
        <f t="shared" si="23"/>
        <v>0</v>
      </c>
      <c r="AE252" s="53">
        <f t="shared" si="24"/>
        <v>0</v>
      </c>
      <c r="AF252" s="53">
        <f t="shared" si="25"/>
        <v>0</v>
      </c>
      <c r="AG252" s="53">
        <f t="shared" si="26"/>
        <v>0</v>
      </c>
      <c r="AH252" s="53">
        <f t="shared" si="27"/>
        <v>0</v>
      </c>
      <c r="AI252" s="50"/>
      <c r="AJ252" s="50"/>
      <c r="AK252" s="50"/>
    </row>
    <row r="253" spans="1:37" x14ac:dyDescent="0.2">
      <c r="A253" s="50"/>
      <c r="B253" s="50"/>
      <c r="C253" s="50"/>
      <c r="D253" s="50"/>
      <c r="E253" s="50"/>
      <c r="F253" s="50"/>
      <c r="G253" s="50"/>
      <c r="H253" s="50"/>
      <c r="I253" s="50"/>
      <c r="J253" s="50"/>
      <c r="K253" s="50"/>
      <c r="L253" s="50"/>
      <c r="M253" s="52"/>
      <c r="N253" s="51"/>
      <c r="O253" s="51"/>
      <c r="P253" s="53">
        <f t="shared" si="21"/>
        <v>0</v>
      </c>
      <c r="Q253" s="50"/>
      <c r="R253" s="50"/>
      <c r="S253" s="51"/>
      <c r="T253" s="50"/>
      <c r="U253" s="50"/>
      <c r="V253" s="50"/>
      <c r="W253" s="50"/>
      <c r="X253" s="50"/>
      <c r="Y253" s="50"/>
      <c r="Z253" s="50"/>
      <c r="AA253" s="50"/>
      <c r="AB253" s="50"/>
      <c r="AC253" s="53">
        <f t="shared" si="22"/>
        <v>0</v>
      </c>
      <c r="AD253" s="53">
        <f t="shared" si="23"/>
        <v>0</v>
      </c>
      <c r="AE253" s="53">
        <f t="shared" si="24"/>
        <v>0</v>
      </c>
      <c r="AF253" s="53">
        <f t="shared" si="25"/>
        <v>0</v>
      </c>
      <c r="AG253" s="53">
        <f t="shared" si="26"/>
        <v>0</v>
      </c>
      <c r="AH253" s="53">
        <f t="shared" si="27"/>
        <v>0</v>
      </c>
      <c r="AI253" s="50"/>
      <c r="AJ253" s="50"/>
      <c r="AK253" s="50"/>
    </row>
    <row r="254" spans="1:37" x14ac:dyDescent="0.2">
      <c r="A254" s="50"/>
      <c r="B254" s="50"/>
      <c r="C254" s="50"/>
      <c r="D254" s="50"/>
      <c r="E254" s="50"/>
      <c r="F254" s="50"/>
      <c r="G254" s="50"/>
      <c r="H254" s="50"/>
      <c r="I254" s="50"/>
      <c r="J254" s="50"/>
      <c r="K254" s="50"/>
      <c r="L254" s="50"/>
      <c r="M254" s="52"/>
      <c r="N254" s="51"/>
      <c r="O254" s="51"/>
      <c r="P254" s="53">
        <f t="shared" si="21"/>
        <v>0</v>
      </c>
      <c r="Q254" s="50"/>
      <c r="R254" s="50"/>
      <c r="S254" s="51"/>
      <c r="T254" s="50"/>
      <c r="U254" s="50"/>
      <c r="V254" s="50"/>
      <c r="W254" s="50"/>
      <c r="X254" s="50"/>
      <c r="Y254" s="50"/>
      <c r="Z254" s="50"/>
      <c r="AA254" s="50"/>
      <c r="AB254" s="50"/>
      <c r="AC254" s="53">
        <f t="shared" si="22"/>
        <v>0</v>
      </c>
      <c r="AD254" s="53">
        <f t="shared" si="23"/>
        <v>0</v>
      </c>
      <c r="AE254" s="53">
        <f t="shared" si="24"/>
        <v>0</v>
      </c>
      <c r="AF254" s="53">
        <f t="shared" si="25"/>
        <v>0</v>
      </c>
      <c r="AG254" s="53">
        <f t="shared" si="26"/>
        <v>0</v>
      </c>
      <c r="AH254" s="53">
        <f t="shared" si="27"/>
        <v>0</v>
      </c>
      <c r="AI254" s="50"/>
      <c r="AJ254" s="50"/>
      <c r="AK254" s="50"/>
    </row>
    <row r="255" spans="1:37" x14ac:dyDescent="0.2">
      <c r="A255" s="50"/>
      <c r="B255" s="50"/>
      <c r="C255" s="50"/>
      <c r="D255" s="50"/>
      <c r="E255" s="50"/>
      <c r="F255" s="50"/>
      <c r="G255" s="50"/>
      <c r="H255" s="50"/>
      <c r="I255" s="50"/>
      <c r="J255" s="50"/>
      <c r="K255" s="50"/>
      <c r="L255" s="50"/>
      <c r="M255" s="52"/>
      <c r="N255" s="51"/>
      <c r="O255" s="51"/>
      <c r="P255" s="53">
        <f t="shared" si="21"/>
        <v>0</v>
      </c>
      <c r="Q255" s="50"/>
      <c r="R255" s="50"/>
      <c r="S255" s="51"/>
      <c r="T255" s="50"/>
      <c r="U255" s="50"/>
      <c r="V255" s="50"/>
      <c r="W255" s="50"/>
      <c r="X255" s="50"/>
      <c r="Y255" s="50"/>
      <c r="Z255" s="50"/>
      <c r="AA255" s="50"/>
      <c r="AB255" s="50"/>
      <c r="AC255" s="53">
        <f t="shared" si="22"/>
        <v>0</v>
      </c>
      <c r="AD255" s="53">
        <f t="shared" si="23"/>
        <v>0</v>
      </c>
      <c r="AE255" s="53">
        <f t="shared" si="24"/>
        <v>0</v>
      </c>
      <c r="AF255" s="53">
        <f t="shared" si="25"/>
        <v>0</v>
      </c>
      <c r="AG255" s="53">
        <f t="shared" si="26"/>
        <v>0</v>
      </c>
      <c r="AH255" s="53">
        <f t="shared" si="27"/>
        <v>0</v>
      </c>
      <c r="AI255" s="50"/>
      <c r="AJ255" s="50"/>
      <c r="AK255" s="50"/>
    </row>
    <row r="256" spans="1:37" x14ac:dyDescent="0.2">
      <c r="A256" s="50"/>
      <c r="B256" s="50"/>
      <c r="C256" s="50"/>
      <c r="D256" s="50"/>
      <c r="E256" s="50"/>
      <c r="F256" s="50"/>
      <c r="G256" s="50"/>
      <c r="H256" s="50"/>
      <c r="I256" s="50"/>
      <c r="J256" s="50"/>
      <c r="K256" s="50"/>
      <c r="L256" s="50"/>
      <c r="M256" s="52"/>
      <c r="N256" s="51"/>
      <c r="O256" s="51"/>
      <c r="P256" s="53">
        <f t="shared" si="21"/>
        <v>0</v>
      </c>
      <c r="Q256" s="50"/>
      <c r="R256" s="50"/>
      <c r="S256" s="51"/>
      <c r="T256" s="50"/>
      <c r="U256" s="50"/>
      <c r="V256" s="50"/>
      <c r="W256" s="50"/>
      <c r="X256" s="50"/>
      <c r="Y256" s="50"/>
      <c r="Z256" s="50"/>
      <c r="AA256" s="50"/>
      <c r="AB256" s="50"/>
      <c r="AC256" s="53">
        <f t="shared" si="22"/>
        <v>0</v>
      </c>
      <c r="AD256" s="53">
        <f t="shared" si="23"/>
        <v>0</v>
      </c>
      <c r="AE256" s="53">
        <f t="shared" si="24"/>
        <v>0</v>
      </c>
      <c r="AF256" s="53">
        <f t="shared" si="25"/>
        <v>0</v>
      </c>
      <c r="AG256" s="53">
        <f t="shared" si="26"/>
        <v>0</v>
      </c>
      <c r="AH256" s="53">
        <f t="shared" si="27"/>
        <v>0</v>
      </c>
      <c r="AI256" s="50"/>
      <c r="AJ256" s="50"/>
      <c r="AK256" s="50"/>
    </row>
    <row r="257" spans="1:37" x14ac:dyDescent="0.2">
      <c r="A257" s="50"/>
      <c r="B257" s="50"/>
      <c r="C257" s="50"/>
      <c r="D257" s="50"/>
      <c r="E257" s="50"/>
      <c r="F257" s="50"/>
      <c r="G257" s="50"/>
      <c r="H257" s="50"/>
      <c r="I257" s="50"/>
      <c r="J257" s="50"/>
      <c r="K257" s="50"/>
      <c r="L257" s="50"/>
      <c r="M257" s="52"/>
      <c r="N257" s="51"/>
      <c r="O257" s="51"/>
      <c r="P257" s="53">
        <f t="shared" si="21"/>
        <v>0</v>
      </c>
      <c r="Q257" s="50"/>
      <c r="R257" s="50"/>
      <c r="S257" s="51"/>
      <c r="T257" s="50"/>
      <c r="U257" s="50"/>
      <c r="V257" s="50"/>
      <c r="W257" s="50"/>
      <c r="X257" s="50"/>
      <c r="Y257" s="50"/>
      <c r="Z257" s="50"/>
      <c r="AA257" s="50"/>
      <c r="AB257" s="50"/>
      <c r="AC257" s="53">
        <f t="shared" si="22"/>
        <v>0</v>
      </c>
      <c r="AD257" s="53">
        <f t="shared" si="23"/>
        <v>0</v>
      </c>
      <c r="AE257" s="53">
        <f t="shared" si="24"/>
        <v>0</v>
      </c>
      <c r="AF257" s="53">
        <f t="shared" si="25"/>
        <v>0</v>
      </c>
      <c r="AG257" s="53">
        <f t="shared" si="26"/>
        <v>0</v>
      </c>
      <c r="AH257" s="53">
        <f t="shared" si="27"/>
        <v>0</v>
      </c>
      <c r="AI257" s="50"/>
      <c r="AJ257" s="50"/>
      <c r="AK257" s="50"/>
    </row>
    <row r="258" spans="1:37" x14ac:dyDescent="0.2">
      <c r="A258" s="50"/>
      <c r="B258" s="50"/>
      <c r="C258" s="50"/>
      <c r="D258" s="50"/>
      <c r="E258" s="50"/>
      <c r="F258" s="50"/>
      <c r="G258" s="50"/>
      <c r="H258" s="50"/>
      <c r="I258" s="50"/>
      <c r="J258" s="50"/>
      <c r="K258" s="50"/>
      <c r="L258" s="50"/>
      <c r="M258" s="52"/>
      <c r="N258" s="51"/>
      <c r="O258" s="51"/>
      <c r="P258" s="53">
        <f t="shared" si="21"/>
        <v>0</v>
      </c>
      <c r="Q258" s="50"/>
      <c r="R258" s="50"/>
      <c r="S258" s="51"/>
      <c r="T258" s="50"/>
      <c r="U258" s="50"/>
      <c r="V258" s="50"/>
      <c r="W258" s="50"/>
      <c r="X258" s="50"/>
      <c r="Y258" s="50"/>
      <c r="Z258" s="50"/>
      <c r="AA258" s="50"/>
      <c r="AB258" s="50"/>
      <c r="AC258" s="53">
        <f t="shared" si="22"/>
        <v>0</v>
      </c>
      <c r="AD258" s="53">
        <f t="shared" si="23"/>
        <v>0</v>
      </c>
      <c r="AE258" s="53">
        <f t="shared" si="24"/>
        <v>0</v>
      </c>
      <c r="AF258" s="53">
        <f t="shared" si="25"/>
        <v>0</v>
      </c>
      <c r="AG258" s="53">
        <f t="shared" si="26"/>
        <v>0</v>
      </c>
      <c r="AH258" s="53">
        <f t="shared" si="27"/>
        <v>0</v>
      </c>
      <c r="AI258" s="50"/>
      <c r="AJ258" s="50"/>
      <c r="AK258" s="50"/>
    </row>
    <row r="259" spans="1:37" x14ac:dyDescent="0.2">
      <c r="A259" s="50"/>
      <c r="B259" s="50"/>
      <c r="C259" s="50"/>
      <c r="D259" s="50"/>
      <c r="E259" s="50"/>
      <c r="F259" s="50"/>
      <c r="G259" s="50"/>
      <c r="H259" s="50"/>
      <c r="I259" s="50"/>
      <c r="J259" s="50"/>
      <c r="K259" s="50"/>
      <c r="L259" s="50"/>
      <c r="M259" s="52"/>
      <c r="N259" s="51"/>
      <c r="O259" s="51"/>
      <c r="P259" s="53">
        <f t="shared" si="21"/>
        <v>0</v>
      </c>
      <c r="Q259" s="50"/>
      <c r="R259" s="50"/>
      <c r="S259" s="51"/>
      <c r="T259" s="50"/>
      <c r="U259" s="50"/>
      <c r="V259" s="50"/>
      <c r="W259" s="50"/>
      <c r="X259" s="50"/>
      <c r="Y259" s="50"/>
      <c r="Z259" s="50"/>
      <c r="AA259" s="50"/>
      <c r="AB259" s="50"/>
      <c r="AC259" s="53">
        <f t="shared" si="22"/>
        <v>0</v>
      </c>
      <c r="AD259" s="53">
        <f t="shared" si="23"/>
        <v>0</v>
      </c>
      <c r="AE259" s="53">
        <f t="shared" si="24"/>
        <v>0</v>
      </c>
      <c r="AF259" s="53">
        <f t="shared" si="25"/>
        <v>0</v>
      </c>
      <c r="AG259" s="53">
        <f t="shared" si="26"/>
        <v>0</v>
      </c>
      <c r="AH259" s="53">
        <f t="shared" si="27"/>
        <v>0</v>
      </c>
      <c r="AI259" s="50"/>
      <c r="AJ259" s="50"/>
      <c r="AK259" s="50"/>
    </row>
    <row r="260" spans="1:37" x14ac:dyDescent="0.2">
      <c r="A260" s="50"/>
      <c r="B260" s="50"/>
      <c r="C260" s="50"/>
      <c r="D260" s="50"/>
      <c r="E260" s="50"/>
      <c r="F260" s="50"/>
      <c r="G260" s="50"/>
      <c r="H260" s="50"/>
      <c r="I260" s="50"/>
      <c r="J260" s="50"/>
      <c r="K260" s="50"/>
      <c r="L260" s="50"/>
      <c r="M260" s="52"/>
      <c r="N260" s="51"/>
      <c r="O260" s="51"/>
      <c r="P260" s="53">
        <f t="shared" si="21"/>
        <v>0</v>
      </c>
      <c r="Q260" s="50"/>
      <c r="R260" s="50"/>
      <c r="S260" s="51"/>
      <c r="T260" s="50"/>
      <c r="U260" s="50"/>
      <c r="V260" s="50"/>
      <c r="W260" s="50"/>
      <c r="X260" s="50"/>
      <c r="Y260" s="50"/>
      <c r="Z260" s="50"/>
      <c r="AA260" s="50"/>
      <c r="AB260" s="50"/>
      <c r="AC260" s="53">
        <f t="shared" si="22"/>
        <v>0</v>
      </c>
      <c r="AD260" s="53">
        <f t="shared" si="23"/>
        <v>0</v>
      </c>
      <c r="AE260" s="53">
        <f t="shared" si="24"/>
        <v>0</v>
      </c>
      <c r="AF260" s="53">
        <f t="shared" si="25"/>
        <v>0</v>
      </c>
      <c r="AG260" s="53">
        <f t="shared" si="26"/>
        <v>0</v>
      </c>
      <c r="AH260" s="53">
        <f t="shared" si="27"/>
        <v>0</v>
      </c>
      <c r="AI260" s="50"/>
      <c r="AJ260" s="50"/>
      <c r="AK260" s="50"/>
    </row>
    <row r="261" spans="1:37" x14ac:dyDescent="0.2">
      <c r="A261" s="50"/>
      <c r="B261" s="50"/>
      <c r="C261" s="50"/>
      <c r="D261" s="50"/>
      <c r="E261" s="50"/>
      <c r="F261" s="50"/>
      <c r="G261" s="50"/>
      <c r="H261" s="50"/>
      <c r="I261" s="50"/>
      <c r="J261" s="50"/>
      <c r="K261" s="50"/>
      <c r="L261" s="50"/>
      <c r="M261" s="52"/>
      <c r="N261" s="51"/>
      <c r="O261" s="51"/>
      <c r="P261" s="53">
        <f t="shared" ref="P261:P324" si="28">IF(OR(M261="",M261=0),0,M261*(1-N261)*(1+O261))</f>
        <v>0</v>
      </c>
      <c r="Q261" s="50"/>
      <c r="R261" s="50"/>
      <c r="S261" s="51"/>
      <c r="T261" s="50"/>
      <c r="U261" s="50"/>
      <c r="V261" s="50"/>
      <c r="W261" s="50"/>
      <c r="X261" s="50"/>
      <c r="Y261" s="50"/>
      <c r="Z261" s="50"/>
      <c r="AA261" s="50"/>
      <c r="AB261" s="50"/>
      <c r="AC261" s="53">
        <f t="shared" ref="AC261:AC324" si="29">IFERROR(X261*$P261,0)</f>
        <v>0</v>
      </c>
      <c r="AD261" s="53">
        <f t="shared" ref="AD261:AD324" si="30">IFERROR(Y261*$P261,0)</f>
        <v>0</v>
      </c>
      <c r="AE261" s="53">
        <f t="shared" ref="AE261:AE324" si="31">IFERROR(Z261*$P261,0)</f>
        <v>0</v>
      </c>
      <c r="AF261" s="53">
        <f t="shared" ref="AF261:AF324" si="32">IFERROR(AA261*$P261,0)</f>
        <v>0</v>
      </c>
      <c r="AG261" s="53">
        <f t="shared" ref="AG261:AG324" si="33">IFERROR(AB261*$P261,0)</f>
        <v>0</v>
      </c>
      <c r="AH261" s="53">
        <f t="shared" ref="AH261:AH324" si="34">SUM(AC261:AG261)</f>
        <v>0</v>
      </c>
      <c r="AI261" s="50"/>
      <c r="AJ261" s="50"/>
      <c r="AK261" s="50"/>
    </row>
    <row r="262" spans="1:37" x14ac:dyDescent="0.2">
      <c r="A262" s="50"/>
      <c r="B262" s="50"/>
      <c r="C262" s="50"/>
      <c r="D262" s="50"/>
      <c r="E262" s="50"/>
      <c r="F262" s="50"/>
      <c r="G262" s="50"/>
      <c r="H262" s="50"/>
      <c r="I262" s="50"/>
      <c r="J262" s="50"/>
      <c r="K262" s="50"/>
      <c r="L262" s="50"/>
      <c r="M262" s="52"/>
      <c r="N262" s="51"/>
      <c r="O262" s="51"/>
      <c r="P262" s="53">
        <f t="shared" si="28"/>
        <v>0</v>
      </c>
      <c r="Q262" s="50"/>
      <c r="R262" s="50"/>
      <c r="S262" s="51"/>
      <c r="T262" s="50"/>
      <c r="U262" s="50"/>
      <c r="V262" s="50"/>
      <c r="W262" s="50"/>
      <c r="X262" s="50"/>
      <c r="Y262" s="50"/>
      <c r="Z262" s="50"/>
      <c r="AA262" s="50"/>
      <c r="AB262" s="50"/>
      <c r="AC262" s="53">
        <f t="shared" si="29"/>
        <v>0</v>
      </c>
      <c r="AD262" s="53">
        <f t="shared" si="30"/>
        <v>0</v>
      </c>
      <c r="AE262" s="53">
        <f t="shared" si="31"/>
        <v>0</v>
      </c>
      <c r="AF262" s="53">
        <f t="shared" si="32"/>
        <v>0</v>
      </c>
      <c r="AG262" s="53">
        <f t="shared" si="33"/>
        <v>0</v>
      </c>
      <c r="AH262" s="53">
        <f t="shared" si="34"/>
        <v>0</v>
      </c>
      <c r="AI262" s="50"/>
      <c r="AJ262" s="50"/>
      <c r="AK262" s="50"/>
    </row>
    <row r="263" spans="1:37" x14ac:dyDescent="0.2">
      <c r="A263" s="50"/>
      <c r="B263" s="50"/>
      <c r="C263" s="50"/>
      <c r="D263" s="50"/>
      <c r="E263" s="50"/>
      <c r="F263" s="50"/>
      <c r="G263" s="50"/>
      <c r="H263" s="50"/>
      <c r="I263" s="50"/>
      <c r="J263" s="50"/>
      <c r="K263" s="50"/>
      <c r="L263" s="50"/>
      <c r="M263" s="52"/>
      <c r="N263" s="51"/>
      <c r="O263" s="51"/>
      <c r="P263" s="53">
        <f t="shared" si="28"/>
        <v>0</v>
      </c>
      <c r="Q263" s="50"/>
      <c r="R263" s="50"/>
      <c r="S263" s="51"/>
      <c r="T263" s="50"/>
      <c r="U263" s="50"/>
      <c r="V263" s="50"/>
      <c r="W263" s="50"/>
      <c r="X263" s="50"/>
      <c r="Y263" s="50"/>
      <c r="Z263" s="50"/>
      <c r="AA263" s="50"/>
      <c r="AB263" s="50"/>
      <c r="AC263" s="53">
        <f t="shared" si="29"/>
        <v>0</v>
      </c>
      <c r="AD263" s="53">
        <f t="shared" si="30"/>
        <v>0</v>
      </c>
      <c r="AE263" s="53">
        <f t="shared" si="31"/>
        <v>0</v>
      </c>
      <c r="AF263" s="53">
        <f t="shared" si="32"/>
        <v>0</v>
      </c>
      <c r="AG263" s="53">
        <f t="shared" si="33"/>
        <v>0</v>
      </c>
      <c r="AH263" s="53">
        <f t="shared" si="34"/>
        <v>0</v>
      </c>
      <c r="AI263" s="50"/>
      <c r="AJ263" s="50"/>
      <c r="AK263" s="50"/>
    </row>
    <row r="264" spans="1:37" x14ac:dyDescent="0.2">
      <c r="A264" s="50"/>
      <c r="B264" s="50"/>
      <c r="C264" s="50"/>
      <c r="D264" s="50"/>
      <c r="E264" s="50"/>
      <c r="F264" s="50"/>
      <c r="G264" s="50"/>
      <c r="H264" s="50"/>
      <c r="I264" s="50"/>
      <c r="J264" s="50"/>
      <c r="K264" s="50"/>
      <c r="L264" s="50"/>
      <c r="M264" s="52"/>
      <c r="N264" s="51"/>
      <c r="O264" s="51"/>
      <c r="P264" s="53">
        <f t="shared" si="28"/>
        <v>0</v>
      </c>
      <c r="Q264" s="50"/>
      <c r="R264" s="50"/>
      <c r="S264" s="51"/>
      <c r="T264" s="50"/>
      <c r="U264" s="50"/>
      <c r="V264" s="50"/>
      <c r="W264" s="50"/>
      <c r="X264" s="50"/>
      <c r="Y264" s="50"/>
      <c r="Z264" s="50"/>
      <c r="AA264" s="50"/>
      <c r="AB264" s="50"/>
      <c r="AC264" s="53">
        <f t="shared" si="29"/>
        <v>0</v>
      </c>
      <c r="AD264" s="53">
        <f t="shared" si="30"/>
        <v>0</v>
      </c>
      <c r="AE264" s="53">
        <f t="shared" si="31"/>
        <v>0</v>
      </c>
      <c r="AF264" s="53">
        <f t="shared" si="32"/>
        <v>0</v>
      </c>
      <c r="AG264" s="53">
        <f t="shared" si="33"/>
        <v>0</v>
      </c>
      <c r="AH264" s="53">
        <f t="shared" si="34"/>
        <v>0</v>
      </c>
      <c r="AI264" s="50"/>
      <c r="AJ264" s="50"/>
      <c r="AK264" s="50"/>
    </row>
    <row r="265" spans="1:37" x14ac:dyDescent="0.2">
      <c r="A265" s="50"/>
      <c r="B265" s="50"/>
      <c r="C265" s="50"/>
      <c r="D265" s="50"/>
      <c r="E265" s="50"/>
      <c r="F265" s="50"/>
      <c r="G265" s="50"/>
      <c r="H265" s="50"/>
      <c r="I265" s="50"/>
      <c r="J265" s="50"/>
      <c r="K265" s="50"/>
      <c r="L265" s="50"/>
      <c r="M265" s="52"/>
      <c r="N265" s="51"/>
      <c r="O265" s="51"/>
      <c r="P265" s="53">
        <f t="shared" si="28"/>
        <v>0</v>
      </c>
      <c r="Q265" s="50"/>
      <c r="R265" s="50"/>
      <c r="S265" s="51"/>
      <c r="T265" s="50"/>
      <c r="U265" s="50"/>
      <c r="V265" s="50"/>
      <c r="W265" s="50"/>
      <c r="X265" s="50"/>
      <c r="Y265" s="50"/>
      <c r="Z265" s="50"/>
      <c r="AA265" s="50"/>
      <c r="AB265" s="50"/>
      <c r="AC265" s="53">
        <f t="shared" si="29"/>
        <v>0</v>
      </c>
      <c r="AD265" s="53">
        <f t="shared" si="30"/>
        <v>0</v>
      </c>
      <c r="AE265" s="53">
        <f t="shared" si="31"/>
        <v>0</v>
      </c>
      <c r="AF265" s="53">
        <f t="shared" si="32"/>
        <v>0</v>
      </c>
      <c r="AG265" s="53">
        <f t="shared" si="33"/>
        <v>0</v>
      </c>
      <c r="AH265" s="53">
        <f t="shared" si="34"/>
        <v>0</v>
      </c>
      <c r="AI265" s="50"/>
      <c r="AJ265" s="50"/>
      <c r="AK265" s="50"/>
    </row>
    <row r="266" spans="1:37" x14ac:dyDescent="0.2">
      <c r="A266" s="50"/>
      <c r="B266" s="50"/>
      <c r="C266" s="50"/>
      <c r="D266" s="50"/>
      <c r="E266" s="50"/>
      <c r="F266" s="50"/>
      <c r="G266" s="50"/>
      <c r="H266" s="50"/>
      <c r="I266" s="50"/>
      <c r="J266" s="50"/>
      <c r="K266" s="50"/>
      <c r="L266" s="50"/>
      <c r="M266" s="52"/>
      <c r="N266" s="51"/>
      <c r="O266" s="51"/>
      <c r="P266" s="53">
        <f t="shared" si="28"/>
        <v>0</v>
      </c>
      <c r="Q266" s="50"/>
      <c r="R266" s="50"/>
      <c r="S266" s="51"/>
      <c r="T266" s="50"/>
      <c r="U266" s="50"/>
      <c r="V266" s="50"/>
      <c r="W266" s="50"/>
      <c r="X266" s="50"/>
      <c r="Y266" s="50"/>
      <c r="Z266" s="50"/>
      <c r="AA266" s="50"/>
      <c r="AB266" s="50"/>
      <c r="AC266" s="53">
        <f t="shared" si="29"/>
        <v>0</v>
      </c>
      <c r="AD266" s="53">
        <f t="shared" si="30"/>
        <v>0</v>
      </c>
      <c r="AE266" s="53">
        <f t="shared" si="31"/>
        <v>0</v>
      </c>
      <c r="AF266" s="53">
        <f t="shared" si="32"/>
        <v>0</v>
      </c>
      <c r="AG266" s="53">
        <f t="shared" si="33"/>
        <v>0</v>
      </c>
      <c r="AH266" s="53">
        <f t="shared" si="34"/>
        <v>0</v>
      </c>
      <c r="AI266" s="50"/>
      <c r="AJ266" s="50"/>
      <c r="AK266" s="50"/>
    </row>
    <row r="267" spans="1:37" x14ac:dyDescent="0.2">
      <c r="A267" s="50"/>
      <c r="B267" s="50"/>
      <c r="C267" s="50"/>
      <c r="D267" s="50"/>
      <c r="E267" s="50"/>
      <c r="F267" s="50"/>
      <c r="G267" s="50"/>
      <c r="H267" s="50"/>
      <c r="I267" s="50"/>
      <c r="J267" s="50"/>
      <c r="K267" s="50"/>
      <c r="L267" s="50"/>
      <c r="M267" s="52"/>
      <c r="N267" s="51"/>
      <c r="O267" s="51"/>
      <c r="P267" s="53">
        <f t="shared" si="28"/>
        <v>0</v>
      </c>
      <c r="Q267" s="50"/>
      <c r="R267" s="50"/>
      <c r="S267" s="51"/>
      <c r="T267" s="50"/>
      <c r="U267" s="50"/>
      <c r="V267" s="50"/>
      <c r="W267" s="50"/>
      <c r="X267" s="50"/>
      <c r="Y267" s="50"/>
      <c r="Z267" s="50"/>
      <c r="AA267" s="50"/>
      <c r="AB267" s="50"/>
      <c r="AC267" s="53">
        <f t="shared" si="29"/>
        <v>0</v>
      </c>
      <c r="AD267" s="53">
        <f t="shared" si="30"/>
        <v>0</v>
      </c>
      <c r="AE267" s="53">
        <f t="shared" si="31"/>
        <v>0</v>
      </c>
      <c r="AF267" s="53">
        <f t="shared" si="32"/>
        <v>0</v>
      </c>
      <c r="AG267" s="53">
        <f t="shared" si="33"/>
        <v>0</v>
      </c>
      <c r="AH267" s="53">
        <f t="shared" si="34"/>
        <v>0</v>
      </c>
      <c r="AI267" s="50"/>
      <c r="AJ267" s="50"/>
      <c r="AK267" s="50"/>
    </row>
    <row r="268" spans="1:37" x14ac:dyDescent="0.2">
      <c r="A268" s="50"/>
      <c r="B268" s="50"/>
      <c r="C268" s="50"/>
      <c r="D268" s="50"/>
      <c r="E268" s="50"/>
      <c r="F268" s="50"/>
      <c r="G268" s="50"/>
      <c r="H268" s="50"/>
      <c r="I268" s="50"/>
      <c r="J268" s="50"/>
      <c r="K268" s="50"/>
      <c r="L268" s="50"/>
      <c r="M268" s="52"/>
      <c r="N268" s="51"/>
      <c r="O268" s="51"/>
      <c r="P268" s="53">
        <f t="shared" si="28"/>
        <v>0</v>
      </c>
      <c r="Q268" s="50"/>
      <c r="R268" s="50"/>
      <c r="S268" s="51"/>
      <c r="T268" s="50"/>
      <c r="U268" s="50"/>
      <c r="V268" s="50"/>
      <c r="W268" s="50"/>
      <c r="X268" s="50"/>
      <c r="Y268" s="50"/>
      <c r="Z268" s="50"/>
      <c r="AA268" s="50"/>
      <c r="AB268" s="50"/>
      <c r="AC268" s="53">
        <f t="shared" si="29"/>
        <v>0</v>
      </c>
      <c r="AD268" s="53">
        <f t="shared" si="30"/>
        <v>0</v>
      </c>
      <c r="AE268" s="53">
        <f t="shared" si="31"/>
        <v>0</v>
      </c>
      <c r="AF268" s="53">
        <f t="shared" si="32"/>
        <v>0</v>
      </c>
      <c r="AG268" s="53">
        <f t="shared" si="33"/>
        <v>0</v>
      </c>
      <c r="AH268" s="53">
        <f t="shared" si="34"/>
        <v>0</v>
      </c>
      <c r="AI268" s="50"/>
      <c r="AJ268" s="50"/>
      <c r="AK268" s="50"/>
    </row>
    <row r="269" spans="1:37" x14ac:dyDescent="0.2">
      <c r="A269" s="50"/>
      <c r="B269" s="50"/>
      <c r="C269" s="50"/>
      <c r="D269" s="50"/>
      <c r="E269" s="50"/>
      <c r="F269" s="50"/>
      <c r="G269" s="50"/>
      <c r="H269" s="50"/>
      <c r="I269" s="50"/>
      <c r="J269" s="50"/>
      <c r="K269" s="50"/>
      <c r="L269" s="50"/>
      <c r="M269" s="52"/>
      <c r="N269" s="51"/>
      <c r="O269" s="51"/>
      <c r="P269" s="53">
        <f t="shared" si="28"/>
        <v>0</v>
      </c>
      <c r="Q269" s="50"/>
      <c r="R269" s="50"/>
      <c r="S269" s="51"/>
      <c r="T269" s="50"/>
      <c r="U269" s="50"/>
      <c r="V269" s="50"/>
      <c r="W269" s="50"/>
      <c r="X269" s="50"/>
      <c r="Y269" s="50"/>
      <c r="Z269" s="50"/>
      <c r="AA269" s="50"/>
      <c r="AB269" s="50"/>
      <c r="AC269" s="53">
        <f t="shared" si="29"/>
        <v>0</v>
      </c>
      <c r="AD269" s="53">
        <f t="shared" si="30"/>
        <v>0</v>
      </c>
      <c r="AE269" s="53">
        <f t="shared" si="31"/>
        <v>0</v>
      </c>
      <c r="AF269" s="53">
        <f t="shared" si="32"/>
        <v>0</v>
      </c>
      <c r="AG269" s="53">
        <f t="shared" si="33"/>
        <v>0</v>
      </c>
      <c r="AH269" s="53">
        <f t="shared" si="34"/>
        <v>0</v>
      </c>
      <c r="AI269" s="50"/>
      <c r="AJ269" s="50"/>
      <c r="AK269" s="50"/>
    </row>
    <row r="270" spans="1:37" x14ac:dyDescent="0.2">
      <c r="A270" s="50"/>
      <c r="B270" s="50"/>
      <c r="C270" s="50"/>
      <c r="D270" s="50"/>
      <c r="E270" s="50"/>
      <c r="F270" s="50"/>
      <c r="G270" s="50"/>
      <c r="H270" s="50"/>
      <c r="I270" s="50"/>
      <c r="J270" s="50"/>
      <c r="K270" s="50"/>
      <c r="L270" s="50"/>
      <c r="M270" s="52"/>
      <c r="N270" s="51"/>
      <c r="O270" s="51"/>
      <c r="P270" s="53">
        <f t="shared" si="28"/>
        <v>0</v>
      </c>
      <c r="Q270" s="50"/>
      <c r="R270" s="50"/>
      <c r="S270" s="51"/>
      <c r="T270" s="50"/>
      <c r="U270" s="50"/>
      <c r="V270" s="50"/>
      <c r="W270" s="50"/>
      <c r="X270" s="50"/>
      <c r="Y270" s="50"/>
      <c r="Z270" s="50"/>
      <c r="AA270" s="50"/>
      <c r="AB270" s="50"/>
      <c r="AC270" s="53">
        <f t="shared" si="29"/>
        <v>0</v>
      </c>
      <c r="AD270" s="53">
        <f t="shared" si="30"/>
        <v>0</v>
      </c>
      <c r="AE270" s="53">
        <f t="shared" si="31"/>
        <v>0</v>
      </c>
      <c r="AF270" s="53">
        <f t="shared" si="32"/>
        <v>0</v>
      </c>
      <c r="AG270" s="53">
        <f t="shared" si="33"/>
        <v>0</v>
      </c>
      <c r="AH270" s="53">
        <f t="shared" si="34"/>
        <v>0</v>
      </c>
      <c r="AI270" s="50"/>
      <c r="AJ270" s="50"/>
      <c r="AK270" s="50"/>
    </row>
    <row r="271" spans="1:37" x14ac:dyDescent="0.2">
      <c r="A271" s="50"/>
      <c r="B271" s="50"/>
      <c r="C271" s="50"/>
      <c r="D271" s="50"/>
      <c r="E271" s="50"/>
      <c r="F271" s="50"/>
      <c r="G271" s="50"/>
      <c r="H271" s="50"/>
      <c r="I271" s="50"/>
      <c r="J271" s="50"/>
      <c r="K271" s="50"/>
      <c r="L271" s="50"/>
      <c r="M271" s="52"/>
      <c r="N271" s="51"/>
      <c r="O271" s="51"/>
      <c r="P271" s="53">
        <f t="shared" si="28"/>
        <v>0</v>
      </c>
      <c r="Q271" s="50"/>
      <c r="R271" s="50"/>
      <c r="S271" s="51"/>
      <c r="T271" s="50"/>
      <c r="U271" s="50"/>
      <c r="V271" s="50"/>
      <c r="W271" s="50"/>
      <c r="X271" s="50"/>
      <c r="Y271" s="50"/>
      <c r="Z271" s="50"/>
      <c r="AA271" s="50"/>
      <c r="AB271" s="50"/>
      <c r="AC271" s="53">
        <f t="shared" si="29"/>
        <v>0</v>
      </c>
      <c r="AD271" s="53">
        <f t="shared" si="30"/>
        <v>0</v>
      </c>
      <c r="AE271" s="53">
        <f t="shared" si="31"/>
        <v>0</v>
      </c>
      <c r="AF271" s="53">
        <f t="shared" si="32"/>
        <v>0</v>
      </c>
      <c r="AG271" s="53">
        <f t="shared" si="33"/>
        <v>0</v>
      </c>
      <c r="AH271" s="53">
        <f t="shared" si="34"/>
        <v>0</v>
      </c>
      <c r="AI271" s="50"/>
      <c r="AJ271" s="50"/>
      <c r="AK271" s="50"/>
    </row>
    <row r="272" spans="1:37" x14ac:dyDescent="0.2">
      <c r="A272" s="50"/>
      <c r="B272" s="50"/>
      <c r="C272" s="50"/>
      <c r="D272" s="50"/>
      <c r="E272" s="50"/>
      <c r="F272" s="50"/>
      <c r="G272" s="50"/>
      <c r="H272" s="50"/>
      <c r="I272" s="50"/>
      <c r="J272" s="50"/>
      <c r="K272" s="50"/>
      <c r="L272" s="50"/>
      <c r="M272" s="52"/>
      <c r="N272" s="51"/>
      <c r="O272" s="51"/>
      <c r="P272" s="53">
        <f t="shared" si="28"/>
        <v>0</v>
      </c>
      <c r="Q272" s="50"/>
      <c r="R272" s="50"/>
      <c r="S272" s="51"/>
      <c r="T272" s="50"/>
      <c r="U272" s="50"/>
      <c r="V272" s="50"/>
      <c r="W272" s="50"/>
      <c r="X272" s="50"/>
      <c r="Y272" s="50"/>
      <c r="Z272" s="50"/>
      <c r="AA272" s="50"/>
      <c r="AB272" s="50"/>
      <c r="AC272" s="53">
        <f t="shared" si="29"/>
        <v>0</v>
      </c>
      <c r="AD272" s="53">
        <f t="shared" si="30"/>
        <v>0</v>
      </c>
      <c r="AE272" s="53">
        <f t="shared" si="31"/>
        <v>0</v>
      </c>
      <c r="AF272" s="53">
        <f t="shared" si="32"/>
        <v>0</v>
      </c>
      <c r="AG272" s="53">
        <f t="shared" si="33"/>
        <v>0</v>
      </c>
      <c r="AH272" s="53">
        <f t="shared" si="34"/>
        <v>0</v>
      </c>
      <c r="AI272" s="50"/>
      <c r="AJ272" s="50"/>
      <c r="AK272" s="50"/>
    </row>
    <row r="273" spans="1:37" x14ac:dyDescent="0.2">
      <c r="A273" s="50"/>
      <c r="B273" s="50"/>
      <c r="C273" s="50"/>
      <c r="D273" s="50"/>
      <c r="E273" s="50"/>
      <c r="F273" s="50"/>
      <c r="G273" s="50"/>
      <c r="H273" s="50"/>
      <c r="I273" s="50"/>
      <c r="J273" s="50"/>
      <c r="K273" s="50"/>
      <c r="L273" s="50"/>
      <c r="M273" s="52"/>
      <c r="N273" s="51"/>
      <c r="O273" s="51"/>
      <c r="P273" s="53">
        <f t="shared" si="28"/>
        <v>0</v>
      </c>
      <c r="Q273" s="50"/>
      <c r="R273" s="50"/>
      <c r="S273" s="51"/>
      <c r="T273" s="50"/>
      <c r="U273" s="50"/>
      <c r="V273" s="50"/>
      <c r="W273" s="50"/>
      <c r="X273" s="50"/>
      <c r="Y273" s="50"/>
      <c r="Z273" s="50"/>
      <c r="AA273" s="50"/>
      <c r="AB273" s="50"/>
      <c r="AC273" s="53">
        <f t="shared" si="29"/>
        <v>0</v>
      </c>
      <c r="AD273" s="53">
        <f t="shared" si="30"/>
        <v>0</v>
      </c>
      <c r="AE273" s="53">
        <f t="shared" si="31"/>
        <v>0</v>
      </c>
      <c r="AF273" s="53">
        <f t="shared" si="32"/>
        <v>0</v>
      </c>
      <c r="AG273" s="53">
        <f t="shared" si="33"/>
        <v>0</v>
      </c>
      <c r="AH273" s="53">
        <f t="shared" si="34"/>
        <v>0</v>
      </c>
      <c r="AI273" s="50"/>
      <c r="AJ273" s="50"/>
      <c r="AK273" s="50"/>
    </row>
    <row r="274" spans="1:37" x14ac:dyDescent="0.2">
      <c r="A274" s="50"/>
      <c r="B274" s="50"/>
      <c r="C274" s="50"/>
      <c r="D274" s="50"/>
      <c r="E274" s="50"/>
      <c r="F274" s="50"/>
      <c r="G274" s="50"/>
      <c r="H274" s="50"/>
      <c r="I274" s="50"/>
      <c r="J274" s="50"/>
      <c r="K274" s="50"/>
      <c r="L274" s="50"/>
      <c r="M274" s="52"/>
      <c r="N274" s="51"/>
      <c r="O274" s="51"/>
      <c r="P274" s="53">
        <f t="shared" si="28"/>
        <v>0</v>
      </c>
      <c r="Q274" s="50"/>
      <c r="R274" s="50"/>
      <c r="S274" s="51"/>
      <c r="T274" s="50"/>
      <c r="U274" s="50"/>
      <c r="V274" s="50"/>
      <c r="W274" s="50"/>
      <c r="X274" s="50"/>
      <c r="Y274" s="50"/>
      <c r="Z274" s="50"/>
      <c r="AA274" s="50"/>
      <c r="AB274" s="50"/>
      <c r="AC274" s="53">
        <f t="shared" si="29"/>
        <v>0</v>
      </c>
      <c r="AD274" s="53">
        <f t="shared" si="30"/>
        <v>0</v>
      </c>
      <c r="AE274" s="53">
        <f t="shared" si="31"/>
        <v>0</v>
      </c>
      <c r="AF274" s="53">
        <f t="shared" si="32"/>
        <v>0</v>
      </c>
      <c r="AG274" s="53">
        <f t="shared" si="33"/>
        <v>0</v>
      </c>
      <c r="AH274" s="53">
        <f t="shared" si="34"/>
        <v>0</v>
      </c>
      <c r="AI274" s="50"/>
      <c r="AJ274" s="50"/>
      <c r="AK274" s="50"/>
    </row>
    <row r="275" spans="1:37" x14ac:dyDescent="0.2">
      <c r="A275" s="50"/>
      <c r="B275" s="50"/>
      <c r="C275" s="50"/>
      <c r="D275" s="50"/>
      <c r="E275" s="50"/>
      <c r="F275" s="50"/>
      <c r="G275" s="50"/>
      <c r="H275" s="50"/>
      <c r="I275" s="50"/>
      <c r="J275" s="50"/>
      <c r="K275" s="50"/>
      <c r="L275" s="50"/>
      <c r="M275" s="52"/>
      <c r="N275" s="51"/>
      <c r="O275" s="51"/>
      <c r="P275" s="53">
        <f t="shared" si="28"/>
        <v>0</v>
      </c>
      <c r="Q275" s="50"/>
      <c r="R275" s="50"/>
      <c r="S275" s="51"/>
      <c r="T275" s="50"/>
      <c r="U275" s="50"/>
      <c r="V275" s="50"/>
      <c r="W275" s="50"/>
      <c r="X275" s="50"/>
      <c r="Y275" s="50"/>
      <c r="Z275" s="50"/>
      <c r="AA275" s="50"/>
      <c r="AB275" s="50"/>
      <c r="AC275" s="53">
        <f t="shared" si="29"/>
        <v>0</v>
      </c>
      <c r="AD275" s="53">
        <f t="shared" si="30"/>
        <v>0</v>
      </c>
      <c r="AE275" s="53">
        <f t="shared" si="31"/>
        <v>0</v>
      </c>
      <c r="AF275" s="53">
        <f t="shared" si="32"/>
        <v>0</v>
      </c>
      <c r="AG275" s="53">
        <f t="shared" si="33"/>
        <v>0</v>
      </c>
      <c r="AH275" s="53">
        <f t="shared" si="34"/>
        <v>0</v>
      </c>
      <c r="AI275" s="50"/>
      <c r="AJ275" s="50"/>
      <c r="AK275" s="50"/>
    </row>
    <row r="276" spans="1:37" x14ac:dyDescent="0.2">
      <c r="A276" s="50"/>
      <c r="B276" s="50"/>
      <c r="C276" s="50"/>
      <c r="D276" s="50"/>
      <c r="E276" s="50"/>
      <c r="F276" s="50"/>
      <c r="G276" s="50"/>
      <c r="H276" s="50"/>
      <c r="I276" s="50"/>
      <c r="J276" s="50"/>
      <c r="K276" s="50"/>
      <c r="L276" s="50"/>
      <c r="M276" s="52"/>
      <c r="N276" s="51"/>
      <c r="O276" s="51"/>
      <c r="P276" s="53">
        <f t="shared" si="28"/>
        <v>0</v>
      </c>
      <c r="Q276" s="50"/>
      <c r="R276" s="50"/>
      <c r="S276" s="51"/>
      <c r="T276" s="50"/>
      <c r="U276" s="50"/>
      <c r="V276" s="50"/>
      <c r="W276" s="50"/>
      <c r="X276" s="50"/>
      <c r="Y276" s="50"/>
      <c r="Z276" s="50"/>
      <c r="AA276" s="50"/>
      <c r="AB276" s="50"/>
      <c r="AC276" s="53">
        <f t="shared" si="29"/>
        <v>0</v>
      </c>
      <c r="AD276" s="53">
        <f t="shared" si="30"/>
        <v>0</v>
      </c>
      <c r="AE276" s="53">
        <f t="shared" si="31"/>
        <v>0</v>
      </c>
      <c r="AF276" s="53">
        <f t="shared" si="32"/>
        <v>0</v>
      </c>
      <c r="AG276" s="53">
        <f t="shared" si="33"/>
        <v>0</v>
      </c>
      <c r="AH276" s="53">
        <f t="shared" si="34"/>
        <v>0</v>
      </c>
      <c r="AI276" s="50"/>
      <c r="AJ276" s="50"/>
      <c r="AK276" s="50"/>
    </row>
    <row r="277" spans="1:37" x14ac:dyDescent="0.2">
      <c r="A277" s="50"/>
      <c r="B277" s="50"/>
      <c r="C277" s="50"/>
      <c r="D277" s="50"/>
      <c r="E277" s="50"/>
      <c r="F277" s="50"/>
      <c r="G277" s="50"/>
      <c r="H277" s="50"/>
      <c r="I277" s="50"/>
      <c r="J277" s="50"/>
      <c r="K277" s="50"/>
      <c r="L277" s="50"/>
      <c r="M277" s="52"/>
      <c r="N277" s="51"/>
      <c r="O277" s="51"/>
      <c r="P277" s="53">
        <f t="shared" si="28"/>
        <v>0</v>
      </c>
      <c r="Q277" s="50"/>
      <c r="R277" s="50"/>
      <c r="S277" s="51"/>
      <c r="T277" s="50"/>
      <c r="U277" s="50"/>
      <c r="V277" s="50"/>
      <c r="W277" s="50"/>
      <c r="X277" s="50"/>
      <c r="Y277" s="50"/>
      <c r="Z277" s="50"/>
      <c r="AA277" s="50"/>
      <c r="AB277" s="50"/>
      <c r="AC277" s="53">
        <f t="shared" si="29"/>
        <v>0</v>
      </c>
      <c r="AD277" s="53">
        <f t="shared" si="30"/>
        <v>0</v>
      </c>
      <c r="AE277" s="53">
        <f t="shared" si="31"/>
        <v>0</v>
      </c>
      <c r="AF277" s="53">
        <f t="shared" si="32"/>
        <v>0</v>
      </c>
      <c r="AG277" s="53">
        <f t="shared" si="33"/>
        <v>0</v>
      </c>
      <c r="AH277" s="53">
        <f t="shared" si="34"/>
        <v>0</v>
      </c>
      <c r="AI277" s="50"/>
      <c r="AJ277" s="50"/>
      <c r="AK277" s="50"/>
    </row>
    <row r="278" spans="1:37" x14ac:dyDescent="0.2">
      <c r="A278" s="50"/>
      <c r="B278" s="50"/>
      <c r="C278" s="50"/>
      <c r="D278" s="50"/>
      <c r="E278" s="50"/>
      <c r="F278" s="50"/>
      <c r="G278" s="50"/>
      <c r="H278" s="50"/>
      <c r="I278" s="50"/>
      <c r="J278" s="50"/>
      <c r="K278" s="50"/>
      <c r="L278" s="50"/>
      <c r="M278" s="52"/>
      <c r="N278" s="51"/>
      <c r="O278" s="51"/>
      <c r="P278" s="53">
        <f t="shared" si="28"/>
        <v>0</v>
      </c>
      <c r="Q278" s="50"/>
      <c r="R278" s="50"/>
      <c r="S278" s="51"/>
      <c r="T278" s="50"/>
      <c r="U278" s="50"/>
      <c r="V278" s="50"/>
      <c r="W278" s="50"/>
      <c r="X278" s="50"/>
      <c r="Y278" s="50"/>
      <c r="Z278" s="50"/>
      <c r="AA278" s="50"/>
      <c r="AB278" s="50"/>
      <c r="AC278" s="53">
        <f t="shared" si="29"/>
        <v>0</v>
      </c>
      <c r="AD278" s="53">
        <f t="shared" si="30"/>
        <v>0</v>
      </c>
      <c r="AE278" s="53">
        <f t="shared" si="31"/>
        <v>0</v>
      </c>
      <c r="AF278" s="53">
        <f t="shared" si="32"/>
        <v>0</v>
      </c>
      <c r="AG278" s="53">
        <f t="shared" si="33"/>
        <v>0</v>
      </c>
      <c r="AH278" s="53">
        <f t="shared" si="34"/>
        <v>0</v>
      </c>
      <c r="AI278" s="50"/>
      <c r="AJ278" s="50"/>
      <c r="AK278" s="50"/>
    </row>
    <row r="279" spans="1:37" x14ac:dyDescent="0.2">
      <c r="A279" s="50"/>
      <c r="B279" s="50"/>
      <c r="C279" s="50"/>
      <c r="D279" s="50"/>
      <c r="E279" s="50"/>
      <c r="F279" s="50"/>
      <c r="G279" s="50"/>
      <c r="H279" s="50"/>
      <c r="I279" s="50"/>
      <c r="J279" s="50"/>
      <c r="K279" s="50"/>
      <c r="L279" s="50"/>
      <c r="M279" s="52"/>
      <c r="N279" s="51"/>
      <c r="O279" s="51"/>
      <c r="P279" s="53">
        <f t="shared" si="28"/>
        <v>0</v>
      </c>
      <c r="Q279" s="50"/>
      <c r="R279" s="50"/>
      <c r="S279" s="51"/>
      <c r="T279" s="50"/>
      <c r="U279" s="50"/>
      <c r="V279" s="50"/>
      <c r="W279" s="50"/>
      <c r="X279" s="50"/>
      <c r="Y279" s="50"/>
      <c r="Z279" s="50"/>
      <c r="AA279" s="50"/>
      <c r="AB279" s="50"/>
      <c r="AC279" s="53">
        <f t="shared" si="29"/>
        <v>0</v>
      </c>
      <c r="AD279" s="53">
        <f t="shared" si="30"/>
        <v>0</v>
      </c>
      <c r="AE279" s="53">
        <f t="shared" si="31"/>
        <v>0</v>
      </c>
      <c r="AF279" s="53">
        <f t="shared" si="32"/>
        <v>0</v>
      </c>
      <c r="AG279" s="53">
        <f t="shared" si="33"/>
        <v>0</v>
      </c>
      <c r="AH279" s="53">
        <f t="shared" si="34"/>
        <v>0</v>
      </c>
      <c r="AI279" s="50"/>
      <c r="AJ279" s="50"/>
      <c r="AK279" s="50"/>
    </row>
    <row r="280" spans="1:37" x14ac:dyDescent="0.2">
      <c r="A280" s="50"/>
      <c r="B280" s="50"/>
      <c r="C280" s="50"/>
      <c r="D280" s="50"/>
      <c r="E280" s="50"/>
      <c r="F280" s="50"/>
      <c r="G280" s="50"/>
      <c r="H280" s="50"/>
      <c r="I280" s="50"/>
      <c r="J280" s="50"/>
      <c r="K280" s="50"/>
      <c r="L280" s="50"/>
      <c r="M280" s="52"/>
      <c r="N280" s="51"/>
      <c r="O280" s="51"/>
      <c r="P280" s="53">
        <f t="shared" si="28"/>
        <v>0</v>
      </c>
      <c r="Q280" s="50"/>
      <c r="R280" s="50"/>
      <c r="S280" s="51"/>
      <c r="T280" s="50"/>
      <c r="U280" s="50"/>
      <c r="V280" s="50"/>
      <c r="W280" s="50"/>
      <c r="X280" s="50"/>
      <c r="Y280" s="50"/>
      <c r="Z280" s="50"/>
      <c r="AA280" s="50"/>
      <c r="AB280" s="50"/>
      <c r="AC280" s="53">
        <f t="shared" si="29"/>
        <v>0</v>
      </c>
      <c r="AD280" s="53">
        <f t="shared" si="30"/>
        <v>0</v>
      </c>
      <c r="AE280" s="53">
        <f t="shared" si="31"/>
        <v>0</v>
      </c>
      <c r="AF280" s="53">
        <f t="shared" si="32"/>
        <v>0</v>
      </c>
      <c r="AG280" s="53">
        <f t="shared" si="33"/>
        <v>0</v>
      </c>
      <c r="AH280" s="53">
        <f t="shared" si="34"/>
        <v>0</v>
      </c>
      <c r="AI280" s="50"/>
      <c r="AJ280" s="50"/>
      <c r="AK280" s="50"/>
    </row>
    <row r="281" spans="1:37" x14ac:dyDescent="0.2">
      <c r="A281" s="50"/>
      <c r="B281" s="50"/>
      <c r="C281" s="50"/>
      <c r="D281" s="50"/>
      <c r="E281" s="50"/>
      <c r="F281" s="50"/>
      <c r="G281" s="50"/>
      <c r="H281" s="50"/>
      <c r="I281" s="50"/>
      <c r="J281" s="50"/>
      <c r="K281" s="50"/>
      <c r="L281" s="50"/>
      <c r="M281" s="52"/>
      <c r="N281" s="51"/>
      <c r="O281" s="51"/>
      <c r="P281" s="53">
        <f t="shared" si="28"/>
        <v>0</v>
      </c>
      <c r="Q281" s="50"/>
      <c r="R281" s="50"/>
      <c r="S281" s="51"/>
      <c r="T281" s="50"/>
      <c r="U281" s="50"/>
      <c r="V281" s="50"/>
      <c r="W281" s="50"/>
      <c r="X281" s="50"/>
      <c r="Y281" s="50"/>
      <c r="Z281" s="50"/>
      <c r="AA281" s="50"/>
      <c r="AB281" s="50"/>
      <c r="AC281" s="53">
        <f t="shared" si="29"/>
        <v>0</v>
      </c>
      <c r="AD281" s="53">
        <f t="shared" si="30"/>
        <v>0</v>
      </c>
      <c r="AE281" s="53">
        <f t="shared" si="31"/>
        <v>0</v>
      </c>
      <c r="AF281" s="53">
        <f t="shared" si="32"/>
        <v>0</v>
      </c>
      <c r="AG281" s="53">
        <f t="shared" si="33"/>
        <v>0</v>
      </c>
      <c r="AH281" s="53">
        <f t="shared" si="34"/>
        <v>0</v>
      </c>
      <c r="AI281" s="50"/>
      <c r="AJ281" s="50"/>
      <c r="AK281" s="50"/>
    </row>
    <row r="282" spans="1:37" x14ac:dyDescent="0.2">
      <c r="A282" s="50"/>
      <c r="B282" s="50"/>
      <c r="C282" s="50"/>
      <c r="D282" s="50"/>
      <c r="E282" s="50"/>
      <c r="F282" s="50"/>
      <c r="G282" s="50"/>
      <c r="H282" s="50"/>
      <c r="I282" s="50"/>
      <c r="J282" s="50"/>
      <c r="K282" s="50"/>
      <c r="L282" s="50"/>
      <c r="M282" s="52"/>
      <c r="N282" s="51"/>
      <c r="O282" s="51"/>
      <c r="P282" s="53">
        <f t="shared" si="28"/>
        <v>0</v>
      </c>
      <c r="Q282" s="50"/>
      <c r="R282" s="50"/>
      <c r="S282" s="51"/>
      <c r="T282" s="50"/>
      <c r="U282" s="50"/>
      <c r="V282" s="50"/>
      <c r="W282" s="50"/>
      <c r="X282" s="50"/>
      <c r="Y282" s="50"/>
      <c r="Z282" s="50"/>
      <c r="AA282" s="50"/>
      <c r="AB282" s="50"/>
      <c r="AC282" s="53">
        <f t="shared" si="29"/>
        <v>0</v>
      </c>
      <c r="AD282" s="53">
        <f t="shared" si="30"/>
        <v>0</v>
      </c>
      <c r="AE282" s="53">
        <f t="shared" si="31"/>
        <v>0</v>
      </c>
      <c r="AF282" s="53">
        <f t="shared" si="32"/>
        <v>0</v>
      </c>
      <c r="AG282" s="53">
        <f t="shared" si="33"/>
        <v>0</v>
      </c>
      <c r="AH282" s="53">
        <f t="shared" si="34"/>
        <v>0</v>
      </c>
      <c r="AI282" s="50"/>
      <c r="AJ282" s="50"/>
      <c r="AK282" s="50"/>
    </row>
    <row r="283" spans="1:37" x14ac:dyDescent="0.2">
      <c r="A283" s="50"/>
      <c r="B283" s="50"/>
      <c r="C283" s="50"/>
      <c r="D283" s="50"/>
      <c r="E283" s="50"/>
      <c r="F283" s="50"/>
      <c r="G283" s="50"/>
      <c r="H283" s="50"/>
      <c r="I283" s="50"/>
      <c r="J283" s="50"/>
      <c r="K283" s="50"/>
      <c r="L283" s="50"/>
      <c r="M283" s="52"/>
      <c r="N283" s="51"/>
      <c r="O283" s="51"/>
      <c r="P283" s="53">
        <f t="shared" si="28"/>
        <v>0</v>
      </c>
      <c r="Q283" s="50"/>
      <c r="R283" s="50"/>
      <c r="S283" s="51"/>
      <c r="T283" s="50"/>
      <c r="U283" s="50"/>
      <c r="V283" s="50"/>
      <c r="W283" s="50"/>
      <c r="X283" s="50"/>
      <c r="Y283" s="50"/>
      <c r="Z283" s="50"/>
      <c r="AA283" s="50"/>
      <c r="AB283" s="50"/>
      <c r="AC283" s="53">
        <f t="shared" si="29"/>
        <v>0</v>
      </c>
      <c r="AD283" s="53">
        <f t="shared" si="30"/>
        <v>0</v>
      </c>
      <c r="AE283" s="53">
        <f t="shared" si="31"/>
        <v>0</v>
      </c>
      <c r="AF283" s="53">
        <f t="shared" si="32"/>
        <v>0</v>
      </c>
      <c r="AG283" s="53">
        <f t="shared" si="33"/>
        <v>0</v>
      </c>
      <c r="AH283" s="53">
        <f t="shared" si="34"/>
        <v>0</v>
      </c>
      <c r="AI283" s="50"/>
      <c r="AJ283" s="50"/>
      <c r="AK283" s="50"/>
    </row>
    <row r="284" spans="1:37" x14ac:dyDescent="0.2">
      <c r="A284" s="50"/>
      <c r="B284" s="50"/>
      <c r="C284" s="50"/>
      <c r="D284" s="50"/>
      <c r="E284" s="50"/>
      <c r="F284" s="50"/>
      <c r="G284" s="50"/>
      <c r="H284" s="50"/>
      <c r="I284" s="50"/>
      <c r="J284" s="50"/>
      <c r="K284" s="50"/>
      <c r="L284" s="50"/>
      <c r="M284" s="52"/>
      <c r="N284" s="51"/>
      <c r="O284" s="51"/>
      <c r="P284" s="53">
        <f t="shared" si="28"/>
        <v>0</v>
      </c>
      <c r="Q284" s="50"/>
      <c r="R284" s="50"/>
      <c r="S284" s="51"/>
      <c r="T284" s="50"/>
      <c r="U284" s="50"/>
      <c r="V284" s="50"/>
      <c r="W284" s="50"/>
      <c r="X284" s="50"/>
      <c r="Y284" s="50"/>
      <c r="Z284" s="50"/>
      <c r="AA284" s="50"/>
      <c r="AB284" s="50"/>
      <c r="AC284" s="53">
        <f t="shared" si="29"/>
        <v>0</v>
      </c>
      <c r="AD284" s="53">
        <f t="shared" si="30"/>
        <v>0</v>
      </c>
      <c r="AE284" s="53">
        <f t="shared" si="31"/>
        <v>0</v>
      </c>
      <c r="AF284" s="53">
        <f t="shared" si="32"/>
        <v>0</v>
      </c>
      <c r="AG284" s="53">
        <f t="shared" si="33"/>
        <v>0</v>
      </c>
      <c r="AH284" s="53">
        <f t="shared" si="34"/>
        <v>0</v>
      </c>
      <c r="AI284" s="50"/>
      <c r="AJ284" s="50"/>
      <c r="AK284" s="50"/>
    </row>
    <row r="285" spans="1:37" x14ac:dyDescent="0.2">
      <c r="A285" s="50"/>
      <c r="B285" s="50"/>
      <c r="C285" s="50"/>
      <c r="D285" s="50"/>
      <c r="E285" s="50"/>
      <c r="F285" s="50"/>
      <c r="G285" s="50"/>
      <c r="H285" s="50"/>
      <c r="I285" s="50"/>
      <c r="J285" s="50"/>
      <c r="K285" s="50"/>
      <c r="L285" s="50"/>
      <c r="M285" s="52"/>
      <c r="N285" s="51"/>
      <c r="O285" s="51"/>
      <c r="P285" s="53">
        <f t="shared" si="28"/>
        <v>0</v>
      </c>
      <c r="Q285" s="50"/>
      <c r="R285" s="50"/>
      <c r="S285" s="51"/>
      <c r="T285" s="50"/>
      <c r="U285" s="50"/>
      <c r="V285" s="50"/>
      <c r="W285" s="50"/>
      <c r="X285" s="50"/>
      <c r="Y285" s="50"/>
      <c r="Z285" s="50"/>
      <c r="AA285" s="50"/>
      <c r="AB285" s="50"/>
      <c r="AC285" s="53">
        <f t="shared" si="29"/>
        <v>0</v>
      </c>
      <c r="AD285" s="53">
        <f t="shared" si="30"/>
        <v>0</v>
      </c>
      <c r="AE285" s="53">
        <f t="shared" si="31"/>
        <v>0</v>
      </c>
      <c r="AF285" s="53">
        <f t="shared" si="32"/>
        <v>0</v>
      </c>
      <c r="AG285" s="53">
        <f t="shared" si="33"/>
        <v>0</v>
      </c>
      <c r="AH285" s="53">
        <f t="shared" si="34"/>
        <v>0</v>
      </c>
      <c r="AI285" s="50"/>
      <c r="AJ285" s="50"/>
      <c r="AK285" s="50"/>
    </row>
    <row r="286" spans="1:37" x14ac:dyDescent="0.2">
      <c r="A286" s="50"/>
      <c r="B286" s="50"/>
      <c r="C286" s="50"/>
      <c r="D286" s="50"/>
      <c r="E286" s="50"/>
      <c r="F286" s="50"/>
      <c r="G286" s="50"/>
      <c r="H286" s="50"/>
      <c r="I286" s="50"/>
      <c r="J286" s="50"/>
      <c r="K286" s="50"/>
      <c r="L286" s="50"/>
      <c r="M286" s="52"/>
      <c r="N286" s="51"/>
      <c r="O286" s="51"/>
      <c r="P286" s="53">
        <f t="shared" si="28"/>
        <v>0</v>
      </c>
      <c r="Q286" s="50"/>
      <c r="R286" s="50"/>
      <c r="S286" s="51"/>
      <c r="T286" s="50"/>
      <c r="U286" s="50"/>
      <c r="V286" s="50"/>
      <c r="W286" s="50"/>
      <c r="X286" s="50"/>
      <c r="Y286" s="50"/>
      <c r="Z286" s="50"/>
      <c r="AA286" s="50"/>
      <c r="AB286" s="50"/>
      <c r="AC286" s="53">
        <f t="shared" si="29"/>
        <v>0</v>
      </c>
      <c r="AD286" s="53">
        <f t="shared" si="30"/>
        <v>0</v>
      </c>
      <c r="AE286" s="53">
        <f t="shared" si="31"/>
        <v>0</v>
      </c>
      <c r="AF286" s="53">
        <f t="shared" si="32"/>
        <v>0</v>
      </c>
      <c r="AG286" s="53">
        <f t="shared" si="33"/>
        <v>0</v>
      </c>
      <c r="AH286" s="53">
        <f t="shared" si="34"/>
        <v>0</v>
      </c>
      <c r="AI286" s="50"/>
      <c r="AJ286" s="50"/>
      <c r="AK286" s="50"/>
    </row>
    <row r="287" spans="1:37" x14ac:dyDescent="0.2">
      <c r="A287" s="50"/>
      <c r="B287" s="50"/>
      <c r="C287" s="50"/>
      <c r="D287" s="50"/>
      <c r="E287" s="50"/>
      <c r="F287" s="50"/>
      <c r="G287" s="50"/>
      <c r="H287" s="50"/>
      <c r="I287" s="50"/>
      <c r="J287" s="50"/>
      <c r="K287" s="50"/>
      <c r="L287" s="50"/>
      <c r="M287" s="52"/>
      <c r="N287" s="51"/>
      <c r="O287" s="51"/>
      <c r="P287" s="53">
        <f t="shared" si="28"/>
        <v>0</v>
      </c>
      <c r="Q287" s="50"/>
      <c r="R287" s="50"/>
      <c r="S287" s="51"/>
      <c r="T287" s="50"/>
      <c r="U287" s="50"/>
      <c r="V287" s="50"/>
      <c r="W287" s="50"/>
      <c r="X287" s="50"/>
      <c r="Y287" s="50"/>
      <c r="Z287" s="50"/>
      <c r="AA287" s="50"/>
      <c r="AB287" s="50"/>
      <c r="AC287" s="53">
        <f t="shared" si="29"/>
        <v>0</v>
      </c>
      <c r="AD287" s="53">
        <f t="shared" si="30"/>
        <v>0</v>
      </c>
      <c r="AE287" s="53">
        <f t="shared" si="31"/>
        <v>0</v>
      </c>
      <c r="AF287" s="53">
        <f t="shared" si="32"/>
        <v>0</v>
      </c>
      <c r="AG287" s="53">
        <f t="shared" si="33"/>
        <v>0</v>
      </c>
      <c r="AH287" s="53">
        <f t="shared" si="34"/>
        <v>0</v>
      </c>
      <c r="AI287" s="50"/>
      <c r="AJ287" s="50"/>
      <c r="AK287" s="50"/>
    </row>
    <row r="288" spans="1:37" x14ac:dyDescent="0.2">
      <c r="A288" s="50"/>
      <c r="B288" s="50"/>
      <c r="C288" s="50"/>
      <c r="D288" s="50"/>
      <c r="E288" s="50"/>
      <c r="F288" s="50"/>
      <c r="G288" s="50"/>
      <c r="H288" s="50"/>
      <c r="I288" s="50"/>
      <c r="J288" s="50"/>
      <c r="K288" s="50"/>
      <c r="L288" s="50"/>
      <c r="M288" s="52"/>
      <c r="N288" s="51"/>
      <c r="O288" s="51"/>
      <c r="P288" s="53">
        <f t="shared" si="28"/>
        <v>0</v>
      </c>
      <c r="Q288" s="50"/>
      <c r="R288" s="50"/>
      <c r="S288" s="51"/>
      <c r="T288" s="50"/>
      <c r="U288" s="50"/>
      <c r="V288" s="50"/>
      <c r="W288" s="50"/>
      <c r="X288" s="50"/>
      <c r="Y288" s="50"/>
      <c r="Z288" s="50"/>
      <c r="AA288" s="50"/>
      <c r="AB288" s="50"/>
      <c r="AC288" s="53">
        <f t="shared" si="29"/>
        <v>0</v>
      </c>
      <c r="AD288" s="53">
        <f t="shared" si="30"/>
        <v>0</v>
      </c>
      <c r="AE288" s="53">
        <f t="shared" si="31"/>
        <v>0</v>
      </c>
      <c r="AF288" s="53">
        <f t="shared" si="32"/>
        <v>0</v>
      </c>
      <c r="AG288" s="53">
        <f t="shared" si="33"/>
        <v>0</v>
      </c>
      <c r="AH288" s="53">
        <f t="shared" si="34"/>
        <v>0</v>
      </c>
      <c r="AI288" s="50"/>
      <c r="AJ288" s="50"/>
      <c r="AK288" s="50"/>
    </row>
    <row r="289" spans="1:37" x14ac:dyDescent="0.2">
      <c r="A289" s="50"/>
      <c r="B289" s="50"/>
      <c r="C289" s="50"/>
      <c r="D289" s="50"/>
      <c r="E289" s="50"/>
      <c r="F289" s="50"/>
      <c r="G289" s="50"/>
      <c r="H289" s="50"/>
      <c r="I289" s="50"/>
      <c r="J289" s="50"/>
      <c r="K289" s="50"/>
      <c r="L289" s="50"/>
      <c r="M289" s="52"/>
      <c r="N289" s="51"/>
      <c r="O289" s="51"/>
      <c r="P289" s="53">
        <f t="shared" si="28"/>
        <v>0</v>
      </c>
      <c r="Q289" s="50"/>
      <c r="R289" s="50"/>
      <c r="S289" s="51"/>
      <c r="T289" s="50"/>
      <c r="U289" s="50"/>
      <c r="V289" s="50"/>
      <c r="W289" s="50"/>
      <c r="X289" s="50"/>
      <c r="Y289" s="50"/>
      <c r="Z289" s="50"/>
      <c r="AA289" s="50"/>
      <c r="AB289" s="50"/>
      <c r="AC289" s="53">
        <f t="shared" si="29"/>
        <v>0</v>
      </c>
      <c r="AD289" s="53">
        <f t="shared" si="30"/>
        <v>0</v>
      </c>
      <c r="AE289" s="53">
        <f t="shared" si="31"/>
        <v>0</v>
      </c>
      <c r="AF289" s="53">
        <f t="shared" si="32"/>
        <v>0</v>
      </c>
      <c r="AG289" s="53">
        <f t="shared" si="33"/>
        <v>0</v>
      </c>
      <c r="AH289" s="53">
        <f t="shared" si="34"/>
        <v>0</v>
      </c>
      <c r="AI289" s="50"/>
      <c r="AJ289" s="50"/>
      <c r="AK289" s="50"/>
    </row>
    <row r="290" spans="1:37" x14ac:dyDescent="0.2">
      <c r="A290" s="50"/>
      <c r="B290" s="50"/>
      <c r="C290" s="50"/>
      <c r="D290" s="50"/>
      <c r="E290" s="50"/>
      <c r="F290" s="50"/>
      <c r="G290" s="50"/>
      <c r="H290" s="50"/>
      <c r="I290" s="50"/>
      <c r="J290" s="50"/>
      <c r="K290" s="50"/>
      <c r="L290" s="50"/>
      <c r="M290" s="52"/>
      <c r="N290" s="51"/>
      <c r="O290" s="51"/>
      <c r="P290" s="53">
        <f t="shared" si="28"/>
        <v>0</v>
      </c>
      <c r="Q290" s="50"/>
      <c r="R290" s="50"/>
      <c r="S290" s="51"/>
      <c r="T290" s="50"/>
      <c r="U290" s="50"/>
      <c r="V290" s="50"/>
      <c r="W290" s="50"/>
      <c r="X290" s="50"/>
      <c r="Y290" s="50"/>
      <c r="Z290" s="50"/>
      <c r="AA290" s="50"/>
      <c r="AB290" s="50"/>
      <c r="AC290" s="53">
        <f t="shared" si="29"/>
        <v>0</v>
      </c>
      <c r="AD290" s="53">
        <f t="shared" si="30"/>
        <v>0</v>
      </c>
      <c r="AE290" s="53">
        <f t="shared" si="31"/>
        <v>0</v>
      </c>
      <c r="AF290" s="53">
        <f t="shared" si="32"/>
        <v>0</v>
      </c>
      <c r="AG290" s="53">
        <f t="shared" si="33"/>
        <v>0</v>
      </c>
      <c r="AH290" s="53">
        <f t="shared" si="34"/>
        <v>0</v>
      </c>
      <c r="AI290" s="50"/>
      <c r="AJ290" s="50"/>
      <c r="AK290" s="50"/>
    </row>
    <row r="291" spans="1:37" x14ac:dyDescent="0.2">
      <c r="A291" s="50"/>
      <c r="B291" s="50"/>
      <c r="C291" s="50"/>
      <c r="D291" s="50"/>
      <c r="E291" s="50"/>
      <c r="F291" s="50"/>
      <c r="G291" s="50"/>
      <c r="H291" s="50"/>
      <c r="I291" s="50"/>
      <c r="J291" s="50"/>
      <c r="K291" s="50"/>
      <c r="L291" s="50"/>
      <c r="M291" s="52"/>
      <c r="N291" s="51"/>
      <c r="O291" s="51"/>
      <c r="P291" s="53">
        <f t="shared" si="28"/>
        <v>0</v>
      </c>
      <c r="Q291" s="50"/>
      <c r="R291" s="50"/>
      <c r="S291" s="51"/>
      <c r="T291" s="50"/>
      <c r="U291" s="50"/>
      <c r="V291" s="50"/>
      <c r="W291" s="50"/>
      <c r="X291" s="50"/>
      <c r="Y291" s="50"/>
      <c r="Z291" s="50"/>
      <c r="AA291" s="50"/>
      <c r="AB291" s="50"/>
      <c r="AC291" s="53">
        <f t="shared" si="29"/>
        <v>0</v>
      </c>
      <c r="AD291" s="53">
        <f t="shared" si="30"/>
        <v>0</v>
      </c>
      <c r="AE291" s="53">
        <f t="shared" si="31"/>
        <v>0</v>
      </c>
      <c r="AF291" s="53">
        <f t="shared" si="32"/>
        <v>0</v>
      </c>
      <c r="AG291" s="53">
        <f t="shared" si="33"/>
        <v>0</v>
      </c>
      <c r="AH291" s="53">
        <f t="shared" si="34"/>
        <v>0</v>
      </c>
      <c r="AI291" s="50"/>
      <c r="AJ291" s="50"/>
      <c r="AK291" s="50"/>
    </row>
    <row r="292" spans="1:37" x14ac:dyDescent="0.2">
      <c r="A292" s="50"/>
      <c r="B292" s="50"/>
      <c r="C292" s="50"/>
      <c r="D292" s="50"/>
      <c r="E292" s="50"/>
      <c r="F292" s="50"/>
      <c r="G292" s="50"/>
      <c r="H292" s="50"/>
      <c r="I292" s="50"/>
      <c r="J292" s="50"/>
      <c r="K292" s="50"/>
      <c r="L292" s="50"/>
      <c r="M292" s="52"/>
      <c r="N292" s="51"/>
      <c r="O292" s="51"/>
      <c r="P292" s="53">
        <f t="shared" si="28"/>
        <v>0</v>
      </c>
      <c r="Q292" s="50"/>
      <c r="R292" s="50"/>
      <c r="S292" s="51"/>
      <c r="T292" s="50"/>
      <c r="U292" s="50"/>
      <c r="V292" s="50"/>
      <c r="W292" s="50"/>
      <c r="X292" s="50"/>
      <c r="Y292" s="50"/>
      <c r="Z292" s="50"/>
      <c r="AA292" s="50"/>
      <c r="AB292" s="50"/>
      <c r="AC292" s="53">
        <f t="shared" si="29"/>
        <v>0</v>
      </c>
      <c r="AD292" s="53">
        <f t="shared" si="30"/>
        <v>0</v>
      </c>
      <c r="AE292" s="53">
        <f t="shared" si="31"/>
        <v>0</v>
      </c>
      <c r="AF292" s="53">
        <f t="shared" si="32"/>
        <v>0</v>
      </c>
      <c r="AG292" s="53">
        <f t="shared" si="33"/>
        <v>0</v>
      </c>
      <c r="AH292" s="53">
        <f t="shared" si="34"/>
        <v>0</v>
      </c>
      <c r="AI292" s="50"/>
      <c r="AJ292" s="50"/>
      <c r="AK292" s="50"/>
    </row>
    <row r="293" spans="1:37" x14ac:dyDescent="0.2">
      <c r="A293" s="50"/>
      <c r="B293" s="50"/>
      <c r="C293" s="50"/>
      <c r="D293" s="50"/>
      <c r="E293" s="50"/>
      <c r="F293" s="50"/>
      <c r="G293" s="50"/>
      <c r="H293" s="50"/>
      <c r="I293" s="50"/>
      <c r="J293" s="50"/>
      <c r="K293" s="50"/>
      <c r="L293" s="50"/>
      <c r="M293" s="52"/>
      <c r="N293" s="51"/>
      <c r="O293" s="51"/>
      <c r="P293" s="53">
        <f t="shared" si="28"/>
        <v>0</v>
      </c>
      <c r="Q293" s="50"/>
      <c r="R293" s="50"/>
      <c r="S293" s="51"/>
      <c r="T293" s="50"/>
      <c r="U293" s="50"/>
      <c r="V293" s="50"/>
      <c r="W293" s="50"/>
      <c r="X293" s="50"/>
      <c r="Y293" s="50"/>
      <c r="Z293" s="50"/>
      <c r="AA293" s="50"/>
      <c r="AB293" s="50"/>
      <c r="AC293" s="53">
        <f t="shared" si="29"/>
        <v>0</v>
      </c>
      <c r="AD293" s="53">
        <f t="shared" si="30"/>
        <v>0</v>
      </c>
      <c r="AE293" s="53">
        <f t="shared" si="31"/>
        <v>0</v>
      </c>
      <c r="AF293" s="53">
        <f t="shared" si="32"/>
        <v>0</v>
      </c>
      <c r="AG293" s="53">
        <f t="shared" si="33"/>
        <v>0</v>
      </c>
      <c r="AH293" s="53">
        <f t="shared" si="34"/>
        <v>0</v>
      </c>
      <c r="AI293" s="50"/>
      <c r="AJ293" s="50"/>
      <c r="AK293" s="50"/>
    </row>
    <row r="294" spans="1:37" x14ac:dyDescent="0.2">
      <c r="A294" s="50"/>
      <c r="B294" s="50"/>
      <c r="C294" s="50"/>
      <c r="D294" s="50"/>
      <c r="E294" s="50"/>
      <c r="F294" s="50"/>
      <c r="G294" s="50"/>
      <c r="H294" s="50"/>
      <c r="I294" s="50"/>
      <c r="J294" s="50"/>
      <c r="K294" s="50"/>
      <c r="L294" s="50"/>
      <c r="M294" s="52"/>
      <c r="N294" s="51"/>
      <c r="O294" s="51"/>
      <c r="P294" s="53">
        <f t="shared" si="28"/>
        <v>0</v>
      </c>
      <c r="Q294" s="50"/>
      <c r="R294" s="50"/>
      <c r="S294" s="51"/>
      <c r="T294" s="50"/>
      <c r="U294" s="50"/>
      <c r="V294" s="50"/>
      <c r="W294" s="50"/>
      <c r="X294" s="50"/>
      <c r="Y294" s="50"/>
      <c r="Z294" s="50"/>
      <c r="AA294" s="50"/>
      <c r="AB294" s="50"/>
      <c r="AC294" s="53">
        <f t="shared" si="29"/>
        <v>0</v>
      </c>
      <c r="AD294" s="53">
        <f t="shared" si="30"/>
        <v>0</v>
      </c>
      <c r="AE294" s="53">
        <f t="shared" si="31"/>
        <v>0</v>
      </c>
      <c r="AF294" s="53">
        <f t="shared" si="32"/>
        <v>0</v>
      </c>
      <c r="AG294" s="53">
        <f t="shared" si="33"/>
        <v>0</v>
      </c>
      <c r="AH294" s="53">
        <f t="shared" si="34"/>
        <v>0</v>
      </c>
      <c r="AI294" s="50"/>
      <c r="AJ294" s="50"/>
      <c r="AK294" s="50"/>
    </row>
    <row r="295" spans="1:37" x14ac:dyDescent="0.2">
      <c r="A295" s="50"/>
      <c r="B295" s="50"/>
      <c r="C295" s="50"/>
      <c r="D295" s="50"/>
      <c r="E295" s="50"/>
      <c r="F295" s="50"/>
      <c r="G295" s="50"/>
      <c r="H295" s="50"/>
      <c r="I295" s="50"/>
      <c r="J295" s="50"/>
      <c r="K295" s="50"/>
      <c r="L295" s="50"/>
      <c r="M295" s="52"/>
      <c r="N295" s="51"/>
      <c r="O295" s="51"/>
      <c r="P295" s="53">
        <f t="shared" si="28"/>
        <v>0</v>
      </c>
      <c r="Q295" s="50"/>
      <c r="R295" s="50"/>
      <c r="S295" s="51"/>
      <c r="T295" s="50"/>
      <c r="U295" s="50"/>
      <c r="V295" s="50"/>
      <c r="W295" s="50"/>
      <c r="X295" s="50"/>
      <c r="Y295" s="50"/>
      <c r="Z295" s="50"/>
      <c r="AA295" s="50"/>
      <c r="AB295" s="50"/>
      <c r="AC295" s="53">
        <f t="shared" si="29"/>
        <v>0</v>
      </c>
      <c r="AD295" s="53">
        <f t="shared" si="30"/>
        <v>0</v>
      </c>
      <c r="AE295" s="53">
        <f t="shared" si="31"/>
        <v>0</v>
      </c>
      <c r="AF295" s="53">
        <f t="shared" si="32"/>
        <v>0</v>
      </c>
      <c r="AG295" s="53">
        <f t="shared" si="33"/>
        <v>0</v>
      </c>
      <c r="AH295" s="53">
        <f t="shared" si="34"/>
        <v>0</v>
      </c>
      <c r="AI295" s="50"/>
      <c r="AJ295" s="50"/>
      <c r="AK295" s="50"/>
    </row>
    <row r="296" spans="1:37" x14ac:dyDescent="0.2">
      <c r="A296" s="50"/>
      <c r="B296" s="50"/>
      <c r="C296" s="50"/>
      <c r="D296" s="50"/>
      <c r="E296" s="50"/>
      <c r="F296" s="50"/>
      <c r="G296" s="50"/>
      <c r="H296" s="50"/>
      <c r="I296" s="50"/>
      <c r="J296" s="50"/>
      <c r="K296" s="50"/>
      <c r="L296" s="50"/>
      <c r="M296" s="52"/>
      <c r="N296" s="51"/>
      <c r="O296" s="51"/>
      <c r="P296" s="53">
        <f t="shared" si="28"/>
        <v>0</v>
      </c>
      <c r="Q296" s="50"/>
      <c r="R296" s="50"/>
      <c r="S296" s="51"/>
      <c r="T296" s="50"/>
      <c r="U296" s="50"/>
      <c r="V296" s="50"/>
      <c r="W296" s="50"/>
      <c r="X296" s="50"/>
      <c r="Y296" s="50"/>
      <c r="Z296" s="50"/>
      <c r="AA296" s="50"/>
      <c r="AB296" s="50"/>
      <c r="AC296" s="53">
        <f t="shared" si="29"/>
        <v>0</v>
      </c>
      <c r="AD296" s="53">
        <f t="shared" si="30"/>
        <v>0</v>
      </c>
      <c r="AE296" s="53">
        <f t="shared" si="31"/>
        <v>0</v>
      </c>
      <c r="AF296" s="53">
        <f t="shared" si="32"/>
        <v>0</v>
      </c>
      <c r="AG296" s="53">
        <f t="shared" si="33"/>
        <v>0</v>
      </c>
      <c r="AH296" s="53">
        <f t="shared" si="34"/>
        <v>0</v>
      </c>
      <c r="AI296" s="50"/>
      <c r="AJ296" s="50"/>
      <c r="AK296" s="50"/>
    </row>
    <row r="297" spans="1:37" x14ac:dyDescent="0.2">
      <c r="A297" s="50"/>
      <c r="B297" s="50"/>
      <c r="C297" s="50"/>
      <c r="D297" s="50"/>
      <c r="E297" s="50"/>
      <c r="F297" s="50"/>
      <c r="G297" s="50"/>
      <c r="H297" s="50"/>
      <c r="I297" s="50"/>
      <c r="J297" s="50"/>
      <c r="K297" s="50"/>
      <c r="L297" s="50"/>
      <c r="M297" s="52"/>
      <c r="N297" s="51"/>
      <c r="O297" s="51"/>
      <c r="P297" s="53">
        <f t="shared" si="28"/>
        <v>0</v>
      </c>
      <c r="Q297" s="50"/>
      <c r="R297" s="50"/>
      <c r="S297" s="51"/>
      <c r="T297" s="50"/>
      <c r="U297" s="50"/>
      <c r="V297" s="50"/>
      <c r="W297" s="50"/>
      <c r="X297" s="50"/>
      <c r="Y297" s="50"/>
      <c r="Z297" s="50"/>
      <c r="AA297" s="50"/>
      <c r="AB297" s="50"/>
      <c r="AC297" s="53">
        <f t="shared" si="29"/>
        <v>0</v>
      </c>
      <c r="AD297" s="53">
        <f t="shared" si="30"/>
        <v>0</v>
      </c>
      <c r="AE297" s="53">
        <f t="shared" si="31"/>
        <v>0</v>
      </c>
      <c r="AF297" s="53">
        <f t="shared" si="32"/>
        <v>0</v>
      </c>
      <c r="AG297" s="53">
        <f t="shared" si="33"/>
        <v>0</v>
      </c>
      <c r="AH297" s="53">
        <f t="shared" si="34"/>
        <v>0</v>
      </c>
      <c r="AI297" s="50"/>
      <c r="AJ297" s="50"/>
      <c r="AK297" s="50"/>
    </row>
    <row r="298" spans="1:37" x14ac:dyDescent="0.2">
      <c r="A298" s="50"/>
      <c r="B298" s="50"/>
      <c r="C298" s="50"/>
      <c r="D298" s="50"/>
      <c r="E298" s="50"/>
      <c r="F298" s="50"/>
      <c r="G298" s="50"/>
      <c r="H298" s="50"/>
      <c r="I298" s="50"/>
      <c r="J298" s="50"/>
      <c r="K298" s="50"/>
      <c r="L298" s="50"/>
      <c r="M298" s="52"/>
      <c r="N298" s="51"/>
      <c r="O298" s="51"/>
      <c r="P298" s="53">
        <f t="shared" si="28"/>
        <v>0</v>
      </c>
      <c r="Q298" s="50"/>
      <c r="R298" s="50"/>
      <c r="S298" s="51"/>
      <c r="T298" s="50"/>
      <c r="U298" s="50"/>
      <c r="V298" s="50"/>
      <c r="W298" s="50"/>
      <c r="X298" s="50"/>
      <c r="Y298" s="50"/>
      <c r="Z298" s="50"/>
      <c r="AA298" s="50"/>
      <c r="AB298" s="50"/>
      <c r="AC298" s="53">
        <f t="shared" si="29"/>
        <v>0</v>
      </c>
      <c r="AD298" s="53">
        <f t="shared" si="30"/>
        <v>0</v>
      </c>
      <c r="AE298" s="53">
        <f t="shared" si="31"/>
        <v>0</v>
      </c>
      <c r="AF298" s="53">
        <f t="shared" si="32"/>
        <v>0</v>
      </c>
      <c r="AG298" s="53">
        <f t="shared" si="33"/>
        <v>0</v>
      </c>
      <c r="AH298" s="53">
        <f t="shared" si="34"/>
        <v>0</v>
      </c>
      <c r="AI298" s="50"/>
      <c r="AJ298" s="50"/>
      <c r="AK298" s="50"/>
    </row>
    <row r="299" spans="1:37" x14ac:dyDescent="0.2">
      <c r="A299" s="50"/>
      <c r="B299" s="50"/>
      <c r="C299" s="50"/>
      <c r="D299" s="50"/>
      <c r="E299" s="50"/>
      <c r="F299" s="50"/>
      <c r="G299" s="50"/>
      <c r="H299" s="50"/>
      <c r="I299" s="50"/>
      <c r="J299" s="50"/>
      <c r="K299" s="50"/>
      <c r="L299" s="50"/>
      <c r="M299" s="52"/>
      <c r="N299" s="51"/>
      <c r="O299" s="51"/>
      <c r="P299" s="53">
        <f t="shared" si="28"/>
        <v>0</v>
      </c>
      <c r="Q299" s="50"/>
      <c r="R299" s="50"/>
      <c r="S299" s="51"/>
      <c r="T299" s="50"/>
      <c r="U299" s="50"/>
      <c r="V299" s="50"/>
      <c r="W299" s="50"/>
      <c r="X299" s="50"/>
      <c r="Y299" s="50"/>
      <c r="Z299" s="50"/>
      <c r="AA299" s="50"/>
      <c r="AB299" s="50"/>
      <c r="AC299" s="53">
        <f t="shared" si="29"/>
        <v>0</v>
      </c>
      <c r="AD299" s="53">
        <f t="shared" si="30"/>
        <v>0</v>
      </c>
      <c r="AE299" s="53">
        <f t="shared" si="31"/>
        <v>0</v>
      </c>
      <c r="AF299" s="53">
        <f t="shared" si="32"/>
        <v>0</v>
      </c>
      <c r="AG299" s="53">
        <f t="shared" si="33"/>
        <v>0</v>
      </c>
      <c r="AH299" s="53">
        <f t="shared" si="34"/>
        <v>0</v>
      </c>
      <c r="AI299" s="50"/>
      <c r="AJ299" s="50"/>
      <c r="AK299" s="50"/>
    </row>
    <row r="300" spans="1:37" x14ac:dyDescent="0.2">
      <c r="A300" s="50"/>
      <c r="B300" s="50"/>
      <c r="C300" s="50"/>
      <c r="D300" s="50"/>
      <c r="E300" s="50"/>
      <c r="F300" s="50"/>
      <c r="G300" s="50"/>
      <c r="H300" s="50"/>
      <c r="I300" s="50"/>
      <c r="J300" s="50"/>
      <c r="K300" s="50"/>
      <c r="L300" s="50"/>
      <c r="M300" s="52"/>
      <c r="N300" s="51"/>
      <c r="O300" s="51"/>
      <c r="P300" s="53">
        <f t="shared" si="28"/>
        <v>0</v>
      </c>
      <c r="Q300" s="50"/>
      <c r="R300" s="50"/>
      <c r="S300" s="51"/>
      <c r="T300" s="50"/>
      <c r="U300" s="50"/>
      <c r="V300" s="50"/>
      <c r="W300" s="50"/>
      <c r="X300" s="50"/>
      <c r="Y300" s="50"/>
      <c r="Z300" s="50"/>
      <c r="AA300" s="50"/>
      <c r="AB300" s="50"/>
      <c r="AC300" s="53">
        <f t="shared" si="29"/>
        <v>0</v>
      </c>
      <c r="AD300" s="53">
        <f t="shared" si="30"/>
        <v>0</v>
      </c>
      <c r="AE300" s="53">
        <f t="shared" si="31"/>
        <v>0</v>
      </c>
      <c r="AF300" s="53">
        <f t="shared" si="32"/>
        <v>0</v>
      </c>
      <c r="AG300" s="53">
        <f t="shared" si="33"/>
        <v>0</v>
      </c>
      <c r="AH300" s="53">
        <f t="shared" si="34"/>
        <v>0</v>
      </c>
      <c r="AI300" s="50"/>
      <c r="AJ300" s="50"/>
      <c r="AK300" s="50"/>
    </row>
    <row r="301" spans="1:37" x14ac:dyDescent="0.2">
      <c r="A301" s="50"/>
      <c r="B301" s="50"/>
      <c r="C301" s="50"/>
      <c r="D301" s="50"/>
      <c r="E301" s="50"/>
      <c r="F301" s="50"/>
      <c r="G301" s="50"/>
      <c r="H301" s="50"/>
      <c r="I301" s="50"/>
      <c r="J301" s="50"/>
      <c r="K301" s="50"/>
      <c r="L301" s="50"/>
      <c r="M301" s="52"/>
      <c r="N301" s="51"/>
      <c r="O301" s="51"/>
      <c r="P301" s="53">
        <f t="shared" si="28"/>
        <v>0</v>
      </c>
      <c r="Q301" s="50"/>
      <c r="R301" s="50"/>
      <c r="S301" s="51"/>
      <c r="T301" s="50"/>
      <c r="U301" s="50"/>
      <c r="V301" s="50"/>
      <c r="W301" s="50"/>
      <c r="X301" s="50"/>
      <c r="Y301" s="50"/>
      <c r="Z301" s="50"/>
      <c r="AA301" s="50"/>
      <c r="AB301" s="50"/>
      <c r="AC301" s="53">
        <f t="shared" si="29"/>
        <v>0</v>
      </c>
      <c r="AD301" s="53">
        <f t="shared" si="30"/>
        <v>0</v>
      </c>
      <c r="AE301" s="53">
        <f t="shared" si="31"/>
        <v>0</v>
      </c>
      <c r="AF301" s="53">
        <f t="shared" si="32"/>
        <v>0</v>
      </c>
      <c r="AG301" s="53">
        <f t="shared" si="33"/>
        <v>0</v>
      </c>
      <c r="AH301" s="53">
        <f t="shared" si="34"/>
        <v>0</v>
      </c>
      <c r="AI301" s="50"/>
      <c r="AJ301" s="50"/>
      <c r="AK301" s="50"/>
    </row>
    <row r="302" spans="1:37" x14ac:dyDescent="0.2">
      <c r="A302" s="50"/>
      <c r="B302" s="50"/>
      <c r="C302" s="50"/>
      <c r="D302" s="50"/>
      <c r="E302" s="50"/>
      <c r="F302" s="50"/>
      <c r="G302" s="50"/>
      <c r="H302" s="50"/>
      <c r="I302" s="50"/>
      <c r="J302" s="50"/>
      <c r="K302" s="50"/>
      <c r="L302" s="50"/>
      <c r="M302" s="52"/>
      <c r="N302" s="51"/>
      <c r="O302" s="51"/>
      <c r="P302" s="53">
        <f t="shared" si="28"/>
        <v>0</v>
      </c>
      <c r="Q302" s="50"/>
      <c r="R302" s="50"/>
      <c r="S302" s="51"/>
      <c r="T302" s="50"/>
      <c r="U302" s="50"/>
      <c r="V302" s="50"/>
      <c r="W302" s="50"/>
      <c r="X302" s="50"/>
      <c r="Y302" s="50"/>
      <c r="Z302" s="50"/>
      <c r="AA302" s="50"/>
      <c r="AB302" s="50"/>
      <c r="AC302" s="53">
        <f t="shared" si="29"/>
        <v>0</v>
      </c>
      <c r="AD302" s="53">
        <f t="shared" si="30"/>
        <v>0</v>
      </c>
      <c r="AE302" s="53">
        <f t="shared" si="31"/>
        <v>0</v>
      </c>
      <c r="AF302" s="53">
        <f t="shared" si="32"/>
        <v>0</v>
      </c>
      <c r="AG302" s="53">
        <f t="shared" si="33"/>
        <v>0</v>
      </c>
      <c r="AH302" s="53">
        <f t="shared" si="34"/>
        <v>0</v>
      </c>
      <c r="AI302" s="50"/>
      <c r="AJ302" s="50"/>
      <c r="AK302" s="50"/>
    </row>
    <row r="303" spans="1:37" x14ac:dyDescent="0.2">
      <c r="A303" s="50"/>
      <c r="B303" s="50"/>
      <c r="C303" s="50"/>
      <c r="D303" s="50"/>
      <c r="E303" s="50"/>
      <c r="F303" s="50"/>
      <c r="G303" s="50"/>
      <c r="H303" s="50"/>
      <c r="I303" s="50"/>
      <c r="J303" s="50"/>
      <c r="K303" s="50"/>
      <c r="L303" s="50"/>
      <c r="M303" s="52"/>
      <c r="N303" s="51"/>
      <c r="O303" s="51"/>
      <c r="P303" s="53">
        <f t="shared" si="28"/>
        <v>0</v>
      </c>
      <c r="Q303" s="50"/>
      <c r="R303" s="50"/>
      <c r="S303" s="51"/>
      <c r="T303" s="50"/>
      <c r="U303" s="50"/>
      <c r="V303" s="50"/>
      <c r="W303" s="50"/>
      <c r="X303" s="50"/>
      <c r="Y303" s="50"/>
      <c r="Z303" s="50"/>
      <c r="AA303" s="50"/>
      <c r="AB303" s="50"/>
      <c r="AC303" s="53">
        <f t="shared" si="29"/>
        <v>0</v>
      </c>
      <c r="AD303" s="53">
        <f t="shared" si="30"/>
        <v>0</v>
      </c>
      <c r="AE303" s="53">
        <f t="shared" si="31"/>
        <v>0</v>
      </c>
      <c r="AF303" s="53">
        <f t="shared" si="32"/>
        <v>0</v>
      </c>
      <c r="AG303" s="53">
        <f t="shared" si="33"/>
        <v>0</v>
      </c>
      <c r="AH303" s="53">
        <f t="shared" si="34"/>
        <v>0</v>
      </c>
      <c r="AI303" s="50"/>
      <c r="AJ303" s="50"/>
      <c r="AK303" s="50"/>
    </row>
    <row r="304" spans="1:37" x14ac:dyDescent="0.2">
      <c r="A304" s="50"/>
      <c r="B304" s="50"/>
      <c r="C304" s="50"/>
      <c r="D304" s="50"/>
      <c r="E304" s="50"/>
      <c r="F304" s="50"/>
      <c r="G304" s="50"/>
      <c r="H304" s="50"/>
      <c r="I304" s="50"/>
      <c r="J304" s="50"/>
      <c r="K304" s="50"/>
      <c r="L304" s="50"/>
      <c r="M304" s="52"/>
      <c r="N304" s="51"/>
      <c r="O304" s="51"/>
      <c r="P304" s="53">
        <f t="shared" si="28"/>
        <v>0</v>
      </c>
      <c r="Q304" s="50"/>
      <c r="R304" s="50"/>
      <c r="S304" s="51"/>
      <c r="T304" s="50"/>
      <c r="U304" s="50"/>
      <c r="V304" s="50"/>
      <c r="W304" s="50"/>
      <c r="X304" s="50"/>
      <c r="Y304" s="50"/>
      <c r="Z304" s="50"/>
      <c r="AA304" s="50"/>
      <c r="AB304" s="50"/>
      <c r="AC304" s="53">
        <f t="shared" si="29"/>
        <v>0</v>
      </c>
      <c r="AD304" s="53">
        <f t="shared" si="30"/>
        <v>0</v>
      </c>
      <c r="AE304" s="53">
        <f t="shared" si="31"/>
        <v>0</v>
      </c>
      <c r="AF304" s="53">
        <f t="shared" si="32"/>
        <v>0</v>
      </c>
      <c r="AG304" s="53">
        <f t="shared" si="33"/>
        <v>0</v>
      </c>
      <c r="AH304" s="53">
        <f t="shared" si="34"/>
        <v>0</v>
      </c>
      <c r="AI304" s="50"/>
      <c r="AJ304" s="50"/>
      <c r="AK304" s="50"/>
    </row>
    <row r="305" spans="1:37" x14ac:dyDescent="0.2">
      <c r="A305" s="50"/>
      <c r="B305" s="50"/>
      <c r="C305" s="50"/>
      <c r="D305" s="50"/>
      <c r="E305" s="50"/>
      <c r="F305" s="50"/>
      <c r="G305" s="50"/>
      <c r="H305" s="50"/>
      <c r="I305" s="50"/>
      <c r="J305" s="50"/>
      <c r="K305" s="50"/>
      <c r="L305" s="50"/>
      <c r="M305" s="52"/>
      <c r="N305" s="51"/>
      <c r="O305" s="51"/>
      <c r="P305" s="53">
        <f t="shared" si="28"/>
        <v>0</v>
      </c>
      <c r="Q305" s="50"/>
      <c r="R305" s="50"/>
      <c r="S305" s="51"/>
      <c r="T305" s="50"/>
      <c r="U305" s="50"/>
      <c r="V305" s="50"/>
      <c r="W305" s="50"/>
      <c r="X305" s="50"/>
      <c r="Y305" s="50"/>
      <c r="Z305" s="50"/>
      <c r="AA305" s="50"/>
      <c r="AB305" s="50"/>
      <c r="AC305" s="53">
        <f t="shared" si="29"/>
        <v>0</v>
      </c>
      <c r="AD305" s="53">
        <f t="shared" si="30"/>
        <v>0</v>
      </c>
      <c r="AE305" s="53">
        <f t="shared" si="31"/>
        <v>0</v>
      </c>
      <c r="AF305" s="53">
        <f t="shared" si="32"/>
        <v>0</v>
      </c>
      <c r="AG305" s="53">
        <f t="shared" si="33"/>
        <v>0</v>
      </c>
      <c r="AH305" s="53">
        <f t="shared" si="34"/>
        <v>0</v>
      </c>
      <c r="AI305" s="50"/>
      <c r="AJ305" s="50"/>
      <c r="AK305" s="50"/>
    </row>
    <row r="306" spans="1:37" x14ac:dyDescent="0.2">
      <c r="A306" s="50"/>
      <c r="B306" s="50"/>
      <c r="C306" s="50"/>
      <c r="D306" s="50"/>
      <c r="E306" s="50"/>
      <c r="F306" s="50"/>
      <c r="G306" s="50"/>
      <c r="H306" s="50"/>
      <c r="I306" s="50"/>
      <c r="J306" s="50"/>
      <c r="K306" s="50"/>
      <c r="L306" s="50"/>
      <c r="M306" s="52"/>
      <c r="N306" s="51"/>
      <c r="O306" s="51"/>
      <c r="P306" s="53">
        <f t="shared" si="28"/>
        <v>0</v>
      </c>
      <c r="Q306" s="50"/>
      <c r="R306" s="50"/>
      <c r="S306" s="51"/>
      <c r="T306" s="50"/>
      <c r="U306" s="50"/>
      <c r="V306" s="50"/>
      <c r="W306" s="50"/>
      <c r="X306" s="50"/>
      <c r="Y306" s="50"/>
      <c r="Z306" s="50"/>
      <c r="AA306" s="50"/>
      <c r="AB306" s="50"/>
      <c r="AC306" s="53">
        <f t="shared" si="29"/>
        <v>0</v>
      </c>
      <c r="AD306" s="53">
        <f t="shared" si="30"/>
        <v>0</v>
      </c>
      <c r="AE306" s="53">
        <f t="shared" si="31"/>
        <v>0</v>
      </c>
      <c r="AF306" s="53">
        <f t="shared" si="32"/>
        <v>0</v>
      </c>
      <c r="AG306" s="53">
        <f t="shared" si="33"/>
        <v>0</v>
      </c>
      <c r="AH306" s="53">
        <f t="shared" si="34"/>
        <v>0</v>
      </c>
      <c r="AI306" s="50"/>
      <c r="AJ306" s="50"/>
      <c r="AK306" s="50"/>
    </row>
    <row r="307" spans="1:37" x14ac:dyDescent="0.2">
      <c r="A307" s="50"/>
      <c r="B307" s="50"/>
      <c r="C307" s="50"/>
      <c r="D307" s="50"/>
      <c r="E307" s="50"/>
      <c r="F307" s="50"/>
      <c r="G307" s="50"/>
      <c r="H307" s="50"/>
      <c r="I307" s="50"/>
      <c r="J307" s="50"/>
      <c r="K307" s="50"/>
      <c r="L307" s="50"/>
      <c r="M307" s="52"/>
      <c r="N307" s="51"/>
      <c r="O307" s="51"/>
      <c r="P307" s="53">
        <f t="shared" si="28"/>
        <v>0</v>
      </c>
      <c r="Q307" s="50"/>
      <c r="R307" s="50"/>
      <c r="S307" s="51"/>
      <c r="T307" s="50"/>
      <c r="U307" s="50"/>
      <c r="V307" s="50"/>
      <c r="W307" s="50"/>
      <c r="X307" s="50"/>
      <c r="Y307" s="50"/>
      <c r="Z307" s="50"/>
      <c r="AA307" s="50"/>
      <c r="AB307" s="50"/>
      <c r="AC307" s="53">
        <f t="shared" si="29"/>
        <v>0</v>
      </c>
      <c r="AD307" s="53">
        <f t="shared" si="30"/>
        <v>0</v>
      </c>
      <c r="AE307" s="53">
        <f t="shared" si="31"/>
        <v>0</v>
      </c>
      <c r="AF307" s="53">
        <f t="shared" si="32"/>
        <v>0</v>
      </c>
      <c r="AG307" s="53">
        <f t="shared" si="33"/>
        <v>0</v>
      </c>
      <c r="AH307" s="53">
        <f t="shared" si="34"/>
        <v>0</v>
      </c>
      <c r="AI307" s="50"/>
      <c r="AJ307" s="50"/>
      <c r="AK307" s="50"/>
    </row>
    <row r="308" spans="1:37" x14ac:dyDescent="0.2">
      <c r="A308" s="50"/>
      <c r="B308" s="50"/>
      <c r="C308" s="50"/>
      <c r="D308" s="50"/>
      <c r="E308" s="50"/>
      <c r="F308" s="50"/>
      <c r="G308" s="50"/>
      <c r="H308" s="50"/>
      <c r="I308" s="50"/>
      <c r="J308" s="50"/>
      <c r="K308" s="50"/>
      <c r="L308" s="50"/>
      <c r="M308" s="52"/>
      <c r="N308" s="51"/>
      <c r="O308" s="51"/>
      <c r="P308" s="53">
        <f t="shared" si="28"/>
        <v>0</v>
      </c>
      <c r="Q308" s="50"/>
      <c r="R308" s="50"/>
      <c r="S308" s="51"/>
      <c r="T308" s="50"/>
      <c r="U308" s="50"/>
      <c r="V308" s="50"/>
      <c r="W308" s="50"/>
      <c r="X308" s="50"/>
      <c r="Y308" s="50"/>
      <c r="Z308" s="50"/>
      <c r="AA308" s="50"/>
      <c r="AB308" s="50"/>
      <c r="AC308" s="53">
        <f t="shared" si="29"/>
        <v>0</v>
      </c>
      <c r="AD308" s="53">
        <f t="shared" si="30"/>
        <v>0</v>
      </c>
      <c r="AE308" s="53">
        <f t="shared" si="31"/>
        <v>0</v>
      </c>
      <c r="AF308" s="53">
        <f t="shared" si="32"/>
        <v>0</v>
      </c>
      <c r="AG308" s="53">
        <f t="shared" si="33"/>
        <v>0</v>
      </c>
      <c r="AH308" s="53">
        <f t="shared" si="34"/>
        <v>0</v>
      </c>
      <c r="AI308" s="50"/>
      <c r="AJ308" s="50"/>
      <c r="AK308" s="50"/>
    </row>
    <row r="309" spans="1:37" x14ac:dyDescent="0.2">
      <c r="A309" s="50"/>
      <c r="B309" s="50"/>
      <c r="C309" s="50"/>
      <c r="D309" s="50"/>
      <c r="E309" s="50"/>
      <c r="F309" s="50"/>
      <c r="G309" s="50"/>
      <c r="H309" s="50"/>
      <c r="I309" s="50"/>
      <c r="J309" s="50"/>
      <c r="K309" s="50"/>
      <c r="L309" s="50"/>
      <c r="M309" s="52"/>
      <c r="N309" s="51"/>
      <c r="O309" s="51"/>
      <c r="P309" s="53">
        <f t="shared" si="28"/>
        <v>0</v>
      </c>
      <c r="Q309" s="50"/>
      <c r="R309" s="50"/>
      <c r="S309" s="51"/>
      <c r="T309" s="50"/>
      <c r="U309" s="50"/>
      <c r="V309" s="50"/>
      <c r="W309" s="50"/>
      <c r="X309" s="50"/>
      <c r="Y309" s="50"/>
      <c r="Z309" s="50"/>
      <c r="AA309" s="50"/>
      <c r="AB309" s="50"/>
      <c r="AC309" s="53">
        <f t="shared" si="29"/>
        <v>0</v>
      </c>
      <c r="AD309" s="53">
        <f t="shared" si="30"/>
        <v>0</v>
      </c>
      <c r="AE309" s="53">
        <f t="shared" si="31"/>
        <v>0</v>
      </c>
      <c r="AF309" s="53">
        <f t="shared" si="32"/>
        <v>0</v>
      </c>
      <c r="AG309" s="53">
        <f t="shared" si="33"/>
        <v>0</v>
      </c>
      <c r="AH309" s="53">
        <f t="shared" si="34"/>
        <v>0</v>
      </c>
      <c r="AI309" s="50"/>
      <c r="AJ309" s="50"/>
      <c r="AK309" s="50"/>
    </row>
    <row r="310" spans="1:37" x14ac:dyDescent="0.2">
      <c r="A310" s="50"/>
      <c r="B310" s="50"/>
      <c r="C310" s="50"/>
      <c r="D310" s="50"/>
      <c r="E310" s="50"/>
      <c r="F310" s="50"/>
      <c r="G310" s="50"/>
      <c r="H310" s="50"/>
      <c r="I310" s="50"/>
      <c r="J310" s="50"/>
      <c r="K310" s="50"/>
      <c r="L310" s="50"/>
      <c r="M310" s="52"/>
      <c r="N310" s="51"/>
      <c r="O310" s="51"/>
      <c r="P310" s="53">
        <f t="shared" si="28"/>
        <v>0</v>
      </c>
      <c r="Q310" s="50"/>
      <c r="R310" s="50"/>
      <c r="S310" s="51"/>
      <c r="T310" s="50"/>
      <c r="U310" s="50"/>
      <c r="V310" s="50"/>
      <c r="W310" s="50"/>
      <c r="X310" s="50"/>
      <c r="Y310" s="50"/>
      <c r="Z310" s="50"/>
      <c r="AA310" s="50"/>
      <c r="AB310" s="50"/>
      <c r="AC310" s="53">
        <f t="shared" si="29"/>
        <v>0</v>
      </c>
      <c r="AD310" s="53">
        <f t="shared" si="30"/>
        <v>0</v>
      </c>
      <c r="AE310" s="53">
        <f t="shared" si="31"/>
        <v>0</v>
      </c>
      <c r="AF310" s="53">
        <f t="shared" si="32"/>
        <v>0</v>
      </c>
      <c r="AG310" s="53">
        <f t="shared" si="33"/>
        <v>0</v>
      </c>
      <c r="AH310" s="53">
        <f t="shared" si="34"/>
        <v>0</v>
      </c>
      <c r="AI310" s="50"/>
      <c r="AJ310" s="50"/>
      <c r="AK310" s="50"/>
    </row>
    <row r="311" spans="1:37" x14ac:dyDescent="0.2">
      <c r="A311" s="50"/>
      <c r="B311" s="50"/>
      <c r="C311" s="50"/>
      <c r="D311" s="50"/>
      <c r="E311" s="50"/>
      <c r="F311" s="50"/>
      <c r="G311" s="50"/>
      <c r="H311" s="50"/>
      <c r="I311" s="50"/>
      <c r="J311" s="50"/>
      <c r="K311" s="50"/>
      <c r="L311" s="50"/>
      <c r="M311" s="52"/>
      <c r="N311" s="51"/>
      <c r="O311" s="51"/>
      <c r="P311" s="53">
        <f t="shared" si="28"/>
        <v>0</v>
      </c>
      <c r="Q311" s="50"/>
      <c r="R311" s="50"/>
      <c r="S311" s="51"/>
      <c r="T311" s="50"/>
      <c r="U311" s="50"/>
      <c r="V311" s="50"/>
      <c r="W311" s="50"/>
      <c r="X311" s="50"/>
      <c r="Y311" s="50"/>
      <c r="Z311" s="50"/>
      <c r="AA311" s="50"/>
      <c r="AB311" s="50"/>
      <c r="AC311" s="53">
        <f t="shared" si="29"/>
        <v>0</v>
      </c>
      <c r="AD311" s="53">
        <f t="shared" si="30"/>
        <v>0</v>
      </c>
      <c r="AE311" s="53">
        <f t="shared" si="31"/>
        <v>0</v>
      </c>
      <c r="AF311" s="53">
        <f t="shared" si="32"/>
        <v>0</v>
      </c>
      <c r="AG311" s="53">
        <f t="shared" si="33"/>
        <v>0</v>
      </c>
      <c r="AH311" s="53">
        <f t="shared" si="34"/>
        <v>0</v>
      </c>
      <c r="AI311" s="50"/>
      <c r="AJ311" s="50"/>
      <c r="AK311" s="50"/>
    </row>
    <row r="312" spans="1:37" x14ac:dyDescent="0.2">
      <c r="A312" s="50"/>
      <c r="B312" s="50"/>
      <c r="C312" s="50"/>
      <c r="D312" s="50"/>
      <c r="E312" s="50"/>
      <c r="F312" s="50"/>
      <c r="G312" s="50"/>
      <c r="H312" s="50"/>
      <c r="I312" s="50"/>
      <c r="J312" s="50"/>
      <c r="K312" s="50"/>
      <c r="L312" s="50"/>
      <c r="M312" s="52"/>
      <c r="N312" s="51"/>
      <c r="O312" s="51"/>
      <c r="P312" s="53">
        <f t="shared" si="28"/>
        <v>0</v>
      </c>
      <c r="Q312" s="50"/>
      <c r="R312" s="50"/>
      <c r="S312" s="51"/>
      <c r="T312" s="50"/>
      <c r="U312" s="50"/>
      <c r="V312" s="50"/>
      <c r="W312" s="50"/>
      <c r="X312" s="50"/>
      <c r="Y312" s="50"/>
      <c r="Z312" s="50"/>
      <c r="AA312" s="50"/>
      <c r="AB312" s="50"/>
      <c r="AC312" s="53">
        <f t="shared" si="29"/>
        <v>0</v>
      </c>
      <c r="AD312" s="53">
        <f t="shared" si="30"/>
        <v>0</v>
      </c>
      <c r="AE312" s="53">
        <f t="shared" si="31"/>
        <v>0</v>
      </c>
      <c r="AF312" s="53">
        <f t="shared" si="32"/>
        <v>0</v>
      </c>
      <c r="AG312" s="53">
        <f t="shared" si="33"/>
        <v>0</v>
      </c>
      <c r="AH312" s="53">
        <f t="shared" si="34"/>
        <v>0</v>
      </c>
      <c r="AI312" s="50"/>
      <c r="AJ312" s="50"/>
      <c r="AK312" s="50"/>
    </row>
    <row r="313" spans="1:37" x14ac:dyDescent="0.2">
      <c r="A313" s="50"/>
      <c r="B313" s="50"/>
      <c r="C313" s="50"/>
      <c r="D313" s="50"/>
      <c r="E313" s="50"/>
      <c r="F313" s="50"/>
      <c r="G313" s="50"/>
      <c r="H313" s="50"/>
      <c r="I313" s="50"/>
      <c r="J313" s="50"/>
      <c r="K313" s="50"/>
      <c r="L313" s="50"/>
      <c r="M313" s="52"/>
      <c r="N313" s="51"/>
      <c r="O313" s="51"/>
      <c r="P313" s="53">
        <f t="shared" si="28"/>
        <v>0</v>
      </c>
      <c r="Q313" s="50"/>
      <c r="R313" s="50"/>
      <c r="S313" s="51"/>
      <c r="T313" s="50"/>
      <c r="U313" s="50"/>
      <c r="V313" s="50"/>
      <c r="W313" s="50"/>
      <c r="X313" s="50"/>
      <c r="Y313" s="50"/>
      <c r="Z313" s="50"/>
      <c r="AA313" s="50"/>
      <c r="AB313" s="50"/>
      <c r="AC313" s="53">
        <f t="shared" si="29"/>
        <v>0</v>
      </c>
      <c r="AD313" s="53">
        <f t="shared" si="30"/>
        <v>0</v>
      </c>
      <c r="AE313" s="53">
        <f t="shared" si="31"/>
        <v>0</v>
      </c>
      <c r="AF313" s="53">
        <f t="shared" si="32"/>
        <v>0</v>
      </c>
      <c r="AG313" s="53">
        <f t="shared" si="33"/>
        <v>0</v>
      </c>
      <c r="AH313" s="53">
        <f t="shared" si="34"/>
        <v>0</v>
      </c>
      <c r="AI313" s="50"/>
      <c r="AJ313" s="50"/>
      <c r="AK313" s="50"/>
    </row>
    <row r="314" spans="1:37" x14ac:dyDescent="0.2">
      <c r="A314" s="50"/>
      <c r="B314" s="50"/>
      <c r="C314" s="50"/>
      <c r="D314" s="50"/>
      <c r="E314" s="50"/>
      <c r="F314" s="50"/>
      <c r="G314" s="50"/>
      <c r="H314" s="50"/>
      <c r="I314" s="50"/>
      <c r="J314" s="50"/>
      <c r="K314" s="50"/>
      <c r="L314" s="50"/>
      <c r="M314" s="52"/>
      <c r="N314" s="51"/>
      <c r="O314" s="51"/>
      <c r="P314" s="53">
        <f t="shared" si="28"/>
        <v>0</v>
      </c>
      <c r="Q314" s="50"/>
      <c r="R314" s="50"/>
      <c r="S314" s="51"/>
      <c r="T314" s="50"/>
      <c r="U314" s="50"/>
      <c r="V314" s="50"/>
      <c r="W314" s="50"/>
      <c r="X314" s="50"/>
      <c r="Y314" s="50"/>
      <c r="Z314" s="50"/>
      <c r="AA314" s="50"/>
      <c r="AB314" s="50"/>
      <c r="AC314" s="53">
        <f t="shared" si="29"/>
        <v>0</v>
      </c>
      <c r="AD314" s="53">
        <f t="shared" si="30"/>
        <v>0</v>
      </c>
      <c r="AE314" s="53">
        <f t="shared" si="31"/>
        <v>0</v>
      </c>
      <c r="AF314" s="53">
        <f t="shared" si="32"/>
        <v>0</v>
      </c>
      <c r="AG314" s="53">
        <f t="shared" si="33"/>
        <v>0</v>
      </c>
      <c r="AH314" s="53">
        <f t="shared" si="34"/>
        <v>0</v>
      </c>
      <c r="AI314" s="50"/>
      <c r="AJ314" s="50"/>
      <c r="AK314" s="50"/>
    </row>
    <row r="315" spans="1:37" x14ac:dyDescent="0.2">
      <c r="A315" s="50"/>
      <c r="B315" s="50"/>
      <c r="C315" s="50"/>
      <c r="D315" s="50"/>
      <c r="E315" s="50"/>
      <c r="F315" s="50"/>
      <c r="G315" s="50"/>
      <c r="H315" s="50"/>
      <c r="I315" s="50"/>
      <c r="J315" s="50"/>
      <c r="K315" s="50"/>
      <c r="L315" s="50"/>
      <c r="M315" s="52"/>
      <c r="N315" s="51"/>
      <c r="O315" s="51"/>
      <c r="P315" s="53">
        <f t="shared" si="28"/>
        <v>0</v>
      </c>
      <c r="Q315" s="50"/>
      <c r="R315" s="50"/>
      <c r="S315" s="51"/>
      <c r="T315" s="50"/>
      <c r="U315" s="50"/>
      <c r="V315" s="50"/>
      <c r="W315" s="50"/>
      <c r="X315" s="50"/>
      <c r="Y315" s="50"/>
      <c r="Z315" s="50"/>
      <c r="AA315" s="50"/>
      <c r="AB315" s="50"/>
      <c r="AC315" s="53">
        <f t="shared" si="29"/>
        <v>0</v>
      </c>
      <c r="AD315" s="53">
        <f t="shared" si="30"/>
        <v>0</v>
      </c>
      <c r="AE315" s="53">
        <f t="shared" si="31"/>
        <v>0</v>
      </c>
      <c r="AF315" s="53">
        <f t="shared" si="32"/>
        <v>0</v>
      </c>
      <c r="AG315" s="53">
        <f t="shared" si="33"/>
        <v>0</v>
      </c>
      <c r="AH315" s="53">
        <f t="shared" si="34"/>
        <v>0</v>
      </c>
      <c r="AI315" s="50"/>
      <c r="AJ315" s="50"/>
      <c r="AK315" s="50"/>
    </row>
    <row r="316" spans="1:37" x14ac:dyDescent="0.2">
      <c r="A316" s="50"/>
      <c r="B316" s="50"/>
      <c r="C316" s="50"/>
      <c r="D316" s="50"/>
      <c r="E316" s="50"/>
      <c r="F316" s="50"/>
      <c r="G316" s="50"/>
      <c r="H316" s="50"/>
      <c r="I316" s="50"/>
      <c r="J316" s="50"/>
      <c r="K316" s="50"/>
      <c r="L316" s="50"/>
      <c r="M316" s="52"/>
      <c r="N316" s="51"/>
      <c r="O316" s="51"/>
      <c r="P316" s="53">
        <f t="shared" si="28"/>
        <v>0</v>
      </c>
      <c r="Q316" s="50"/>
      <c r="R316" s="50"/>
      <c r="S316" s="51"/>
      <c r="T316" s="50"/>
      <c r="U316" s="50"/>
      <c r="V316" s="50"/>
      <c r="W316" s="50"/>
      <c r="X316" s="50"/>
      <c r="Y316" s="50"/>
      <c r="Z316" s="50"/>
      <c r="AA316" s="50"/>
      <c r="AB316" s="50"/>
      <c r="AC316" s="53">
        <f t="shared" si="29"/>
        <v>0</v>
      </c>
      <c r="AD316" s="53">
        <f t="shared" si="30"/>
        <v>0</v>
      </c>
      <c r="AE316" s="53">
        <f t="shared" si="31"/>
        <v>0</v>
      </c>
      <c r="AF316" s="53">
        <f t="shared" si="32"/>
        <v>0</v>
      </c>
      <c r="AG316" s="53">
        <f t="shared" si="33"/>
        <v>0</v>
      </c>
      <c r="AH316" s="53">
        <f t="shared" si="34"/>
        <v>0</v>
      </c>
      <c r="AI316" s="50"/>
      <c r="AJ316" s="50"/>
      <c r="AK316" s="50"/>
    </row>
    <row r="317" spans="1:37" x14ac:dyDescent="0.2">
      <c r="A317" s="50"/>
      <c r="B317" s="50"/>
      <c r="C317" s="50"/>
      <c r="D317" s="50"/>
      <c r="E317" s="50"/>
      <c r="F317" s="50"/>
      <c r="G317" s="50"/>
      <c r="H317" s="50"/>
      <c r="I317" s="50"/>
      <c r="J317" s="50"/>
      <c r="K317" s="50"/>
      <c r="L317" s="50"/>
      <c r="M317" s="52"/>
      <c r="N317" s="51"/>
      <c r="O317" s="51"/>
      <c r="P317" s="53">
        <f t="shared" si="28"/>
        <v>0</v>
      </c>
      <c r="Q317" s="50"/>
      <c r="R317" s="50"/>
      <c r="S317" s="51"/>
      <c r="T317" s="50"/>
      <c r="U317" s="50"/>
      <c r="V317" s="50"/>
      <c r="W317" s="50"/>
      <c r="X317" s="50"/>
      <c r="Y317" s="50"/>
      <c r="Z317" s="50"/>
      <c r="AA317" s="50"/>
      <c r="AB317" s="50"/>
      <c r="AC317" s="53">
        <f t="shared" si="29"/>
        <v>0</v>
      </c>
      <c r="AD317" s="53">
        <f t="shared" si="30"/>
        <v>0</v>
      </c>
      <c r="AE317" s="53">
        <f t="shared" si="31"/>
        <v>0</v>
      </c>
      <c r="AF317" s="53">
        <f t="shared" si="32"/>
        <v>0</v>
      </c>
      <c r="AG317" s="53">
        <f t="shared" si="33"/>
        <v>0</v>
      </c>
      <c r="AH317" s="53">
        <f t="shared" si="34"/>
        <v>0</v>
      </c>
      <c r="AI317" s="50"/>
      <c r="AJ317" s="50"/>
      <c r="AK317" s="50"/>
    </row>
    <row r="318" spans="1:37" x14ac:dyDescent="0.2">
      <c r="A318" s="50"/>
      <c r="B318" s="50"/>
      <c r="C318" s="50"/>
      <c r="D318" s="50"/>
      <c r="E318" s="50"/>
      <c r="F318" s="50"/>
      <c r="G318" s="50"/>
      <c r="H318" s="50"/>
      <c r="I318" s="50"/>
      <c r="J318" s="50"/>
      <c r="K318" s="50"/>
      <c r="L318" s="50"/>
      <c r="M318" s="52"/>
      <c r="N318" s="51"/>
      <c r="O318" s="51"/>
      <c r="P318" s="53">
        <f t="shared" si="28"/>
        <v>0</v>
      </c>
      <c r="Q318" s="50"/>
      <c r="R318" s="50"/>
      <c r="S318" s="51"/>
      <c r="T318" s="50"/>
      <c r="U318" s="50"/>
      <c r="V318" s="50"/>
      <c r="W318" s="50"/>
      <c r="X318" s="50"/>
      <c r="Y318" s="50"/>
      <c r="Z318" s="50"/>
      <c r="AA318" s="50"/>
      <c r="AB318" s="50"/>
      <c r="AC318" s="53">
        <f t="shared" si="29"/>
        <v>0</v>
      </c>
      <c r="AD318" s="53">
        <f t="shared" si="30"/>
        <v>0</v>
      </c>
      <c r="AE318" s="53">
        <f t="shared" si="31"/>
        <v>0</v>
      </c>
      <c r="AF318" s="53">
        <f t="shared" si="32"/>
        <v>0</v>
      </c>
      <c r="AG318" s="53">
        <f t="shared" si="33"/>
        <v>0</v>
      </c>
      <c r="AH318" s="53">
        <f t="shared" si="34"/>
        <v>0</v>
      </c>
      <c r="AI318" s="50"/>
      <c r="AJ318" s="50"/>
      <c r="AK318" s="50"/>
    </row>
    <row r="319" spans="1:37" x14ac:dyDescent="0.2">
      <c r="A319" s="50"/>
      <c r="B319" s="50"/>
      <c r="C319" s="50"/>
      <c r="D319" s="50"/>
      <c r="E319" s="50"/>
      <c r="F319" s="50"/>
      <c r="G319" s="50"/>
      <c r="H319" s="50"/>
      <c r="I319" s="50"/>
      <c r="J319" s="50"/>
      <c r="K319" s="50"/>
      <c r="L319" s="50"/>
      <c r="M319" s="52"/>
      <c r="N319" s="51"/>
      <c r="O319" s="51"/>
      <c r="P319" s="53">
        <f t="shared" si="28"/>
        <v>0</v>
      </c>
      <c r="Q319" s="50"/>
      <c r="R319" s="50"/>
      <c r="S319" s="51"/>
      <c r="T319" s="50"/>
      <c r="U319" s="50"/>
      <c r="V319" s="50"/>
      <c r="W319" s="50"/>
      <c r="X319" s="50"/>
      <c r="Y319" s="50"/>
      <c r="Z319" s="50"/>
      <c r="AA319" s="50"/>
      <c r="AB319" s="50"/>
      <c r="AC319" s="53">
        <f t="shared" si="29"/>
        <v>0</v>
      </c>
      <c r="AD319" s="53">
        <f t="shared" si="30"/>
        <v>0</v>
      </c>
      <c r="AE319" s="53">
        <f t="shared" si="31"/>
        <v>0</v>
      </c>
      <c r="AF319" s="53">
        <f t="shared" si="32"/>
        <v>0</v>
      </c>
      <c r="AG319" s="53">
        <f t="shared" si="33"/>
        <v>0</v>
      </c>
      <c r="AH319" s="53">
        <f t="shared" si="34"/>
        <v>0</v>
      </c>
      <c r="AI319" s="50"/>
      <c r="AJ319" s="50"/>
      <c r="AK319" s="50"/>
    </row>
    <row r="320" spans="1:37" x14ac:dyDescent="0.2">
      <c r="A320" s="50"/>
      <c r="B320" s="50"/>
      <c r="C320" s="50"/>
      <c r="D320" s="50"/>
      <c r="E320" s="50"/>
      <c r="F320" s="50"/>
      <c r="G320" s="50"/>
      <c r="H320" s="50"/>
      <c r="I320" s="50"/>
      <c r="J320" s="50"/>
      <c r="K320" s="50"/>
      <c r="L320" s="50"/>
      <c r="M320" s="52"/>
      <c r="N320" s="51"/>
      <c r="O320" s="51"/>
      <c r="P320" s="53">
        <f t="shared" si="28"/>
        <v>0</v>
      </c>
      <c r="Q320" s="50"/>
      <c r="R320" s="50"/>
      <c r="S320" s="51"/>
      <c r="T320" s="50"/>
      <c r="U320" s="50"/>
      <c r="V320" s="50"/>
      <c r="W320" s="50"/>
      <c r="X320" s="50"/>
      <c r="Y320" s="50"/>
      <c r="Z320" s="50"/>
      <c r="AA320" s="50"/>
      <c r="AB320" s="50"/>
      <c r="AC320" s="53">
        <f t="shared" si="29"/>
        <v>0</v>
      </c>
      <c r="AD320" s="53">
        <f t="shared" si="30"/>
        <v>0</v>
      </c>
      <c r="AE320" s="53">
        <f t="shared" si="31"/>
        <v>0</v>
      </c>
      <c r="AF320" s="53">
        <f t="shared" si="32"/>
        <v>0</v>
      </c>
      <c r="AG320" s="53">
        <f t="shared" si="33"/>
        <v>0</v>
      </c>
      <c r="AH320" s="53">
        <f t="shared" si="34"/>
        <v>0</v>
      </c>
      <c r="AI320" s="50"/>
      <c r="AJ320" s="50"/>
      <c r="AK320" s="50"/>
    </row>
    <row r="321" spans="1:37" x14ac:dyDescent="0.2">
      <c r="A321" s="50"/>
      <c r="B321" s="50"/>
      <c r="C321" s="50"/>
      <c r="D321" s="50"/>
      <c r="E321" s="50"/>
      <c r="F321" s="50"/>
      <c r="G321" s="50"/>
      <c r="H321" s="50"/>
      <c r="I321" s="50"/>
      <c r="J321" s="50"/>
      <c r="K321" s="50"/>
      <c r="L321" s="50"/>
      <c r="M321" s="52"/>
      <c r="N321" s="51"/>
      <c r="O321" s="51"/>
      <c r="P321" s="53">
        <f t="shared" si="28"/>
        <v>0</v>
      </c>
      <c r="Q321" s="50"/>
      <c r="R321" s="50"/>
      <c r="S321" s="51"/>
      <c r="T321" s="50"/>
      <c r="U321" s="50"/>
      <c r="V321" s="50"/>
      <c r="W321" s="50"/>
      <c r="X321" s="50"/>
      <c r="Y321" s="50"/>
      <c r="Z321" s="50"/>
      <c r="AA321" s="50"/>
      <c r="AB321" s="50"/>
      <c r="AC321" s="53">
        <f t="shared" si="29"/>
        <v>0</v>
      </c>
      <c r="AD321" s="53">
        <f t="shared" si="30"/>
        <v>0</v>
      </c>
      <c r="AE321" s="53">
        <f t="shared" si="31"/>
        <v>0</v>
      </c>
      <c r="AF321" s="53">
        <f t="shared" si="32"/>
        <v>0</v>
      </c>
      <c r="AG321" s="53">
        <f t="shared" si="33"/>
        <v>0</v>
      </c>
      <c r="AH321" s="53">
        <f t="shared" si="34"/>
        <v>0</v>
      </c>
      <c r="AI321" s="50"/>
      <c r="AJ321" s="50"/>
      <c r="AK321" s="50"/>
    </row>
    <row r="322" spans="1:37" x14ac:dyDescent="0.2">
      <c r="A322" s="50"/>
      <c r="B322" s="50"/>
      <c r="C322" s="50"/>
      <c r="D322" s="50"/>
      <c r="E322" s="50"/>
      <c r="F322" s="50"/>
      <c r="G322" s="50"/>
      <c r="H322" s="50"/>
      <c r="I322" s="50"/>
      <c r="J322" s="50"/>
      <c r="K322" s="50"/>
      <c r="L322" s="50"/>
      <c r="M322" s="52"/>
      <c r="N322" s="51"/>
      <c r="O322" s="51"/>
      <c r="P322" s="53">
        <f t="shared" si="28"/>
        <v>0</v>
      </c>
      <c r="Q322" s="50"/>
      <c r="R322" s="50"/>
      <c r="S322" s="51"/>
      <c r="T322" s="50"/>
      <c r="U322" s="50"/>
      <c r="V322" s="50"/>
      <c r="W322" s="50"/>
      <c r="X322" s="50"/>
      <c r="Y322" s="50"/>
      <c r="Z322" s="50"/>
      <c r="AA322" s="50"/>
      <c r="AB322" s="50"/>
      <c r="AC322" s="53">
        <f t="shared" si="29"/>
        <v>0</v>
      </c>
      <c r="AD322" s="53">
        <f t="shared" si="30"/>
        <v>0</v>
      </c>
      <c r="AE322" s="53">
        <f t="shared" si="31"/>
        <v>0</v>
      </c>
      <c r="AF322" s="53">
        <f t="shared" si="32"/>
        <v>0</v>
      </c>
      <c r="AG322" s="53">
        <f t="shared" si="33"/>
        <v>0</v>
      </c>
      <c r="AH322" s="53">
        <f t="shared" si="34"/>
        <v>0</v>
      </c>
      <c r="AI322" s="50"/>
      <c r="AJ322" s="50"/>
      <c r="AK322" s="50"/>
    </row>
    <row r="323" spans="1:37" x14ac:dyDescent="0.2">
      <c r="A323" s="50"/>
      <c r="B323" s="50"/>
      <c r="C323" s="50"/>
      <c r="D323" s="50"/>
      <c r="E323" s="50"/>
      <c r="F323" s="50"/>
      <c r="G323" s="50"/>
      <c r="H323" s="50"/>
      <c r="I323" s="50"/>
      <c r="J323" s="50"/>
      <c r="K323" s="50"/>
      <c r="L323" s="50"/>
      <c r="M323" s="52"/>
      <c r="N323" s="51"/>
      <c r="O323" s="51"/>
      <c r="P323" s="53">
        <f t="shared" si="28"/>
        <v>0</v>
      </c>
      <c r="Q323" s="50"/>
      <c r="R323" s="50"/>
      <c r="S323" s="51"/>
      <c r="T323" s="50"/>
      <c r="U323" s="50"/>
      <c r="V323" s="50"/>
      <c r="W323" s="50"/>
      <c r="X323" s="50"/>
      <c r="Y323" s="50"/>
      <c r="Z323" s="50"/>
      <c r="AA323" s="50"/>
      <c r="AB323" s="50"/>
      <c r="AC323" s="53">
        <f t="shared" si="29"/>
        <v>0</v>
      </c>
      <c r="AD323" s="53">
        <f t="shared" si="30"/>
        <v>0</v>
      </c>
      <c r="AE323" s="53">
        <f t="shared" si="31"/>
        <v>0</v>
      </c>
      <c r="AF323" s="53">
        <f t="shared" si="32"/>
        <v>0</v>
      </c>
      <c r="AG323" s="53">
        <f t="shared" si="33"/>
        <v>0</v>
      </c>
      <c r="AH323" s="53">
        <f t="shared" si="34"/>
        <v>0</v>
      </c>
      <c r="AI323" s="50"/>
      <c r="AJ323" s="50"/>
      <c r="AK323" s="50"/>
    </row>
    <row r="324" spans="1:37" x14ac:dyDescent="0.2">
      <c r="A324" s="50"/>
      <c r="B324" s="50"/>
      <c r="C324" s="50"/>
      <c r="D324" s="50"/>
      <c r="E324" s="50"/>
      <c r="F324" s="50"/>
      <c r="G324" s="50"/>
      <c r="H324" s="50"/>
      <c r="I324" s="50"/>
      <c r="J324" s="50"/>
      <c r="K324" s="50"/>
      <c r="L324" s="50"/>
      <c r="M324" s="52"/>
      <c r="N324" s="51"/>
      <c r="O324" s="51"/>
      <c r="P324" s="53">
        <f t="shared" si="28"/>
        <v>0</v>
      </c>
      <c r="Q324" s="50"/>
      <c r="R324" s="50"/>
      <c r="S324" s="51"/>
      <c r="T324" s="50"/>
      <c r="U324" s="50"/>
      <c r="V324" s="50"/>
      <c r="W324" s="50"/>
      <c r="X324" s="50"/>
      <c r="Y324" s="50"/>
      <c r="Z324" s="50"/>
      <c r="AA324" s="50"/>
      <c r="AB324" s="50"/>
      <c r="AC324" s="53">
        <f t="shared" si="29"/>
        <v>0</v>
      </c>
      <c r="AD324" s="53">
        <f t="shared" si="30"/>
        <v>0</v>
      </c>
      <c r="AE324" s="53">
        <f t="shared" si="31"/>
        <v>0</v>
      </c>
      <c r="AF324" s="53">
        <f t="shared" si="32"/>
        <v>0</v>
      </c>
      <c r="AG324" s="53">
        <f t="shared" si="33"/>
        <v>0</v>
      </c>
      <c r="AH324" s="53">
        <f t="shared" si="34"/>
        <v>0</v>
      </c>
      <c r="AI324" s="50"/>
      <c r="AJ324" s="50"/>
      <c r="AK324" s="50"/>
    </row>
    <row r="325" spans="1:37" x14ac:dyDescent="0.2">
      <c r="A325" s="50"/>
      <c r="B325" s="50"/>
      <c r="C325" s="50"/>
      <c r="D325" s="50"/>
      <c r="E325" s="50"/>
      <c r="F325" s="50"/>
      <c r="G325" s="50"/>
      <c r="H325" s="50"/>
      <c r="I325" s="50"/>
      <c r="J325" s="50"/>
      <c r="K325" s="50"/>
      <c r="L325" s="50"/>
      <c r="M325" s="52"/>
      <c r="N325" s="51"/>
      <c r="O325" s="51"/>
      <c r="P325" s="53">
        <f t="shared" ref="P325:P388" si="35">IF(OR(M325="",M325=0),0,M325*(1-N325)*(1+O325))</f>
        <v>0</v>
      </c>
      <c r="Q325" s="50"/>
      <c r="R325" s="50"/>
      <c r="S325" s="51"/>
      <c r="T325" s="50"/>
      <c r="U325" s="50"/>
      <c r="V325" s="50"/>
      <c r="W325" s="50"/>
      <c r="X325" s="50"/>
      <c r="Y325" s="50"/>
      <c r="Z325" s="50"/>
      <c r="AA325" s="50"/>
      <c r="AB325" s="50"/>
      <c r="AC325" s="53">
        <f t="shared" ref="AC325:AC388" si="36">IFERROR(X325*$P325,0)</f>
        <v>0</v>
      </c>
      <c r="AD325" s="53">
        <f t="shared" ref="AD325:AD388" si="37">IFERROR(Y325*$P325,0)</f>
        <v>0</v>
      </c>
      <c r="AE325" s="53">
        <f t="shared" ref="AE325:AE388" si="38">IFERROR(Z325*$P325,0)</f>
        <v>0</v>
      </c>
      <c r="AF325" s="53">
        <f t="shared" ref="AF325:AF388" si="39">IFERROR(AA325*$P325,0)</f>
        <v>0</v>
      </c>
      <c r="AG325" s="53">
        <f t="shared" ref="AG325:AG388" si="40">IFERROR(AB325*$P325,0)</f>
        <v>0</v>
      </c>
      <c r="AH325" s="53">
        <f t="shared" ref="AH325:AH388" si="41">SUM(AC325:AG325)</f>
        <v>0</v>
      </c>
      <c r="AI325" s="50"/>
      <c r="AJ325" s="50"/>
      <c r="AK325" s="50"/>
    </row>
    <row r="326" spans="1:37" x14ac:dyDescent="0.2">
      <c r="A326" s="50"/>
      <c r="B326" s="50"/>
      <c r="C326" s="50"/>
      <c r="D326" s="50"/>
      <c r="E326" s="50"/>
      <c r="F326" s="50"/>
      <c r="G326" s="50"/>
      <c r="H326" s="50"/>
      <c r="I326" s="50"/>
      <c r="J326" s="50"/>
      <c r="K326" s="50"/>
      <c r="L326" s="50"/>
      <c r="M326" s="52"/>
      <c r="N326" s="51"/>
      <c r="O326" s="51"/>
      <c r="P326" s="53">
        <f t="shared" si="35"/>
        <v>0</v>
      </c>
      <c r="Q326" s="50"/>
      <c r="R326" s="50"/>
      <c r="S326" s="51"/>
      <c r="T326" s="50"/>
      <c r="U326" s="50"/>
      <c r="V326" s="50"/>
      <c r="W326" s="50"/>
      <c r="X326" s="50"/>
      <c r="Y326" s="50"/>
      <c r="Z326" s="50"/>
      <c r="AA326" s="50"/>
      <c r="AB326" s="50"/>
      <c r="AC326" s="53">
        <f t="shared" si="36"/>
        <v>0</v>
      </c>
      <c r="AD326" s="53">
        <f t="shared" si="37"/>
        <v>0</v>
      </c>
      <c r="AE326" s="53">
        <f t="shared" si="38"/>
        <v>0</v>
      </c>
      <c r="AF326" s="53">
        <f t="shared" si="39"/>
        <v>0</v>
      </c>
      <c r="AG326" s="53">
        <f t="shared" si="40"/>
        <v>0</v>
      </c>
      <c r="AH326" s="53">
        <f t="shared" si="41"/>
        <v>0</v>
      </c>
      <c r="AI326" s="50"/>
      <c r="AJ326" s="50"/>
      <c r="AK326" s="50"/>
    </row>
    <row r="327" spans="1:37" x14ac:dyDescent="0.2">
      <c r="A327" s="50"/>
      <c r="B327" s="50"/>
      <c r="C327" s="50"/>
      <c r="D327" s="50"/>
      <c r="E327" s="50"/>
      <c r="F327" s="50"/>
      <c r="G327" s="50"/>
      <c r="H327" s="50"/>
      <c r="I327" s="50"/>
      <c r="J327" s="50"/>
      <c r="K327" s="50"/>
      <c r="L327" s="50"/>
      <c r="M327" s="52"/>
      <c r="N327" s="51"/>
      <c r="O327" s="51"/>
      <c r="P327" s="53">
        <f t="shared" si="35"/>
        <v>0</v>
      </c>
      <c r="Q327" s="50"/>
      <c r="R327" s="50"/>
      <c r="S327" s="51"/>
      <c r="T327" s="50"/>
      <c r="U327" s="50"/>
      <c r="V327" s="50"/>
      <c r="W327" s="50"/>
      <c r="X327" s="50"/>
      <c r="Y327" s="50"/>
      <c r="Z327" s="50"/>
      <c r="AA327" s="50"/>
      <c r="AB327" s="50"/>
      <c r="AC327" s="53">
        <f t="shared" si="36"/>
        <v>0</v>
      </c>
      <c r="AD327" s="53">
        <f t="shared" si="37"/>
        <v>0</v>
      </c>
      <c r="AE327" s="53">
        <f t="shared" si="38"/>
        <v>0</v>
      </c>
      <c r="AF327" s="53">
        <f t="shared" si="39"/>
        <v>0</v>
      </c>
      <c r="AG327" s="53">
        <f t="shared" si="40"/>
        <v>0</v>
      </c>
      <c r="AH327" s="53">
        <f t="shared" si="41"/>
        <v>0</v>
      </c>
      <c r="AI327" s="50"/>
      <c r="AJ327" s="50"/>
      <c r="AK327" s="50"/>
    </row>
    <row r="328" spans="1:37" x14ac:dyDescent="0.2">
      <c r="A328" s="50"/>
      <c r="B328" s="50"/>
      <c r="C328" s="50"/>
      <c r="D328" s="50"/>
      <c r="E328" s="50"/>
      <c r="F328" s="50"/>
      <c r="G328" s="50"/>
      <c r="H328" s="50"/>
      <c r="I328" s="50"/>
      <c r="J328" s="50"/>
      <c r="K328" s="50"/>
      <c r="L328" s="50"/>
      <c r="M328" s="52"/>
      <c r="N328" s="51"/>
      <c r="O328" s="51"/>
      <c r="P328" s="53">
        <f t="shared" si="35"/>
        <v>0</v>
      </c>
      <c r="Q328" s="50"/>
      <c r="R328" s="50"/>
      <c r="S328" s="51"/>
      <c r="T328" s="50"/>
      <c r="U328" s="50"/>
      <c r="V328" s="50"/>
      <c r="W328" s="50"/>
      <c r="X328" s="50"/>
      <c r="Y328" s="50"/>
      <c r="Z328" s="50"/>
      <c r="AA328" s="50"/>
      <c r="AB328" s="50"/>
      <c r="AC328" s="53">
        <f t="shared" si="36"/>
        <v>0</v>
      </c>
      <c r="AD328" s="53">
        <f t="shared" si="37"/>
        <v>0</v>
      </c>
      <c r="AE328" s="53">
        <f t="shared" si="38"/>
        <v>0</v>
      </c>
      <c r="AF328" s="53">
        <f t="shared" si="39"/>
        <v>0</v>
      </c>
      <c r="AG328" s="53">
        <f t="shared" si="40"/>
        <v>0</v>
      </c>
      <c r="AH328" s="53">
        <f t="shared" si="41"/>
        <v>0</v>
      </c>
      <c r="AI328" s="50"/>
      <c r="AJ328" s="50"/>
      <c r="AK328" s="50"/>
    </row>
    <row r="329" spans="1:37" x14ac:dyDescent="0.2">
      <c r="A329" s="50"/>
      <c r="B329" s="50"/>
      <c r="C329" s="50"/>
      <c r="D329" s="50"/>
      <c r="E329" s="50"/>
      <c r="F329" s="50"/>
      <c r="G329" s="50"/>
      <c r="H329" s="50"/>
      <c r="I329" s="50"/>
      <c r="J329" s="50"/>
      <c r="K329" s="50"/>
      <c r="L329" s="50"/>
      <c r="M329" s="52"/>
      <c r="N329" s="51"/>
      <c r="O329" s="51"/>
      <c r="P329" s="53">
        <f t="shared" si="35"/>
        <v>0</v>
      </c>
      <c r="Q329" s="50"/>
      <c r="R329" s="50"/>
      <c r="S329" s="51"/>
      <c r="T329" s="50"/>
      <c r="U329" s="50"/>
      <c r="V329" s="50"/>
      <c r="W329" s="50"/>
      <c r="X329" s="50"/>
      <c r="Y329" s="50"/>
      <c r="Z329" s="50"/>
      <c r="AA329" s="50"/>
      <c r="AB329" s="50"/>
      <c r="AC329" s="53">
        <f t="shared" si="36"/>
        <v>0</v>
      </c>
      <c r="AD329" s="53">
        <f t="shared" si="37"/>
        <v>0</v>
      </c>
      <c r="AE329" s="53">
        <f t="shared" si="38"/>
        <v>0</v>
      </c>
      <c r="AF329" s="53">
        <f t="shared" si="39"/>
        <v>0</v>
      </c>
      <c r="AG329" s="53">
        <f t="shared" si="40"/>
        <v>0</v>
      </c>
      <c r="AH329" s="53">
        <f t="shared" si="41"/>
        <v>0</v>
      </c>
      <c r="AI329" s="50"/>
      <c r="AJ329" s="50"/>
      <c r="AK329" s="50"/>
    </row>
    <row r="330" spans="1:37" x14ac:dyDescent="0.2">
      <c r="A330" s="50"/>
      <c r="B330" s="50"/>
      <c r="C330" s="50"/>
      <c r="D330" s="50"/>
      <c r="E330" s="50"/>
      <c r="F330" s="50"/>
      <c r="G330" s="50"/>
      <c r="H330" s="50"/>
      <c r="I330" s="50"/>
      <c r="J330" s="50"/>
      <c r="K330" s="50"/>
      <c r="L330" s="50"/>
      <c r="M330" s="52"/>
      <c r="N330" s="51"/>
      <c r="O330" s="51"/>
      <c r="P330" s="53">
        <f t="shared" si="35"/>
        <v>0</v>
      </c>
      <c r="Q330" s="50"/>
      <c r="R330" s="50"/>
      <c r="S330" s="51"/>
      <c r="T330" s="50"/>
      <c r="U330" s="50"/>
      <c r="V330" s="50"/>
      <c r="W330" s="50"/>
      <c r="X330" s="50"/>
      <c r="Y330" s="50"/>
      <c r="Z330" s="50"/>
      <c r="AA330" s="50"/>
      <c r="AB330" s="50"/>
      <c r="AC330" s="53">
        <f t="shared" si="36"/>
        <v>0</v>
      </c>
      <c r="AD330" s="53">
        <f t="shared" si="37"/>
        <v>0</v>
      </c>
      <c r="AE330" s="53">
        <f t="shared" si="38"/>
        <v>0</v>
      </c>
      <c r="AF330" s="53">
        <f t="shared" si="39"/>
        <v>0</v>
      </c>
      <c r="AG330" s="53">
        <f t="shared" si="40"/>
        <v>0</v>
      </c>
      <c r="AH330" s="53">
        <f t="shared" si="41"/>
        <v>0</v>
      </c>
      <c r="AI330" s="50"/>
      <c r="AJ330" s="50"/>
      <c r="AK330" s="50"/>
    </row>
    <row r="331" spans="1:37" x14ac:dyDescent="0.2">
      <c r="A331" s="50"/>
      <c r="B331" s="50"/>
      <c r="C331" s="50"/>
      <c r="D331" s="50"/>
      <c r="E331" s="50"/>
      <c r="F331" s="50"/>
      <c r="G331" s="50"/>
      <c r="H331" s="50"/>
      <c r="I331" s="50"/>
      <c r="J331" s="50"/>
      <c r="K331" s="50"/>
      <c r="L331" s="50"/>
      <c r="M331" s="52"/>
      <c r="N331" s="51"/>
      <c r="O331" s="51"/>
      <c r="P331" s="53">
        <f t="shared" si="35"/>
        <v>0</v>
      </c>
      <c r="Q331" s="50"/>
      <c r="R331" s="50"/>
      <c r="S331" s="51"/>
      <c r="T331" s="50"/>
      <c r="U331" s="50"/>
      <c r="V331" s="50"/>
      <c r="W331" s="50"/>
      <c r="X331" s="50"/>
      <c r="Y331" s="50"/>
      <c r="Z331" s="50"/>
      <c r="AA331" s="50"/>
      <c r="AB331" s="50"/>
      <c r="AC331" s="53">
        <f t="shared" si="36"/>
        <v>0</v>
      </c>
      <c r="AD331" s="53">
        <f t="shared" si="37"/>
        <v>0</v>
      </c>
      <c r="AE331" s="53">
        <f t="shared" si="38"/>
        <v>0</v>
      </c>
      <c r="AF331" s="53">
        <f t="shared" si="39"/>
        <v>0</v>
      </c>
      <c r="AG331" s="53">
        <f t="shared" si="40"/>
        <v>0</v>
      </c>
      <c r="AH331" s="53">
        <f t="shared" si="41"/>
        <v>0</v>
      </c>
      <c r="AI331" s="50"/>
      <c r="AJ331" s="50"/>
      <c r="AK331" s="50"/>
    </row>
    <row r="332" spans="1:37" x14ac:dyDescent="0.2">
      <c r="A332" s="50"/>
      <c r="B332" s="50"/>
      <c r="C332" s="50"/>
      <c r="D332" s="50"/>
      <c r="E332" s="50"/>
      <c r="F332" s="50"/>
      <c r="G332" s="50"/>
      <c r="H332" s="50"/>
      <c r="I332" s="50"/>
      <c r="J332" s="50"/>
      <c r="K332" s="50"/>
      <c r="L332" s="50"/>
      <c r="M332" s="52"/>
      <c r="N332" s="51"/>
      <c r="O332" s="51"/>
      <c r="P332" s="53">
        <f t="shared" si="35"/>
        <v>0</v>
      </c>
      <c r="Q332" s="50"/>
      <c r="R332" s="50"/>
      <c r="S332" s="51"/>
      <c r="T332" s="50"/>
      <c r="U332" s="50"/>
      <c r="V332" s="50"/>
      <c r="W332" s="50"/>
      <c r="X332" s="50"/>
      <c r="Y332" s="50"/>
      <c r="Z332" s="50"/>
      <c r="AA332" s="50"/>
      <c r="AB332" s="50"/>
      <c r="AC332" s="53">
        <f t="shared" si="36"/>
        <v>0</v>
      </c>
      <c r="AD332" s="53">
        <f t="shared" si="37"/>
        <v>0</v>
      </c>
      <c r="AE332" s="53">
        <f t="shared" si="38"/>
        <v>0</v>
      </c>
      <c r="AF332" s="53">
        <f t="shared" si="39"/>
        <v>0</v>
      </c>
      <c r="AG332" s="53">
        <f t="shared" si="40"/>
        <v>0</v>
      </c>
      <c r="AH332" s="53">
        <f t="shared" si="41"/>
        <v>0</v>
      </c>
      <c r="AI332" s="50"/>
      <c r="AJ332" s="50"/>
      <c r="AK332" s="50"/>
    </row>
    <row r="333" spans="1:37" x14ac:dyDescent="0.2">
      <c r="A333" s="50"/>
      <c r="B333" s="50"/>
      <c r="C333" s="50"/>
      <c r="D333" s="50"/>
      <c r="E333" s="50"/>
      <c r="F333" s="50"/>
      <c r="G333" s="50"/>
      <c r="H333" s="50"/>
      <c r="I333" s="50"/>
      <c r="J333" s="50"/>
      <c r="K333" s="50"/>
      <c r="L333" s="50"/>
      <c r="M333" s="52"/>
      <c r="N333" s="51"/>
      <c r="O333" s="51"/>
      <c r="P333" s="53">
        <f t="shared" si="35"/>
        <v>0</v>
      </c>
      <c r="Q333" s="50"/>
      <c r="R333" s="50"/>
      <c r="S333" s="51"/>
      <c r="T333" s="50"/>
      <c r="U333" s="50"/>
      <c r="V333" s="50"/>
      <c r="W333" s="50"/>
      <c r="X333" s="50"/>
      <c r="Y333" s="50"/>
      <c r="Z333" s="50"/>
      <c r="AA333" s="50"/>
      <c r="AB333" s="50"/>
      <c r="AC333" s="53">
        <f t="shared" si="36"/>
        <v>0</v>
      </c>
      <c r="AD333" s="53">
        <f t="shared" si="37"/>
        <v>0</v>
      </c>
      <c r="AE333" s="53">
        <f t="shared" si="38"/>
        <v>0</v>
      </c>
      <c r="AF333" s="53">
        <f t="shared" si="39"/>
        <v>0</v>
      </c>
      <c r="AG333" s="53">
        <f t="shared" si="40"/>
        <v>0</v>
      </c>
      <c r="AH333" s="53">
        <f t="shared" si="41"/>
        <v>0</v>
      </c>
      <c r="AI333" s="50"/>
      <c r="AJ333" s="50"/>
      <c r="AK333" s="50"/>
    </row>
    <row r="334" spans="1:37" x14ac:dyDescent="0.2">
      <c r="A334" s="50"/>
      <c r="B334" s="50"/>
      <c r="C334" s="50"/>
      <c r="D334" s="50"/>
      <c r="E334" s="50"/>
      <c r="F334" s="50"/>
      <c r="G334" s="50"/>
      <c r="H334" s="50"/>
      <c r="I334" s="50"/>
      <c r="J334" s="50"/>
      <c r="K334" s="50"/>
      <c r="L334" s="50"/>
      <c r="M334" s="52"/>
      <c r="N334" s="51"/>
      <c r="O334" s="51"/>
      <c r="P334" s="53">
        <f t="shared" si="35"/>
        <v>0</v>
      </c>
      <c r="Q334" s="50"/>
      <c r="R334" s="50"/>
      <c r="S334" s="51"/>
      <c r="T334" s="50"/>
      <c r="U334" s="50"/>
      <c r="V334" s="50"/>
      <c r="W334" s="50"/>
      <c r="X334" s="50"/>
      <c r="Y334" s="50"/>
      <c r="Z334" s="50"/>
      <c r="AA334" s="50"/>
      <c r="AB334" s="50"/>
      <c r="AC334" s="53">
        <f t="shared" si="36"/>
        <v>0</v>
      </c>
      <c r="AD334" s="53">
        <f t="shared" si="37"/>
        <v>0</v>
      </c>
      <c r="AE334" s="53">
        <f t="shared" si="38"/>
        <v>0</v>
      </c>
      <c r="AF334" s="53">
        <f t="shared" si="39"/>
        <v>0</v>
      </c>
      <c r="AG334" s="53">
        <f t="shared" si="40"/>
        <v>0</v>
      </c>
      <c r="AH334" s="53">
        <f t="shared" si="41"/>
        <v>0</v>
      </c>
      <c r="AI334" s="50"/>
      <c r="AJ334" s="50"/>
      <c r="AK334" s="50"/>
    </row>
    <row r="335" spans="1:37" x14ac:dyDescent="0.2">
      <c r="A335" s="50"/>
      <c r="B335" s="50"/>
      <c r="C335" s="50"/>
      <c r="D335" s="50"/>
      <c r="E335" s="50"/>
      <c r="F335" s="50"/>
      <c r="G335" s="50"/>
      <c r="H335" s="50"/>
      <c r="I335" s="50"/>
      <c r="J335" s="50"/>
      <c r="K335" s="50"/>
      <c r="L335" s="50"/>
      <c r="M335" s="52"/>
      <c r="N335" s="51"/>
      <c r="O335" s="51"/>
      <c r="P335" s="53">
        <f t="shared" si="35"/>
        <v>0</v>
      </c>
      <c r="Q335" s="50"/>
      <c r="R335" s="50"/>
      <c r="S335" s="51"/>
      <c r="T335" s="50"/>
      <c r="U335" s="50"/>
      <c r="V335" s="50"/>
      <c r="W335" s="50"/>
      <c r="X335" s="50"/>
      <c r="Y335" s="50"/>
      <c r="Z335" s="50"/>
      <c r="AA335" s="50"/>
      <c r="AB335" s="50"/>
      <c r="AC335" s="53">
        <f t="shared" si="36"/>
        <v>0</v>
      </c>
      <c r="AD335" s="53">
        <f t="shared" si="37"/>
        <v>0</v>
      </c>
      <c r="AE335" s="53">
        <f t="shared" si="38"/>
        <v>0</v>
      </c>
      <c r="AF335" s="53">
        <f t="shared" si="39"/>
        <v>0</v>
      </c>
      <c r="AG335" s="53">
        <f t="shared" si="40"/>
        <v>0</v>
      </c>
      <c r="AH335" s="53">
        <f t="shared" si="41"/>
        <v>0</v>
      </c>
      <c r="AI335" s="50"/>
      <c r="AJ335" s="50"/>
      <c r="AK335" s="50"/>
    </row>
    <row r="336" spans="1:37" x14ac:dyDescent="0.2">
      <c r="A336" s="50"/>
      <c r="B336" s="50"/>
      <c r="C336" s="50"/>
      <c r="D336" s="50"/>
      <c r="E336" s="50"/>
      <c r="F336" s="50"/>
      <c r="G336" s="50"/>
      <c r="H336" s="50"/>
      <c r="I336" s="50"/>
      <c r="J336" s="50"/>
      <c r="K336" s="50"/>
      <c r="L336" s="50"/>
      <c r="M336" s="52"/>
      <c r="N336" s="51"/>
      <c r="O336" s="51"/>
      <c r="P336" s="53">
        <f t="shared" si="35"/>
        <v>0</v>
      </c>
      <c r="Q336" s="50"/>
      <c r="R336" s="50"/>
      <c r="S336" s="51"/>
      <c r="T336" s="50"/>
      <c r="U336" s="50"/>
      <c r="V336" s="50"/>
      <c r="W336" s="50"/>
      <c r="X336" s="50"/>
      <c r="Y336" s="50"/>
      <c r="Z336" s="50"/>
      <c r="AA336" s="50"/>
      <c r="AB336" s="50"/>
      <c r="AC336" s="53">
        <f t="shared" si="36"/>
        <v>0</v>
      </c>
      <c r="AD336" s="53">
        <f t="shared" si="37"/>
        <v>0</v>
      </c>
      <c r="AE336" s="53">
        <f t="shared" si="38"/>
        <v>0</v>
      </c>
      <c r="AF336" s="53">
        <f t="shared" si="39"/>
        <v>0</v>
      </c>
      <c r="AG336" s="53">
        <f t="shared" si="40"/>
        <v>0</v>
      </c>
      <c r="AH336" s="53">
        <f t="shared" si="41"/>
        <v>0</v>
      </c>
      <c r="AI336" s="50"/>
      <c r="AJ336" s="50"/>
      <c r="AK336" s="50"/>
    </row>
    <row r="337" spans="1:37" x14ac:dyDescent="0.2">
      <c r="A337" s="50"/>
      <c r="B337" s="50"/>
      <c r="C337" s="50"/>
      <c r="D337" s="50"/>
      <c r="E337" s="50"/>
      <c r="F337" s="50"/>
      <c r="G337" s="50"/>
      <c r="H337" s="50"/>
      <c r="I337" s="50"/>
      <c r="J337" s="50"/>
      <c r="K337" s="50"/>
      <c r="L337" s="50"/>
      <c r="M337" s="52"/>
      <c r="N337" s="51"/>
      <c r="O337" s="51"/>
      <c r="P337" s="53">
        <f t="shared" si="35"/>
        <v>0</v>
      </c>
      <c r="Q337" s="50"/>
      <c r="R337" s="50"/>
      <c r="S337" s="51"/>
      <c r="T337" s="50"/>
      <c r="U337" s="50"/>
      <c r="V337" s="50"/>
      <c r="W337" s="50"/>
      <c r="X337" s="50"/>
      <c r="Y337" s="50"/>
      <c r="Z337" s="50"/>
      <c r="AA337" s="50"/>
      <c r="AB337" s="50"/>
      <c r="AC337" s="53">
        <f t="shared" si="36"/>
        <v>0</v>
      </c>
      <c r="AD337" s="53">
        <f t="shared" si="37"/>
        <v>0</v>
      </c>
      <c r="AE337" s="53">
        <f t="shared" si="38"/>
        <v>0</v>
      </c>
      <c r="AF337" s="53">
        <f t="shared" si="39"/>
        <v>0</v>
      </c>
      <c r="AG337" s="53">
        <f t="shared" si="40"/>
        <v>0</v>
      </c>
      <c r="AH337" s="53">
        <f t="shared" si="41"/>
        <v>0</v>
      </c>
      <c r="AI337" s="50"/>
      <c r="AJ337" s="50"/>
      <c r="AK337" s="50"/>
    </row>
    <row r="338" spans="1:37" x14ac:dyDescent="0.2">
      <c r="A338" s="50"/>
      <c r="B338" s="50"/>
      <c r="C338" s="50"/>
      <c r="D338" s="50"/>
      <c r="E338" s="50"/>
      <c r="F338" s="50"/>
      <c r="G338" s="50"/>
      <c r="H338" s="50"/>
      <c r="I338" s="50"/>
      <c r="J338" s="50"/>
      <c r="K338" s="50"/>
      <c r="L338" s="50"/>
      <c r="M338" s="52"/>
      <c r="N338" s="51"/>
      <c r="O338" s="51"/>
      <c r="P338" s="53">
        <f t="shared" si="35"/>
        <v>0</v>
      </c>
      <c r="Q338" s="50"/>
      <c r="R338" s="50"/>
      <c r="S338" s="51"/>
      <c r="T338" s="50"/>
      <c r="U338" s="50"/>
      <c r="V338" s="50"/>
      <c r="W338" s="50"/>
      <c r="X338" s="50"/>
      <c r="Y338" s="50"/>
      <c r="Z338" s="50"/>
      <c r="AA338" s="50"/>
      <c r="AB338" s="50"/>
      <c r="AC338" s="53">
        <f t="shared" si="36"/>
        <v>0</v>
      </c>
      <c r="AD338" s="53">
        <f t="shared" si="37"/>
        <v>0</v>
      </c>
      <c r="AE338" s="53">
        <f t="shared" si="38"/>
        <v>0</v>
      </c>
      <c r="AF338" s="53">
        <f t="shared" si="39"/>
        <v>0</v>
      </c>
      <c r="AG338" s="53">
        <f t="shared" si="40"/>
        <v>0</v>
      </c>
      <c r="AH338" s="53">
        <f t="shared" si="41"/>
        <v>0</v>
      </c>
      <c r="AI338" s="50"/>
      <c r="AJ338" s="50"/>
      <c r="AK338" s="50"/>
    </row>
    <row r="339" spans="1:37" x14ac:dyDescent="0.2">
      <c r="A339" s="50"/>
      <c r="B339" s="50"/>
      <c r="C339" s="50"/>
      <c r="D339" s="50"/>
      <c r="E339" s="50"/>
      <c r="F339" s="50"/>
      <c r="G339" s="50"/>
      <c r="H339" s="50"/>
      <c r="I339" s="50"/>
      <c r="J339" s="50"/>
      <c r="K339" s="50"/>
      <c r="L339" s="50"/>
      <c r="M339" s="52"/>
      <c r="N339" s="51"/>
      <c r="O339" s="51"/>
      <c r="P339" s="53">
        <f t="shared" si="35"/>
        <v>0</v>
      </c>
      <c r="Q339" s="50"/>
      <c r="R339" s="50"/>
      <c r="S339" s="51"/>
      <c r="T339" s="50"/>
      <c r="U339" s="50"/>
      <c r="V339" s="50"/>
      <c r="W339" s="50"/>
      <c r="X339" s="50"/>
      <c r="Y339" s="50"/>
      <c r="Z339" s="50"/>
      <c r="AA339" s="50"/>
      <c r="AB339" s="50"/>
      <c r="AC339" s="53">
        <f t="shared" si="36"/>
        <v>0</v>
      </c>
      <c r="AD339" s="53">
        <f t="shared" si="37"/>
        <v>0</v>
      </c>
      <c r="AE339" s="53">
        <f t="shared" si="38"/>
        <v>0</v>
      </c>
      <c r="AF339" s="53">
        <f t="shared" si="39"/>
        <v>0</v>
      </c>
      <c r="AG339" s="53">
        <f t="shared" si="40"/>
        <v>0</v>
      </c>
      <c r="AH339" s="53">
        <f t="shared" si="41"/>
        <v>0</v>
      </c>
      <c r="AI339" s="50"/>
      <c r="AJ339" s="50"/>
      <c r="AK339" s="50"/>
    </row>
    <row r="340" spans="1:37" x14ac:dyDescent="0.2">
      <c r="A340" s="50"/>
      <c r="B340" s="50"/>
      <c r="C340" s="50"/>
      <c r="D340" s="50"/>
      <c r="E340" s="50"/>
      <c r="F340" s="50"/>
      <c r="G340" s="50"/>
      <c r="H340" s="50"/>
      <c r="I340" s="50"/>
      <c r="J340" s="50"/>
      <c r="K340" s="50"/>
      <c r="L340" s="50"/>
      <c r="M340" s="52"/>
      <c r="N340" s="51"/>
      <c r="O340" s="51"/>
      <c r="P340" s="53">
        <f t="shared" si="35"/>
        <v>0</v>
      </c>
      <c r="Q340" s="50"/>
      <c r="R340" s="50"/>
      <c r="S340" s="51"/>
      <c r="T340" s="50"/>
      <c r="U340" s="50"/>
      <c r="V340" s="50"/>
      <c r="W340" s="50"/>
      <c r="X340" s="50"/>
      <c r="Y340" s="50"/>
      <c r="Z340" s="50"/>
      <c r="AA340" s="50"/>
      <c r="AB340" s="50"/>
      <c r="AC340" s="53">
        <f t="shared" si="36"/>
        <v>0</v>
      </c>
      <c r="AD340" s="53">
        <f t="shared" si="37"/>
        <v>0</v>
      </c>
      <c r="AE340" s="53">
        <f t="shared" si="38"/>
        <v>0</v>
      </c>
      <c r="AF340" s="53">
        <f t="shared" si="39"/>
        <v>0</v>
      </c>
      <c r="AG340" s="53">
        <f t="shared" si="40"/>
        <v>0</v>
      </c>
      <c r="AH340" s="53">
        <f t="shared" si="41"/>
        <v>0</v>
      </c>
      <c r="AI340" s="50"/>
      <c r="AJ340" s="50"/>
      <c r="AK340" s="50"/>
    </row>
    <row r="341" spans="1:37" x14ac:dyDescent="0.2">
      <c r="A341" s="50"/>
      <c r="B341" s="50"/>
      <c r="C341" s="50"/>
      <c r="D341" s="50"/>
      <c r="E341" s="50"/>
      <c r="F341" s="50"/>
      <c r="G341" s="50"/>
      <c r="H341" s="50"/>
      <c r="I341" s="50"/>
      <c r="J341" s="50"/>
      <c r="K341" s="50"/>
      <c r="L341" s="50"/>
      <c r="M341" s="52"/>
      <c r="N341" s="51"/>
      <c r="O341" s="51"/>
      <c r="P341" s="53">
        <f t="shared" si="35"/>
        <v>0</v>
      </c>
      <c r="Q341" s="50"/>
      <c r="R341" s="50"/>
      <c r="S341" s="51"/>
      <c r="T341" s="50"/>
      <c r="U341" s="50"/>
      <c r="V341" s="50"/>
      <c r="W341" s="50"/>
      <c r="X341" s="50"/>
      <c r="Y341" s="50"/>
      <c r="Z341" s="50"/>
      <c r="AA341" s="50"/>
      <c r="AB341" s="50"/>
      <c r="AC341" s="53">
        <f t="shared" si="36"/>
        <v>0</v>
      </c>
      <c r="AD341" s="53">
        <f t="shared" si="37"/>
        <v>0</v>
      </c>
      <c r="AE341" s="53">
        <f t="shared" si="38"/>
        <v>0</v>
      </c>
      <c r="AF341" s="53">
        <f t="shared" si="39"/>
        <v>0</v>
      </c>
      <c r="AG341" s="53">
        <f t="shared" si="40"/>
        <v>0</v>
      </c>
      <c r="AH341" s="53">
        <f t="shared" si="41"/>
        <v>0</v>
      </c>
      <c r="AI341" s="50"/>
      <c r="AJ341" s="50"/>
      <c r="AK341" s="50"/>
    </row>
    <row r="342" spans="1:37" x14ac:dyDescent="0.2">
      <c r="A342" s="50"/>
      <c r="B342" s="50"/>
      <c r="C342" s="50"/>
      <c r="D342" s="50"/>
      <c r="E342" s="50"/>
      <c r="F342" s="50"/>
      <c r="G342" s="50"/>
      <c r="H342" s="50"/>
      <c r="I342" s="50"/>
      <c r="J342" s="50"/>
      <c r="K342" s="50"/>
      <c r="L342" s="50"/>
      <c r="M342" s="52"/>
      <c r="N342" s="51"/>
      <c r="O342" s="51"/>
      <c r="P342" s="53">
        <f t="shared" si="35"/>
        <v>0</v>
      </c>
      <c r="Q342" s="50"/>
      <c r="R342" s="50"/>
      <c r="S342" s="51"/>
      <c r="T342" s="50"/>
      <c r="U342" s="50"/>
      <c r="V342" s="50"/>
      <c r="W342" s="50"/>
      <c r="X342" s="50"/>
      <c r="Y342" s="50"/>
      <c r="Z342" s="50"/>
      <c r="AA342" s="50"/>
      <c r="AB342" s="50"/>
      <c r="AC342" s="53">
        <f t="shared" si="36"/>
        <v>0</v>
      </c>
      <c r="AD342" s="53">
        <f t="shared" si="37"/>
        <v>0</v>
      </c>
      <c r="AE342" s="53">
        <f t="shared" si="38"/>
        <v>0</v>
      </c>
      <c r="AF342" s="53">
        <f t="shared" si="39"/>
        <v>0</v>
      </c>
      <c r="AG342" s="53">
        <f t="shared" si="40"/>
        <v>0</v>
      </c>
      <c r="AH342" s="53">
        <f t="shared" si="41"/>
        <v>0</v>
      </c>
      <c r="AI342" s="50"/>
      <c r="AJ342" s="50"/>
      <c r="AK342" s="50"/>
    </row>
    <row r="343" spans="1:37" x14ac:dyDescent="0.2">
      <c r="A343" s="50"/>
      <c r="B343" s="50"/>
      <c r="C343" s="50"/>
      <c r="D343" s="50"/>
      <c r="E343" s="50"/>
      <c r="F343" s="50"/>
      <c r="G343" s="50"/>
      <c r="H343" s="50"/>
      <c r="I343" s="50"/>
      <c r="J343" s="50"/>
      <c r="K343" s="50"/>
      <c r="L343" s="50"/>
      <c r="M343" s="52"/>
      <c r="N343" s="51"/>
      <c r="O343" s="51"/>
      <c r="P343" s="53">
        <f t="shared" si="35"/>
        <v>0</v>
      </c>
      <c r="Q343" s="50"/>
      <c r="R343" s="50"/>
      <c r="S343" s="51"/>
      <c r="T343" s="50"/>
      <c r="U343" s="50"/>
      <c r="V343" s="50"/>
      <c r="W343" s="50"/>
      <c r="X343" s="50"/>
      <c r="Y343" s="50"/>
      <c r="Z343" s="50"/>
      <c r="AA343" s="50"/>
      <c r="AB343" s="50"/>
      <c r="AC343" s="53">
        <f t="shared" si="36"/>
        <v>0</v>
      </c>
      <c r="AD343" s="53">
        <f t="shared" si="37"/>
        <v>0</v>
      </c>
      <c r="AE343" s="53">
        <f t="shared" si="38"/>
        <v>0</v>
      </c>
      <c r="AF343" s="53">
        <f t="shared" si="39"/>
        <v>0</v>
      </c>
      <c r="AG343" s="53">
        <f t="shared" si="40"/>
        <v>0</v>
      </c>
      <c r="AH343" s="53">
        <f t="shared" si="41"/>
        <v>0</v>
      </c>
      <c r="AI343" s="50"/>
      <c r="AJ343" s="50"/>
      <c r="AK343" s="50"/>
    </row>
    <row r="344" spans="1:37" x14ac:dyDescent="0.2">
      <c r="A344" s="50"/>
      <c r="B344" s="50"/>
      <c r="C344" s="50"/>
      <c r="D344" s="50"/>
      <c r="E344" s="50"/>
      <c r="F344" s="50"/>
      <c r="G344" s="50"/>
      <c r="H344" s="50"/>
      <c r="I344" s="50"/>
      <c r="J344" s="50"/>
      <c r="K344" s="50"/>
      <c r="L344" s="50"/>
      <c r="M344" s="52"/>
      <c r="N344" s="51"/>
      <c r="O344" s="51"/>
      <c r="P344" s="53">
        <f t="shared" si="35"/>
        <v>0</v>
      </c>
      <c r="Q344" s="50"/>
      <c r="R344" s="50"/>
      <c r="S344" s="51"/>
      <c r="T344" s="50"/>
      <c r="U344" s="50"/>
      <c r="V344" s="50"/>
      <c r="W344" s="50"/>
      <c r="X344" s="50"/>
      <c r="Y344" s="50"/>
      <c r="Z344" s="50"/>
      <c r="AA344" s="50"/>
      <c r="AB344" s="50"/>
      <c r="AC344" s="53">
        <f t="shared" si="36"/>
        <v>0</v>
      </c>
      <c r="AD344" s="53">
        <f t="shared" si="37"/>
        <v>0</v>
      </c>
      <c r="AE344" s="53">
        <f t="shared" si="38"/>
        <v>0</v>
      </c>
      <c r="AF344" s="53">
        <f t="shared" si="39"/>
        <v>0</v>
      </c>
      <c r="AG344" s="53">
        <f t="shared" si="40"/>
        <v>0</v>
      </c>
      <c r="AH344" s="53">
        <f t="shared" si="41"/>
        <v>0</v>
      </c>
      <c r="AI344" s="50"/>
      <c r="AJ344" s="50"/>
      <c r="AK344" s="50"/>
    </row>
    <row r="345" spans="1:37" x14ac:dyDescent="0.2">
      <c r="A345" s="50"/>
      <c r="B345" s="50"/>
      <c r="C345" s="50"/>
      <c r="D345" s="50"/>
      <c r="E345" s="50"/>
      <c r="F345" s="50"/>
      <c r="G345" s="50"/>
      <c r="H345" s="50"/>
      <c r="I345" s="50"/>
      <c r="J345" s="50"/>
      <c r="K345" s="50"/>
      <c r="L345" s="50"/>
      <c r="M345" s="52"/>
      <c r="N345" s="51"/>
      <c r="O345" s="51"/>
      <c r="P345" s="53">
        <f t="shared" si="35"/>
        <v>0</v>
      </c>
      <c r="Q345" s="50"/>
      <c r="R345" s="50"/>
      <c r="S345" s="51"/>
      <c r="T345" s="50"/>
      <c r="U345" s="50"/>
      <c r="V345" s="50"/>
      <c r="W345" s="50"/>
      <c r="X345" s="50"/>
      <c r="Y345" s="50"/>
      <c r="Z345" s="50"/>
      <c r="AA345" s="50"/>
      <c r="AB345" s="50"/>
      <c r="AC345" s="53">
        <f t="shared" si="36"/>
        <v>0</v>
      </c>
      <c r="AD345" s="53">
        <f t="shared" si="37"/>
        <v>0</v>
      </c>
      <c r="AE345" s="53">
        <f t="shared" si="38"/>
        <v>0</v>
      </c>
      <c r="AF345" s="53">
        <f t="shared" si="39"/>
        <v>0</v>
      </c>
      <c r="AG345" s="53">
        <f t="shared" si="40"/>
        <v>0</v>
      </c>
      <c r="AH345" s="53">
        <f t="shared" si="41"/>
        <v>0</v>
      </c>
      <c r="AI345" s="50"/>
      <c r="AJ345" s="50"/>
      <c r="AK345" s="50"/>
    </row>
    <row r="346" spans="1:37" x14ac:dyDescent="0.2">
      <c r="A346" s="50"/>
      <c r="B346" s="50"/>
      <c r="C346" s="50"/>
      <c r="D346" s="50"/>
      <c r="E346" s="50"/>
      <c r="F346" s="50"/>
      <c r="G346" s="50"/>
      <c r="H346" s="50"/>
      <c r="I346" s="50"/>
      <c r="J346" s="50"/>
      <c r="K346" s="50"/>
      <c r="L346" s="50"/>
      <c r="M346" s="52"/>
      <c r="N346" s="51"/>
      <c r="O346" s="51"/>
      <c r="P346" s="53">
        <f t="shared" si="35"/>
        <v>0</v>
      </c>
      <c r="Q346" s="50"/>
      <c r="R346" s="50"/>
      <c r="S346" s="51"/>
      <c r="T346" s="50"/>
      <c r="U346" s="50"/>
      <c r="V346" s="50"/>
      <c r="W346" s="50"/>
      <c r="X346" s="50"/>
      <c r="Y346" s="50"/>
      <c r="Z346" s="50"/>
      <c r="AA346" s="50"/>
      <c r="AB346" s="50"/>
      <c r="AC346" s="53">
        <f t="shared" si="36"/>
        <v>0</v>
      </c>
      <c r="AD346" s="53">
        <f t="shared" si="37"/>
        <v>0</v>
      </c>
      <c r="AE346" s="53">
        <f t="shared" si="38"/>
        <v>0</v>
      </c>
      <c r="AF346" s="53">
        <f t="shared" si="39"/>
        <v>0</v>
      </c>
      <c r="AG346" s="53">
        <f t="shared" si="40"/>
        <v>0</v>
      </c>
      <c r="AH346" s="53">
        <f t="shared" si="41"/>
        <v>0</v>
      </c>
      <c r="AI346" s="50"/>
      <c r="AJ346" s="50"/>
      <c r="AK346" s="50"/>
    </row>
    <row r="347" spans="1:37" x14ac:dyDescent="0.2">
      <c r="A347" s="50"/>
      <c r="B347" s="50"/>
      <c r="C347" s="50"/>
      <c r="D347" s="50"/>
      <c r="E347" s="50"/>
      <c r="F347" s="50"/>
      <c r="G347" s="50"/>
      <c r="H347" s="50"/>
      <c r="I347" s="50"/>
      <c r="J347" s="50"/>
      <c r="K347" s="50"/>
      <c r="L347" s="50"/>
      <c r="M347" s="52"/>
      <c r="N347" s="51"/>
      <c r="O347" s="51"/>
      <c r="P347" s="53">
        <f t="shared" si="35"/>
        <v>0</v>
      </c>
      <c r="Q347" s="50"/>
      <c r="R347" s="50"/>
      <c r="S347" s="51"/>
      <c r="T347" s="50"/>
      <c r="U347" s="50"/>
      <c r="V347" s="50"/>
      <c r="W347" s="50"/>
      <c r="X347" s="50"/>
      <c r="Y347" s="50"/>
      <c r="Z347" s="50"/>
      <c r="AA347" s="50"/>
      <c r="AB347" s="50"/>
      <c r="AC347" s="53">
        <f t="shared" si="36"/>
        <v>0</v>
      </c>
      <c r="AD347" s="53">
        <f t="shared" si="37"/>
        <v>0</v>
      </c>
      <c r="AE347" s="53">
        <f t="shared" si="38"/>
        <v>0</v>
      </c>
      <c r="AF347" s="53">
        <f t="shared" si="39"/>
        <v>0</v>
      </c>
      <c r="AG347" s="53">
        <f t="shared" si="40"/>
        <v>0</v>
      </c>
      <c r="AH347" s="53">
        <f t="shared" si="41"/>
        <v>0</v>
      </c>
      <c r="AI347" s="50"/>
      <c r="AJ347" s="50"/>
      <c r="AK347" s="50"/>
    </row>
    <row r="348" spans="1:37" x14ac:dyDescent="0.2">
      <c r="A348" s="50"/>
      <c r="B348" s="50"/>
      <c r="C348" s="50"/>
      <c r="D348" s="50"/>
      <c r="E348" s="50"/>
      <c r="F348" s="50"/>
      <c r="G348" s="50"/>
      <c r="H348" s="50"/>
      <c r="I348" s="50"/>
      <c r="J348" s="50"/>
      <c r="K348" s="50"/>
      <c r="L348" s="50"/>
      <c r="M348" s="52"/>
      <c r="N348" s="51"/>
      <c r="O348" s="51"/>
      <c r="P348" s="53">
        <f t="shared" si="35"/>
        <v>0</v>
      </c>
      <c r="Q348" s="50"/>
      <c r="R348" s="50"/>
      <c r="S348" s="51"/>
      <c r="T348" s="50"/>
      <c r="U348" s="50"/>
      <c r="V348" s="50"/>
      <c r="W348" s="50"/>
      <c r="X348" s="50"/>
      <c r="Y348" s="50"/>
      <c r="Z348" s="50"/>
      <c r="AA348" s="50"/>
      <c r="AB348" s="50"/>
      <c r="AC348" s="53">
        <f t="shared" si="36"/>
        <v>0</v>
      </c>
      <c r="AD348" s="53">
        <f t="shared" si="37"/>
        <v>0</v>
      </c>
      <c r="AE348" s="53">
        <f t="shared" si="38"/>
        <v>0</v>
      </c>
      <c r="AF348" s="53">
        <f t="shared" si="39"/>
        <v>0</v>
      </c>
      <c r="AG348" s="53">
        <f t="shared" si="40"/>
        <v>0</v>
      </c>
      <c r="AH348" s="53">
        <f t="shared" si="41"/>
        <v>0</v>
      </c>
      <c r="AI348" s="50"/>
      <c r="AJ348" s="50"/>
      <c r="AK348" s="50"/>
    </row>
    <row r="349" spans="1:37" x14ac:dyDescent="0.2">
      <c r="A349" s="50"/>
      <c r="B349" s="50"/>
      <c r="C349" s="50"/>
      <c r="D349" s="50"/>
      <c r="E349" s="50"/>
      <c r="F349" s="50"/>
      <c r="G349" s="50"/>
      <c r="H349" s="50"/>
      <c r="I349" s="50"/>
      <c r="J349" s="50"/>
      <c r="K349" s="50"/>
      <c r="L349" s="50"/>
      <c r="M349" s="52"/>
      <c r="N349" s="51"/>
      <c r="O349" s="51"/>
      <c r="P349" s="53">
        <f t="shared" si="35"/>
        <v>0</v>
      </c>
      <c r="Q349" s="50"/>
      <c r="R349" s="50"/>
      <c r="S349" s="51"/>
      <c r="T349" s="50"/>
      <c r="U349" s="50"/>
      <c r="V349" s="50"/>
      <c r="W349" s="50"/>
      <c r="X349" s="50"/>
      <c r="Y349" s="50"/>
      <c r="Z349" s="50"/>
      <c r="AA349" s="50"/>
      <c r="AB349" s="50"/>
      <c r="AC349" s="53">
        <f t="shared" si="36"/>
        <v>0</v>
      </c>
      <c r="AD349" s="53">
        <f t="shared" si="37"/>
        <v>0</v>
      </c>
      <c r="AE349" s="53">
        <f t="shared" si="38"/>
        <v>0</v>
      </c>
      <c r="AF349" s="53">
        <f t="shared" si="39"/>
        <v>0</v>
      </c>
      <c r="AG349" s="53">
        <f t="shared" si="40"/>
        <v>0</v>
      </c>
      <c r="AH349" s="53">
        <f t="shared" si="41"/>
        <v>0</v>
      </c>
      <c r="AI349" s="50"/>
      <c r="AJ349" s="50"/>
      <c r="AK349" s="50"/>
    </row>
    <row r="350" spans="1:37" x14ac:dyDescent="0.2">
      <c r="A350" s="50"/>
      <c r="B350" s="50"/>
      <c r="C350" s="50"/>
      <c r="D350" s="50"/>
      <c r="E350" s="50"/>
      <c r="F350" s="50"/>
      <c r="G350" s="50"/>
      <c r="H350" s="50"/>
      <c r="I350" s="50"/>
      <c r="J350" s="50"/>
      <c r="K350" s="50"/>
      <c r="L350" s="50"/>
      <c r="M350" s="52"/>
      <c r="N350" s="51"/>
      <c r="O350" s="51"/>
      <c r="P350" s="53">
        <f t="shared" si="35"/>
        <v>0</v>
      </c>
      <c r="Q350" s="50"/>
      <c r="R350" s="50"/>
      <c r="S350" s="51"/>
      <c r="T350" s="50"/>
      <c r="U350" s="50"/>
      <c r="V350" s="50"/>
      <c r="W350" s="50"/>
      <c r="X350" s="50"/>
      <c r="Y350" s="50"/>
      <c r="Z350" s="50"/>
      <c r="AA350" s="50"/>
      <c r="AB350" s="50"/>
      <c r="AC350" s="53">
        <f t="shared" si="36"/>
        <v>0</v>
      </c>
      <c r="AD350" s="53">
        <f t="shared" si="37"/>
        <v>0</v>
      </c>
      <c r="AE350" s="53">
        <f t="shared" si="38"/>
        <v>0</v>
      </c>
      <c r="AF350" s="53">
        <f t="shared" si="39"/>
        <v>0</v>
      </c>
      <c r="AG350" s="53">
        <f t="shared" si="40"/>
        <v>0</v>
      </c>
      <c r="AH350" s="53">
        <f t="shared" si="41"/>
        <v>0</v>
      </c>
      <c r="AI350" s="50"/>
      <c r="AJ350" s="50"/>
      <c r="AK350" s="50"/>
    </row>
    <row r="351" spans="1:37" x14ac:dyDescent="0.2">
      <c r="A351" s="50"/>
      <c r="B351" s="50"/>
      <c r="C351" s="50"/>
      <c r="D351" s="50"/>
      <c r="E351" s="50"/>
      <c r="F351" s="50"/>
      <c r="G351" s="50"/>
      <c r="H351" s="50"/>
      <c r="I351" s="50"/>
      <c r="J351" s="50"/>
      <c r="K351" s="50"/>
      <c r="L351" s="50"/>
      <c r="M351" s="52"/>
      <c r="N351" s="51"/>
      <c r="O351" s="51"/>
      <c r="P351" s="53">
        <f t="shared" si="35"/>
        <v>0</v>
      </c>
      <c r="Q351" s="50"/>
      <c r="R351" s="50"/>
      <c r="S351" s="51"/>
      <c r="T351" s="50"/>
      <c r="U351" s="50"/>
      <c r="V351" s="50"/>
      <c r="W351" s="50"/>
      <c r="X351" s="50"/>
      <c r="Y351" s="50"/>
      <c r="Z351" s="50"/>
      <c r="AA351" s="50"/>
      <c r="AB351" s="50"/>
      <c r="AC351" s="53">
        <f t="shared" si="36"/>
        <v>0</v>
      </c>
      <c r="AD351" s="53">
        <f t="shared" si="37"/>
        <v>0</v>
      </c>
      <c r="AE351" s="53">
        <f t="shared" si="38"/>
        <v>0</v>
      </c>
      <c r="AF351" s="53">
        <f t="shared" si="39"/>
        <v>0</v>
      </c>
      <c r="AG351" s="53">
        <f t="shared" si="40"/>
        <v>0</v>
      </c>
      <c r="AH351" s="53">
        <f t="shared" si="41"/>
        <v>0</v>
      </c>
      <c r="AI351" s="50"/>
      <c r="AJ351" s="50"/>
      <c r="AK351" s="50"/>
    </row>
    <row r="352" spans="1:37" x14ac:dyDescent="0.2">
      <c r="A352" s="50"/>
      <c r="B352" s="50"/>
      <c r="C352" s="50"/>
      <c r="D352" s="50"/>
      <c r="E352" s="50"/>
      <c r="F352" s="50"/>
      <c r="G352" s="50"/>
      <c r="H352" s="50"/>
      <c r="I352" s="50"/>
      <c r="J352" s="50"/>
      <c r="K352" s="50"/>
      <c r="L352" s="50"/>
      <c r="M352" s="52"/>
      <c r="N352" s="51"/>
      <c r="O352" s="51"/>
      <c r="P352" s="53">
        <f t="shared" si="35"/>
        <v>0</v>
      </c>
      <c r="Q352" s="50"/>
      <c r="R352" s="50"/>
      <c r="S352" s="51"/>
      <c r="T352" s="50"/>
      <c r="U352" s="50"/>
      <c r="V352" s="50"/>
      <c r="W352" s="50"/>
      <c r="X352" s="50"/>
      <c r="Y352" s="50"/>
      <c r="Z352" s="50"/>
      <c r="AA352" s="50"/>
      <c r="AB352" s="50"/>
      <c r="AC352" s="53">
        <f t="shared" si="36"/>
        <v>0</v>
      </c>
      <c r="AD352" s="53">
        <f t="shared" si="37"/>
        <v>0</v>
      </c>
      <c r="AE352" s="53">
        <f t="shared" si="38"/>
        <v>0</v>
      </c>
      <c r="AF352" s="53">
        <f t="shared" si="39"/>
        <v>0</v>
      </c>
      <c r="AG352" s="53">
        <f t="shared" si="40"/>
        <v>0</v>
      </c>
      <c r="AH352" s="53">
        <f t="shared" si="41"/>
        <v>0</v>
      </c>
      <c r="AI352" s="50"/>
      <c r="AJ352" s="50"/>
      <c r="AK352" s="50"/>
    </row>
    <row r="353" spans="1:37" x14ac:dyDescent="0.2">
      <c r="A353" s="50"/>
      <c r="B353" s="50"/>
      <c r="C353" s="50"/>
      <c r="D353" s="50"/>
      <c r="E353" s="50"/>
      <c r="F353" s="50"/>
      <c r="G353" s="50"/>
      <c r="H353" s="50"/>
      <c r="I353" s="50"/>
      <c r="J353" s="50"/>
      <c r="K353" s="50"/>
      <c r="L353" s="50"/>
      <c r="M353" s="52"/>
      <c r="N353" s="51"/>
      <c r="O353" s="51"/>
      <c r="P353" s="53">
        <f t="shared" si="35"/>
        <v>0</v>
      </c>
      <c r="Q353" s="50"/>
      <c r="R353" s="50"/>
      <c r="S353" s="51"/>
      <c r="T353" s="50"/>
      <c r="U353" s="50"/>
      <c r="V353" s="50"/>
      <c r="W353" s="50"/>
      <c r="X353" s="50"/>
      <c r="Y353" s="50"/>
      <c r="Z353" s="50"/>
      <c r="AA353" s="50"/>
      <c r="AB353" s="50"/>
      <c r="AC353" s="53">
        <f t="shared" si="36"/>
        <v>0</v>
      </c>
      <c r="AD353" s="53">
        <f t="shared" si="37"/>
        <v>0</v>
      </c>
      <c r="AE353" s="53">
        <f t="shared" si="38"/>
        <v>0</v>
      </c>
      <c r="AF353" s="53">
        <f t="shared" si="39"/>
        <v>0</v>
      </c>
      <c r="AG353" s="53">
        <f t="shared" si="40"/>
        <v>0</v>
      </c>
      <c r="AH353" s="53">
        <f t="shared" si="41"/>
        <v>0</v>
      </c>
      <c r="AI353" s="50"/>
      <c r="AJ353" s="50"/>
      <c r="AK353" s="50"/>
    </row>
    <row r="354" spans="1:37" x14ac:dyDescent="0.2">
      <c r="A354" s="50"/>
      <c r="B354" s="50"/>
      <c r="C354" s="50"/>
      <c r="D354" s="50"/>
      <c r="E354" s="50"/>
      <c r="F354" s="50"/>
      <c r="G354" s="50"/>
      <c r="H354" s="50"/>
      <c r="I354" s="50"/>
      <c r="J354" s="50"/>
      <c r="K354" s="50"/>
      <c r="L354" s="50"/>
      <c r="M354" s="52"/>
      <c r="N354" s="51"/>
      <c r="O354" s="51"/>
      <c r="P354" s="53">
        <f t="shared" si="35"/>
        <v>0</v>
      </c>
      <c r="Q354" s="50"/>
      <c r="R354" s="50"/>
      <c r="S354" s="51"/>
      <c r="T354" s="50"/>
      <c r="U354" s="50"/>
      <c r="V354" s="50"/>
      <c r="W354" s="50"/>
      <c r="X354" s="50"/>
      <c r="Y354" s="50"/>
      <c r="Z354" s="50"/>
      <c r="AA354" s="50"/>
      <c r="AB354" s="50"/>
      <c r="AC354" s="53">
        <f t="shared" si="36"/>
        <v>0</v>
      </c>
      <c r="AD354" s="53">
        <f t="shared" si="37"/>
        <v>0</v>
      </c>
      <c r="AE354" s="53">
        <f t="shared" si="38"/>
        <v>0</v>
      </c>
      <c r="AF354" s="53">
        <f t="shared" si="39"/>
        <v>0</v>
      </c>
      <c r="AG354" s="53">
        <f t="shared" si="40"/>
        <v>0</v>
      </c>
      <c r="AH354" s="53">
        <f t="shared" si="41"/>
        <v>0</v>
      </c>
      <c r="AI354" s="50"/>
      <c r="AJ354" s="50"/>
      <c r="AK354" s="50"/>
    </row>
    <row r="355" spans="1:37" x14ac:dyDescent="0.2">
      <c r="A355" s="50"/>
      <c r="B355" s="50"/>
      <c r="C355" s="50"/>
      <c r="D355" s="50"/>
      <c r="E355" s="50"/>
      <c r="F355" s="50"/>
      <c r="G355" s="50"/>
      <c r="H355" s="50"/>
      <c r="I355" s="50"/>
      <c r="J355" s="50"/>
      <c r="K355" s="50"/>
      <c r="L355" s="50"/>
      <c r="M355" s="52"/>
      <c r="N355" s="51"/>
      <c r="O355" s="51"/>
      <c r="P355" s="53">
        <f t="shared" si="35"/>
        <v>0</v>
      </c>
      <c r="Q355" s="50"/>
      <c r="R355" s="50"/>
      <c r="S355" s="51"/>
      <c r="T355" s="50"/>
      <c r="U355" s="50"/>
      <c r="V355" s="50"/>
      <c r="W355" s="50"/>
      <c r="X355" s="50"/>
      <c r="Y355" s="50"/>
      <c r="Z355" s="50"/>
      <c r="AA355" s="50"/>
      <c r="AB355" s="50"/>
      <c r="AC355" s="53">
        <f t="shared" si="36"/>
        <v>0</v>
      </c>
      <c r="AD355" s="53">
        <f t="shared" si="37"/>
        <v>0</v>
      </c>
      <c r="AE355" s="53">
        <f t="shared" si="38"/>
        <v>0</v>
      </c>
      <c r="AF355" s="53">
        <f t="shared" si="39"/>
        <v>0</v>
      </c>
      <c r="AG355" s="53">
        <f t="shared" si="40"/>
        <v>0</v>
      </c>
      <c r="AH355" s="53">
        <f t="shared" si="41"/>
        <v>0</v>
      </c>
      <c r="AI355" s="50"/>
      <c r="AJ355" s="50"/>
      <c r="AK355" s="50"/>
    </row>
    <row r="356" spans="1:37" x14ac:dyDescent="0.2">
      <c r="A356" s="50"/>
      <c r="B356" s="50"/>
      <c r="C356" s="50"/>
      <c r="D356" s="50"/>
      <c r="E356" s="50"/>
      <c r="F356" s="50"/>
      <c r="G356" s="50"/>
      <c r="H356" s="50"/>
      <c r="I356" s="50"/>
      <c r="J356" s="50"/>
      <c r="K356" s="50"/>
      <c r="L356" s="50"/>
      <c r="M356" s="52"/>
      <c r="N356" s="51"/>
      <c r="O356" s="51"/>
      <c r="P356" s="53">
        <f t="shared" si="35"/>
        <v>0</v>
      </c>
      <c r="Q356" s="50"/>
      <c r="R356" s="50"/>
      <c r="S356" s="51"/>
      <c r="T356" s="50"/>
      <c r="U356" s="50"/>
      <c r="V356" s="50"/>
      <c r="W356" s="50"/>
      <c r="X356" s="50"/>
      <c r="Y356" s="50"/>
      <c r="Z356" s="50"/>
      <c r="AA356" s="50"/>
      <c r="AB356" s="50"/>
      <c r="AC356" s="53">
        <f t="shared" si="36"/>
        <v>0</v>
      </c>
      <c r="AD356" s="53">
        <f t="shared" si="37"/>
        <v>0</v>
      </c>
      <c r="AE356" s="53">
        <f t="shared" si="38"/>
        <v>0</v>
      </c>
      <c r="AF356" s="53">
        <f t="shared" si="39"/>
        <v>0</v>
      </c>
      <c r="AG356" s="53">
        <f t="shared" si="40"/>
        <v>0</v>
      </c>
      <c r="AH356" s="53">
        <f t="shared" si="41"/>
        <v>0</v>
      </c>
      <c r="AI356" s="50"/>
      <c r="AJ356" s="50"/>
      <c r="AK356" s="50"/>
    </row>
    <row r="357" spans="1:37" x14ac:dyDescent="0.2">
      <c r="A357" s="50"/>
      <c r="B357" s="50"/>
      <c r="C357" s="50"/>
      <c r="D357" s="50"/>
      <c r="E357" s="50"/>
      <c r="F357" s="50"/>
      <c r="G357" s="50"/>
      <c r="H357" s="50"/>
      <c r="I357" s="50"/>
      <c r="J357" s="50"/>
      <c r="K357" s="50"/>
      <c r="L357" s="50"/>
      <c r="M357" s="52"/>
      <c r="N357" s="51"/>
      <c r="O357" s="51"/>
      <c r="P357" s="53">
        <f t="shared" si="35"/>
        <v>0</v>
      </c>
      <c r="Q357" s="50"/>
      <c r="R357" s="50"/>
      <c r="S357" s="51"/>
      <c r="T357" s="50"/>
      <c r="U357" s="50"/>
      <c r="V357" s="50"/>
      <c r="W357" s="50"/>
      <c r="X357" s="50"/>
      <c r="Y357" s="50"/>
      <c r="Z357" s="50"/>
      <c r="AA357" s="50"/>
      <c r="AB357" s="50"/>
      <c r="AC357" s="53">
        <f t="shared" si="36"/>
        <v>0</v>
      </c>
      <c r="AD357" s="53">
        <f t="shared" si="37"/>
        <v>0</v>
      </c>
      <c r="AE357" s="53">
        <f t="shared" si="38"/>
        <v>0</v>
      </c>
      <c r="AF357" s="53">
        <f t="shared" si="39"/>
        <v>0</v>
      </c>
      <c r="AG357" s="53">
        <f t="shared" si="40"/>
        <v>0</v>
      </c>
      <c r="AH357" s="53">
        <f t="shared" si="41"/>
        <v>0</v>
      </c>
      <c r="AI357" s="50"/>
      <c r="AJ357" s="50"/>
      <c r="AK357" s="50"/>
    </row>
    <row r="358" spans="1:37" x14ac:dyDescent="0.2">
      <c r="A358" s="50"/>
      <c r="B358" s="50"/>
      <c r="C358" s="50"/>
      <c r="D358" s="50"/>
      <c r="E358" s="50"/>
      <c r="F358" s="50"/>
      <c r="G358" s="50"/>
      <c r="H358" s="50"/>
      <c r="I358" s="50"/>
      <c r="J358" s="50"/>
      <c r="K358" s="50"/>
      <c r="L358" s="50"/>
      <c r="M358" s="52"/>
      <c r="N358" s="51"/>
      <c r="O358" s="51"/>
      <c r="P358" s="53">
        <f t="shared" si="35"/>
        <v>0</v>
      </c>
      <c r="Q358" s="50"/>
      <c r="R358" s="50"/>
      <c r="S358" s="51"/>
      <c r="T358" s="50"/>
      <c r="U358" s="50"/>
      <c r="V358" s="50"/>
      <c r="W358" s="50"/>
      <c r="X358" s="50"/>
      <c r="Y358" s="50"/>
      <c r="Z358" s="50"/>
      <c r="AA358" s="50"/>
      <c r="AB358" s="50"/>
      <c r="AC358" s="53">
        <f t="shared" si="36"/>
        <v>0</v>
      </c>
      <c r="AD358" s="53">
        <f t="shared" si="37"/>
        <v>0</v>
      </c>
      <c r="AE358" s="53">
        <f t="shared" si="38"/>
        <v>0</v>
      </c>
      <c r="AF358" s="53">
        <f t="shared" si="39"/>
        <v>0</v>
      </c>
      <c r="AG358" s="53">
        <f t="shared" si="40"/>
        <v>0</v>
      </c>
      <c r="AH358" s="53">
        <f t="shared" si="41"/>
        <v>0</v>
      </c>
      <c r="AI358" s="50"/>
      <c r="AJ358" s="50"/>
      <c r="AK358" s="50"/>
    </row>
    <row r="359" spans="1:37" x14ac:dyDescent="0.2">
      <c r="A359" s="50"/>
      <c r="B359" s="50"/>
      <c r="C359" s="50"/>
      <c r="D359" s="50"/>
      <c r="E359" s="50"/>
      <c r="F359" s="50"/>
      <c r="G359" s="50"/>
      <c r="H359" s="50"/>
      <c r="I359" s="50"/>
      <c r="J359" s="50"/>
      <c r="K359" s="50"/>
      <c r="L359" s="50"/>
      <c r="M359" s="52"/>
      <c r="N359" s="51"/>
      <c r="O359" s="51"/>
      <c r="P359" s="53">
        <f t="shared" si="35"/>
        <v>0</v>
      </c>
      <c r="Q359" s="50"/>
      <c r="R359" s="50"/>
      <c r="S359" s="51"/>
      <c r="T359" s="50"/>
      <c r="U359" s="50"/>
      <c r="V359" s="50"/>
      <c r="W359" s="50"/>
      <c r="X359" s="50"/>
      <c r="Y359" s="50"/>
      <c r="Z359" s="50"/>
      <c r="AA359" s="50"/>
      <c r="AB359" s="50"/>
      <c r="AC359" s="53">
        <f t="shared" si="36"/>
        <v>0</v>
      </c>
      <c r="AD359" s="53">
        <f t="shared" si="37"/>
        <v>0</v>
      </c>
      <c r="AE359" s="53">
        <f t="shared" si="38"/>
        <v>0</v>
      </c>
      <c r="AF359" s="53">
        <f t="shared" si="39"/>
        <v>0</v>
      </c>
      <c r="AG359" s="53">
        <f t="shared" si="40"/>
        <v>0</v>
      </c>
      <c r="AH359" s="53">
        <f t="shared" si="41"/>
        <v>0</v>
      </c>
      <c r="AI359" s="50"/>
      <c r="AJ359" s="50"/>
      <c r="AK359" s="50"/>
    </row>
    <row r="360" spans="1:37" x14ac:dyDescent="0.2">
      <c r="A360" s="50"/>
      <c r="B360" s="50"/>
      <c r="C360" s="50"/>
      <c r="D360" s="50"/>
      <c r="E360" s="50"/>
      <c r="F360" s="50"/>
      <c r="G360" s="50"/>
      <c r="H360" s="50"/>
      <c r="I360" s="50"/>
      <c r="J360" s="50"/>
      <c r="K360" s="50"/>
      <c r="L360" s="50"/>
      <c r="M360" s="52"/>
      <c r="N360" s="51"/>
      <c r="O360" s="51"/>
      <c r="P360" s="53">
        <f t="shared" si="35"/>
        <v>0</v>
      </c>
      <c r="Q360" s="50"/>
      <c r="R360" s="50"/>
      <c r="S360" s="51"/>
      <c r="T360" s="50"/>
      <c r="U360" s="50"/>
      <c r="V360" s="50"/>
      <c r="W360" s="50"/>
      <c r="X360" s="50"/>
      <c r="Y360" s="50"/>
      <c r="Z360" s="50"/>
      <c r="AA360" s="50"/>
      <c r="AB360" s="50"/>
      <c r="AC360" s="53">
        <f t="shared" si="36"/>
        <v>0</v>
      </c>
      <c r="AD360" s="53">
        <f t="shared" si="37"/>
        <v>0</v>
      </c>
      <c r="AE360" s="53">
        <f t="shared" si="38"/>
        <v>0</v>
      </c>
      <c r="AF360" s="53">
        <f t="shared" si="39"/>
        <v>0</v>
      </c>
      <c r="AG360" s="53">
        <f t="shared" si="40"/>
        <v>0</v>
      </c>
      <c r="AH360" s="53">
        <f t="shared" si="41"/>
        <v>0</v>
      </c>
      <c r="AI360" s="50"/>
      <c r="AJ360" s="50"/>
      <c r="AK360" s="50"/>
    </row>
    <row r="361" spans="1:37" x14ac:dyDescent="0.2">
      <c r="A361" s="50"/>
      <c r="B361" s="50"/>
      <c r="C361" s="50"/>
      <c r="D361" s="50"/>
      <c r="E361" s="50"/>
      <c r="F361" s="50"/>
      <c r="G361" s="50"/>
      <c r="H361" s="50"/>
      <c r="I361" s="50"/>
      <c r="J361" s="50"/>
      <c r="K361" s="50"/>
      <c r="L361" s="50"/>
      <c r="M361" s="52"/>
      <c r="N361" s="51"/>
      <c r="O361" s="51"/>
      <c r="P361" s="53">
        <f t="shared" si="35"/>
        <v>0</v>
      </c>
      <c r="Q361" s="50"/>
      <c r="R361" s="50"/>
      <c r="S361" s="51"/>
      <c r="T361" s="50"/>
      <c r="U361" s="50"/>
      <c r="V361" s="50"/>
      <c r="W361" s="50"/>
      <c r="X361" s="50"/>
      <c r="Y361" s="50"/>
      <c r="Z361" s="50"/>
      <c r="AA361" s="50"/>
      <c r="AB361" s="50"/>
      <c r="AC361" s="53">
        <f t="shared" si="36"/>
        <v>0</v>
      </c>
      <c r="AD361" s="53">
        <f t="shared" si="37"/>
        <v>0</v>
      </c>
      <c r="AE361" s="53">
        <f t="shared" si="38"/>
        <v>0</v>
      </c>
      <c r="AF361" s="53">
        <f t="shared" si="39"/>
        <v>0</v>
      </c>
      <c r="AG361" s="53">
        <f t="shared" si="40"/>
        <v>0</v>
      </c>
      <c r="AH361" s="53">
        <f t="shared" si="41"/>
        <v>0</v>
      </c>
      <c r="AI361" s="50"/>
      <c r="AJ361" s="50"/>
      <c r="AK361" s="50"/>
    </row>
    <row r="362" spans="1:37" x14ac:dyDescent="0.2">
      <c r="A362" s="50"/>
      <c r="B362" s="50"/>
      <c r="C362" s="50"/>
      <c r="D362" s="50"/>
      <c r="E362" s="50"/>
      <c r="F362" s="50"/>
      <c r="G362" s="50"/>
      <c r="H362" s="50"/>
      <c r="I362" s="50"/>
      <c r="J362" s="50"/>
      <c r="K362" s="50"/>
      <c r="L362" s="50"/>
      <c r="M362" s="52"/>
      <c r="N362" s="51"/>
      <c r="O362" s="51"/>
      <c r="P362" s="53">
        <f t="shared" si="35"/>
        <v>0</v>
      </c>
      <c r="Q362" s="50"/>
      <c r="R362" s="50"/>
      <c r="S362" s="51"/>
      <c r="T362" s="50"/>
      <c r="U362" s="50"/>
      <c r="V362" s="50"/>
      <c r="W362" s="50"/>
      <c r="X362" s="50"/>
      <c r="Y362" s="50"/>
      <c r="Z362" s="50"/>
      <c r="AA362" s="50"/>
      <c r="AB362" s="50"/>
      <c r="AC362" s="53">
        <f t="shared" si="36"/>
        <v>0</v>
      </c>
      <c r="AD362" s="53">
        <f t="shared" si="37"/>
        <v>0</v>
      </c>
      <c r="AE362" s="53">
        <f t="shared" si="38"/>
        <v>0</v>
      </c>
      <c r="AF362" s="53">
        <f t="shared" si="39"/>
        <v>0</v>
      </c>
      <c r="AG362" s="53">
        <f t="shared" si="40"/>
        <v>0</v>
      </c>
      <c r="AH362" s="53">
        <f t="shared" si="41"/>
        <v>0</v>
      </c>
      <c r="AI362" s="50"/>
      <c r="AJ362" s="50"/>
      <c r="AK362" s="50"/>
    </row>
    <row r="363" spans="1:37" x14ac:dyDescent="0.2">
      <c r="A363" s="50"/>
      <c r="B363" s="50"/>
      <c r="C363" s="50"/>
      <c r="D363" s="50"/>
      <c r="E363" s="50"/>
      <c r="F363" s="50"/>
      <c r="G363" s="50"/>
      <c r="H363" s="50"/>
      <c r="I363" s="50"/>
      <c r="J363" s="50"/>
      <c r="K363" s="50"/>
      <c r="L363" s="50"/>
      <c r="M363" s="52"/>
      <c r="N363" s="51"/>
      <c r="O363" s="51"/>
      <c r="P363" s="53">
        <f t="shared" si="35"/>
        <v>0</v>
      </c>
      <c r="Q363" s="50"/>
      <c r="R363" s="50"/>
      <c r="S363" s="51"/>
      <c r="T363" s="50"/>
      <c r="U363" s="50"/>
      <c r="V363" s="50"/>
      <c r="W363" s="50"/>
      <c r="X363" s="50"/>
      <c r="Y363" s="50"/>
      <c r="Z363" s="50"/>
      <c r="AA363" s="50"/>
      <c r="AB363" s="50"/>
      <c r="AC363" s="53">
        <f t="shared" si="36"/>
        <v>0</v>
      </c>
      <c r="AD363" s="53">
        <f t="shared" si="37"/>
        <v>0</v>
      </c>
      <c r="AE363" s="53">
        <f t="shared" si="38"/>
        <v>0</v>
      </c>
      <c r="AF363" s="53">
        <f t="shared" si="39"/>
        <v>0</v>
      </c>
      <c r="AG363" s="53">
        <f t="shared" si="40"/>
        <v>0</v>
      </c>
      <c r="AH363" s="53">
        <f t="shared" si="41"/>
        <v>0</v>
      </c>
      <c r="AI363" s="50"/>
      <c r="AJ363" s="50"/>
      <c r="AK363" s="50"/>
    </row>
    <row r="364" spans="1:37" x14ac:dyDescent="0.2">
      <c r="A364" s="50"/>
      <c r="B364" s="50"/>
      <c r="C364" s="50"/>
      <c r="D364" s="50"/>
      <c r="E364" s="50"/>
      <c r="F364" s="50"/>
      <c r="G364" s="50"/>
      <c r="H364" s="50"/>
      <c r="I364" s="50"/>
      <c r="J364" s="50"/>
      <c r="K364" s="50"/>
      <c r="L364" s="50"/>
      <c r="M364" s="52"/>
      <c r="N364" s="51"/>
      <c r="O364" s="51"/>
      <c r="P364" s="53">
        <f t="shared" si="35"/>
        <v>0</v>
      </c>
      <c r="Q364" s="50"/>
      <c r="R364" s="50"/>
      <c r="S364" s="51"/>
      <c r="T364" s="50"/>
      <c r="U364" s="50"/>
      <c r="V364" s="50"/>
      <c r="W364" s="50"/>
      <c r="X364" s="50"/>
      <c r="Y364" s="50"/>
      <c r="Z364" s="50"/>
      <c r="AA364" s="50"/>
      <c r="AB364" s="50"/>
      <c r="AC364" s="53">
        <f t="shared" si="36"/>
        <v>0</v>
      </c>
      <c r="AD364" s="53">
        <f t="shared" si="37"/>
        <v>0</v>
      </c>
      <c r="AE364" s="53">
        <f t="shared" si="38"/>
        <v>0</v>
      </c>
      <c r="AF364" s="53">
        <f t="shared" si="39"/>
        <v>0</v>
      </c>
      <c r="AG364" s="53">
        <f t="shared" si="40"/>
        <v>0</v>
      </c>
      <c r="AH364" s="53">
        <f t="shared" si="41"/>
        <v>0</v>
      </c>
      <c r="AI364" s="50"/>
      <c r="AJ364" s="50"/>
      <c r="AK364" s="50"/>
    </row>
    <row r="365" spans="1:37" x14ac:dyDescent="0.2">
      <c r="A365" s="50"/>
      <c r="B365" s="50"/>
      <c r="C365" s="50"/>
      <c r="D365" s="50"/>
      <c r="E365" s="50"/>
      <c r="F365" s="50"/>
      <c r="G365" s="50"/>
      <c r="H365" s="50"/>
      <c r="I365" s="50"/>
      <c r="J365" s="50"/>
      <c r="K365" s="50"/>
      <c r="L365" s="50"/>
      <c r="M365" s="52"/>
      <c r="N365" s="51"/>
      <c r="O365" s="51"/>
      <c r="P365" s="53">
        <f t="shared" si="35"/>
        <v>0</v>
      </c>
      <c r="Q365" s="50"/>
      <c r="R365" s="50"/>
      <c r="S365" s="51"/>
      <c r="T365" s="50"/>
      <c r="U365" s="50"/>
      <c r="V365" s="50"/>
      <c r="W365" s="50"/>
      <c r="X365" s="50"/>
      <c r="Y365" s="50"/>
      <c r="Z365" s="50"/>
      <c r="AA365" s="50"/>
      <c r="AB365" s="50"/>
      <c r="AC365" s="53">
        <f t="shared" si="36"/>
        <v>0</v>
      </c>
      <c r="AD365" s="53">
        <f t="shared" si="37"/>
        <v>0</v>
      </c>
      <c r="AE365" s="53">
        <f t="shared" si="38"/>
        <v>0</v>
      </c>
      <c r="AF365" s="53">
        <f t="shared" si="39"/>
        <v>0</v>
      </c>
      <c r="AG365" s="53">
        <f t="shared" si="40"/>
        <v>0</v>
      </c>
      <c r="AH365" s="53">
        <f t="shared" si="41"/>
        <v>0</v>
      </c>
      <c r="AI365" s="50"/>
      <c r="AJ365" s="50"/>
      <c r="AK365" s="50"/>
    </row>
    <row r="366" spans="1:37" x14ac:dyDescent="0.2">
      <c r="A366" s="50"/>
      <c r="B366" s="50"/>
      <c r="C366" s="50"/>
      <c r="D366" s="50"/>
      <c r="E366" s="50"/>
      <c r="F366" s="50"/>
      <c r="G366" s="50"/>
      <c r="H366" s="50"/>
      <c r="I366" s="50"/>
      <c r="J366" s="50"/>
      <c r="K366" s="50"/>
      <c r="L366" s="50"/>
      <c r="M366" s="52"/>
      <c r="N366" s="51"/>
      <c r="O366" s="51"/>
      <c r="P366" s="53">
        <f t="shared" si="35"/>
        <v>0</v>
      </c>
      <c r="Q366" s="50"/>
      <c r="R366" s="50"/>
      <c r="S366" s="51"/>
      <c r="T366" s="50"/>
      <c r="U366" s="50"/>
      <c r="V366" s="50"/>
      <c r="W366" s="50"/>
      <c r="X366" s="50"/>
      <c r="Y366" s="50"/>
      <c r="Z366" s="50"/>
      <c r="AA366" s="50"/>
      <c r="AB366" s="50"/>
      <c r="AC366" s="53">
        <f t="shared" si="36"/>
        <v>0</v>
      </c>
      <c r="AD366" s="53">
        <f t="shared" si="37"/>
        <v>0</v>
      </c>
      <c r="AE366" s="53">
        <f t="shared" si="38"/>
        <v>0</v>
      </c>
      <c r="AF366" s="53">
        <f t="shared" si="39"/>
        <v>0</v>
      </c>
      <c r="AG366" s="53">
        <f t="shared" si="40"/>
        <v>0</v>
      </c>
      <c r="AH366" s="53">
        <f t="shared" si="41"/>
        <v>0</v>
      </c>
      <c r="AI366" s="50"/>
      <c r="AJ366" s="50"/>
      <c r="AK366" s="50"/>
    </row>
    <row r="367" spans="1:37" x14ac:dyDescent="0.2">
      <c r="A367" s="50"/>
      <c r="B367" s="50"/>
      <c r="C367" s="50"/>
      <c r="D367" s="50"/>
      <c r="E367" s="50"/>
      <c r="F367" s="50"/>
      <c r="G367" s="50"/>
      <c r="H367" s="50"/>
      <c r="I367" s="50"/>
      <c r="J367" s="50"/>
      <c r="K367" s="50"/>
      <c r="L367" s="50"/>
      <c r="M367" s="52"/>
      <c r="N367" s="51"/>
      <c r="O367" s="51"/>
      <c r="P367" s="53">
        <f t="shared" si="35"/>
        <v>0</v>
      </c>
      <c r="Q367" s="50"/>
      <c r="R367" s="50"/>
      <c r="S367" s="51"/>
      <c r="T367" s="50"/>
      <c r="U367" s="50"/>
      <c r="V367" s="50"/>
      <c r="W367" s="50"/>
      <c r="X367" s="50"/>
      <c r="Y367" s="50"/>
      <c r="Z367" s="50"/>
      <c r="AA367" s="50"/>
      <c r="AB367" s="50"/>
      <c r="AC367" s="53">
        <f t="shared" si="36"/>
        <v>0</v>
      </c>
      <c r="AD367" s="53">
        <f t="shared" si="37"/>
        <v>0</v>
      </c>
      <c r="AE367" s="53">
        <f t="shared" si="38"/>
        <v>0</v>
      </c>
      <c r="AF367" s="53">
        <f t="shared" si="39"/>
        <v>0</v>
      </c>
      <c r="AG367" s="53">
        <f t="shared" si="40"/>
        <v>0</v>
      </c>
      <c r="AH367" s="53">
        <f t="shared" si="41"/>
        <v>0</v>
      </c>
      <c r="AI367" s="50"/>
      <c r="AJ367" s="50"/>
      <c r="AK367" s="50"/>
    </row>
    <row r="368" spans="1:37" x14ac:dyDescent="0.2">
      <c r="A368" s="50"/>
      <c r="B368" s="50"/>
      <c r="C368" s="50"/>
      <c r="D368" s="50"/>
      <c r="E368" s="50"/>
      <c r="F368" s="50"/>
      <c r="G368" s="50"/>
      <c r="H368" s="50"/>
      <c r="I368" s="50"/>
      <c r="J368" s="50"/>
      <c r="K368" s="50"/>
      <c r="L368" s="50"/>
      <c r="M368" s="52"/>
      <c r="N368" s="51"/>
      <c r="O368" s="51"/>
      <c r="P368" s="53">
        <f t="shared" si="35"/>
        <v>0</v>
      </c>
      <c r="Q368" s="50"/>
      <c r="R368" s="50"/>
      <c r="S368" s="51"/>
      <c r="T368" s="50"/>
      <c r="U368" s="50"/>
      <c r="V368" s="50"/>
      <c r="W368" s="50"/>
      <c r="X368" s="50"/>
      <c r="Y368" s="50"/>
      <c r="Z368" s="50"/>
      <c r="AA368" s="50"/>
      <c r="AB368" s="50"/>
      <c r="AC368" s="53">
        <f t="shared" si="36"/>
        <v>0</v>
      </c>
      <c r="AD368" s="53">
        <f t="shared" si="37"/>
        <v>0</v>
      </c>
      <c r="AE368" s="53">
        <f t="shared" si="38"/>
        <v>0</v>
      </c>
      <c r="AF368" s="53">
        <f t="shared" si="39"/>
        <v>0</v>
      </c>
      <c r="AG368" s="53">
        <f t="shared" si="40"/>
        <v>0</v>
      </c>
      <c r="AH368" s="53">
        <f t="shared" si="41"/>
        <v>0</v>
      </c>
      <c r="AI368" s="50"/>
      <c r="AJ368" s="50"/>
      <c r="AK368" s="50"/>
    </row>
    <row r="369" spans="1:37" x14ac:dyDescent="0.2">
      <c r="A369" s="50"/>
      <c r="B369" s="50"/>
      <c r="C369" s="50"/>
      <c r="D369" s="50"/>
      <c r="E369" s="50"/>
      <c r="F369" s="50"/>
      <c r="G369" s="50"/>
      <c r="H369" s="50"/>
      <c r="I369" s="50"/>
      <c r="J369" s="50"/>
      <c r="K369" s="50"/>
      <c r="L369" s="50"/>
      <c r="M369" s="52"/>
      <c r="N369" s="51"/>
      <c r="O369" s="51"/>
      <c r="P369" s="53">
        <f t="shared" si="35"/>
        <v>0</v>
      </c>
      <c r="Q369" s="50"/>
      <c r="R369" s="50"/>
      <c r="S369" s="51"/>
      <c r="T369" s="50"/>
      <c r="U369" s="50"/>
      <c r="V369" s="50"/>
      <c r="W369" s="50"/>
      <c r="X369" s="50"/>
      <c r="Y369" s="50"/>
      <c r="Z369" s="50"/>
      <c r="AA369" s="50"/>
      <c r="AB369" s="50"/>
      <c r="AC369" s="53">
        <f t="shared" si="36"/>
        <v>0</v>
      </c>
      <c r="AD369" s="53">
        <f t="shared" si="37"/>
        <v>0</v>
      </c>
      <c r="AE369" s="53">
        <f t="shared" si="38"/>
        <v>0</v>
      </c>
      <c r="AF369" s="53">
        <f t="shared" si="39"/>
        <v>0</v>
      </c>
      <c r="AG369" s="53">
        <f t="shared" si="40"/>
        <v>0</v>
      </c>
      <c r="AH369" s="53">
        <f t="shared" si="41"/>
        <v>0</v>
      </c>
      <c r="AI369" s="50"/>
      <c r="AJ369" s="50"/>
      <c r="AK369" s="50"/>
    </row>
    <row r="370" spans="1:37" x14ac:dyDescent="0.2">
      <c r="A370" s="50"/>
      <c r="B370" s="50"/>
      <c r="C370" s="50"/>
      <c r="D370" s="50"/>
      <c r="E370" s="50"/>
      <c r="F370" s="50"/>
      <c r="G370" s="50"/>
      <c r="H370" s="50"/>
      <c r="I370" s="50"/>
      <c r="J370" s="50"/>
      <c r="K370" s="50"/>
      <c r="L370" s="50"/>
      <c r="M370" s="52"/>
      <c r="N370" s="51"/>
      <c r="O370" s="51"/>
      <c r="P370" s="53">
        <f t="shared" si="35"/>
        <v>0</v>
      </c>
      <c r="Q370" s="50"/>
      <c r="R370" s="50"/>
      <c r="S370" s="51"/>
      <c r="T370" s="50"/>
      <c r="U370" s="50"/>
      <c r="V370" s="50"/>
      <c r="W370" s="50"/>
      <c r="X370" s="50"/>
      <c r="Y370" s="50"/>
      <c r="Z370" s="50"/>
      <c r="AA370" s="50"/>
      <c r="AB370" s="50"/>
      <c r="AC370" s="53">
        <f t="shared" si="36"/>
        <v>0</v>
      </c>
      <c r="AD370" s="53">
        <f t="shared" si="37"/>
        <v>0</v>
      </c>
      <c r="AE370" s="53">
        <f t="shared" si="38"/>
        <v>0</v>
      </c>
      <c r="AF370" s="53">
        <f t="shared" si="39"/>
        <v>0</v>
      </c>
      <c r="AG370" s="53">
        <f t="shared" si="40"/>
        <v>0</v>
      </c>
      <c r="AH370" s="53">
        <f t="shared" si="41"/>
        <v>0</v>
      </c>
      <c r="AI370" s="50"/>
      <c r="AJ370" s="50"/>
      <c r="AK370" s="50"/>
    </row>
    <row r="371" spans="1:37" x14ac:dyDescent="0.2">
      <c r="A371" s="50"/>
      <c r="B371" s="50"/>
      <c r="C371" s="50"/>
      <c r="D371" s="50"/>
      <c r="E371" s="50"/>
      <c r="F371" s="50"/>
      <c r="G371" s="50"/>
      <c r="H371" s="50"/>
      <c r="I371" s="50"/>
      <c r="J371" s="50"/>
      <c r="K371" s="50"/>
      <c r="L371" s="50"/>
      <c r="M371" s="52"/>
      <c r="N371" s="51"/>
      <c r="O371" s="51"/>
      <c r="P371" s="53">
        <f t="shared" si="35"/>
        <v>0</v>
      </c>
      <c r="Q371" s="50"/>
      <c r="R371" s="50"/>
      <c r="S371" s="51"/>
      <c r="T371" s="50"/>
      <c r="U371" s="50"/>
      <c r="V371" s="50"/>
      <c r="W371" s="50"/>
      <c r="X371" s="50"/>
      <c r="Y371" s="50"/>
      <c r="Z371" s="50"/>
      <c r="AA371" s="50"/>
      <c r="AB371" s="50"/>
      <c r="AC371" s="53">
        <f t="shared" si="36"/>
        <v>0</v>
      </c>
      <c r="AD371" s="53">
        <f t="shared" si="37"/>
        <v>0</v>
      </c>
      <c r="AE371" s="53">
        <f t="shared" si="38"/>
        <v>0</v>
      </c>
      <c r="AF371" s="53">
        <f t="shared" si="39"/>
        <v>0</v>
      </c>
      <c r="AG371" s="53">
        <f t="shared" si="40"/>
        <v>0</v>
      </c>
      <c r="AH371" s="53">
        <f t="shared" si="41"/>
        <v>0</v>
      </c>
      <c r="AI371" s="50"/>
      <c r="AJ371" s="50"/>
      <c r="AK371" s="50"/>
    </row>
    <row r="372" spans="1:37" x14ac:dyDescent="0.2">
      <c r="A372" s="50"/>
      <c r="B372" s="50"/>
      <c r="C372" s="50"/>
      <c r="D372" s="50"/>
      <c r="E372" s="50"/>
      <c r="F372" s="50"/>
      <c r="G372" s="50"/>
      <c r="H372" s="50"/>
      <c r="I372" s="50"/>
      <c r="J372" s="50"/>
      <c r="K372" s="50"/>
      <c r="L372" s="50"/>
      <c r="M372" s="52"/>
      <c r="N372" s="51"/>
      <c r="O372" s="51"/>
      <c r="P372" s="53">
        <f t="shared" si="35"/>
        <v>0</v>
      </c>
      <c r="Q372" s="50"/>
      <c r="R372" s="50"/>
      <c r="S372" s="51"/>
      <c r="T372" s="50"/>
      <c r="U372" s="50"/>
      <c r="V372" s="50"/>
      <c r="W372" s="50"/>
      <c r="X372" s="50"/>
      <c r="Y372" s="50"/>
      <c r="Z372" s="50"/>
      <c r="AA372" s="50"/>
      <c r="AB372" s="50"/>
      <c r="AC372" s="53">
        <f t="shared" si="36"/>
        <v>0</v>
      </c>
      <c r="AD372" s="53">
        <f t="shared" si="37"/>
        <v>0</v>
      </c>
      <c r="AE372" s="53">
        <f t="shared" si="38"/>
        <v>0</v>
      </c>
      <c r="AF372" s="53">
        <f t="shared" si="39"/>
        <v>0</v>
      </c>
      <c r="AG372" s="53">
        <f t="shared" si="40"/>
        <v>0</v>
      </c>
      <c r="AH372" s="53">
        <f t="shared" si="41"/>
        <v>0</v>
      </c>
      <c r="AI372" s="50"/>
      <c r="AJ372" s="50"/>
      <c r="AK372" s="50"/>
    </row>
    <row r="373" spans="1:37" x14ac:dyDescent="0.2">
      <c r="A373" s="50"/>
      <c r="B373" s="50"/>
      <c r="C373" s="50"/>
      <c r="D373" s="50"/>
      <c r="E373" s="50"/>
      <c r="F373" s="50"/>
      <c r="G373" s="50"/>
      <c r="H373" s="50"/>
      <c r="I373" s="50"/>
      <c r="J373" s="50"/>
      <c r="K373" s="50"/>
      <c r="L373" s="50"/>
      <c r="M373" s="52"/>
      <c r="N373" s="51"/>
      <c r="O373" s="51"/>
      <c r="P373" s="53">
        <f t="shared" si="35"/>
        <v>0</v>
      </c>
      <c r="Q373" s="50"/>
      <c r="R373" s="50"/>
      <c r="S373" s="51"/>
      <c r="T373" s="50"/>
      <c r="U373" s="50"/>
      <c r="V373" s="50"/>
      <c r="W373" s="50"/>
      <c r="X373" s="50"/>
      <c r="Y373" s="50"/>
      <c r="Z373" s="50"/>
      <c r="AA373" s="50"/>
      <c r="AB373" s="50"/>
      <c r="AC373" s="53">
        <f t="shared" si="36"/>
        <v>0</v>
      </c>
      <c r="AD373" s="53">
        <f t="shared" si="37"/>
        <v>0</v>
      </c>
      <c r="AE373" s="53">
        <f t="shared" si="38"/>
        <v>0</v>
      </c>
      <c r="AF373" s="53">
        <f t="shared" si="39"/>
        <v>0</v>
      </c>
      <c r="AG373" s="53">
        <f t="shared" si="40"/>
        <v>0</v>
      </c>
      <c r="AH373" s="53">
        <f t="shared" si="41"/>
        <v>0</v>
      </c>
      <c r="AI373" s="50"/>
      <c r="AJ373" s="50"/>
      <c r="AK373" s="50"/>
    </row>
    <row r="374" spans="1:37" x14ac:dyDescent="0.2">
      <c r="A374" s="50"/>
      <c r="B374" s="50"/>
      <c r="C374" s="50"/>
      <c r="D374" s="50"/>
      <c r="E374" s="50"/>
      <c r="F374" s="50"/>
      <c r="G374" s="50"/>
      <c r="H374" s="50"/>
      <c r="I374" s="50"/>
      <c r="J374" s="50"/>
      <c r="K374" s="50"/>
      <c r="L374" s="50"/>
      <c r="M374" s="52"/>
      <c r="N374" s="51"/>
      <c r="O374" s="51"/>
      <c r="P374" s="53">
        <f t="shared" si="35"/>
        <v>0</v>
      </c>
      <c r="Q374" s="50"/>
      <c r="R374" s="50"/>
      <c r="S374" s="51"/>
      <c r="T374" s="50"/>
      <c r="U374" s="50"/>
      <c r="V374" s="50"/>
      <c r="W374" s="50"/>
      <c r="X374" s="50"/>
      <c r="Y374" s="50"/>
      <c r="Z374" s="50"/>
      <c r="AA374" s="50"/>
      <c r="AB374" s="50"/>
      <c r="AC374" s="53">
        <f t="shared" si="36"/>
        <v>0</v>
      </c>
      <c r="AD374" s="53">
        <f t="shared" si="37"/>
        <v>0</v>
      </c>
      <c r="AE374" s="53">
        <f t="shared" si="38"/>
        <v>0</v>
      </c>
      <c r="AF374" s="53">
        <f t="shared" si="39"/>
        <v>0</v>
      </c>
      <c r="AG374" s="53">
        <f t="shared" si="40"/>
        <v>0</v>
      </c>
      <c r="AH374" s="53">
        <f t="shared" si="41"/>
        <v>0</v>
      </c>
      <c r="AI374" s="50"/>
      <c r="AJ374" s="50"/>
      <c r="AK374" s="50"/>
    </row>
    <row r="375" spans="1:37" x14ac:dyDescent="0.2">
      <c r="A375" s="50"/>
      <c r="B375" s="50"/>
      <c r="C375" s="50"/>
      <c r="D375" s="50"/>
      <c r="E375" s="50"/>
      <c r="F375" s="50"/>
      <c r="G375" s="50"/>
      <c r="H375" s="50"/>
      <c r="I375" s="50"/>
      <c r="J375" s="50"/>
      <c r="K375" s="50"/>
      <c r="L375" s="50"/>
      <c r="M375" s="52"/>
      <c r="N375" s="51"/>
      <c r="O375" s="51"/>
      <c r="P375" s="53">
        <f t="shared" si="35"/>
        <v>0</v>
      </c>
      <c r="Q375" s="50"/>
      <c r="R375" s="50"/>
      <c r="S375" s="51"/>
      <c r="T375" s="50"/>
      <c r="U375" s="50"/>
      <c r="V375" s="50"/>
      <c r="W375" s="50"/>
      <c r="X375" s="50"/>
      <c r="Y375" s="50"/>
      <c r="Z375" s="50"/>
      <c r="AA375" s="50"/>
      <c r="AB375" s="50"/>
      <c r="AC375" s="53">
        <f t="shared" si="36"/>
        <v>0</v>
      </c>
      <c r="AD375" s="53">
        <f t="shared" si="37"/>
        <v>0</v>
      </c>
      <c r="AE375" s="53">
        <f t="shared" si="38"/>
        <v>0</v>
      </c>
      <c r="AF375" s="53">
        <f t="shared" si="39"/>
        <v>0</v>
      </c>
      <c r="AG375" s="53">
        <f t="shared" si="40"/>
        <v>0</v>
      </c>
      <c r="AH375" s="53">
        <f t="shared" si="41"/>
        <v>0</v>
      </c>
      <c r="AI375" s="50"/>
      <c r="AJ375" s="50"/>
      <c r="AK375" s="50"/>
    </row>
    <row r="376" spans="1:37" x14ac:dyDescent="0.2">
      <c r="A376" s="50"/>
      <c r="B376" s="50"/>
      <c r="C376" s="50"/>
      <c r="D376" s="50"/>
      <c r="E376" s="50"/>
      <c r="F376" s="50"/>
      <c r="G376" s="50"/>
      <c r="H376" s="50"/>
      <c r="I376" s="50"/>
      <c r="J376" s="50"/>
      <c r="K376" s="50"/>
      <c r="L376" s="50"/>
      <c r="M376" s="52"/>
      <c r="N376" s="51"/>
      <c r="O376" s="51"/>
      <c r="P376" s="53">
        <f t="shared" si="35"/>
        <v>0</v>
      </c>
      <c r="Q376" s="50"/>
      <c r="R376" s="50"/>
      <c r="S376" s="51"/>
      <c r="T376" s="50"/>
      <c r="U376" s="50"/>
      <c r="V376" s="50"/>
      <c r="W376" s="50"/>
      <c r="X376" s="50"/>
      <c r="Y376" s="50"/>
      <c r="Z376" s="50"/>
      <c r="AA376" s="50"/>
      <c r="AB376" s="50"/>
      <c r="AC376" s="53">
        <f t="shared" si="36"/>
        <v>0</v>
      </c>
      <c r="AD376" s="53">
        <f t="shared" si="37"/>
        <v>0</v>
      </c>
      <c r="AE376" s="53">
        <f t="shared" si="38"/>
        <v>0</v>
      </c>
      <c r="AF376" s="53">
        <f t="shared" si="39"/>
        <v>0</v>
      </c>
      <c r="AG376" s="53">
        <f t="shared" si="40"/>
        <v>0</v>
      </c>
      <c r="AH376" s="53">
        <f t="shared" si="41"/>
        <v>0</v>
      </c>
      <c r="AI376" s="50"/>
      <c r="AJ376" s="50"/>
      <c r="AK376" s="50"/>
    </row>
    <row r="377" spans="1:37" x14ac:dyDescent="0.2">
      <c r="A377" s="50"/>
      <c r="B377" s="50"/>
      <c r="C377" s="50"/>
      <c r="D377" s="50"/>
      <c r="E377" s="50"/>
      <c r="F377" s="50"/>
      <c r="G377" s="50"/>
      <c r="H377" s="50"/>
      <c r="I377" s="50"/>
      <c r="J377" s="50"/>
      <c r="K377" s="50"/>
      <c r="L377" s="50"/>
      <c r="M377" s="52"/>
      <c r="N377" s="51"/>
      <c r="O377" s="51"/>
      <c r="P377" s="53">
        <f t="shared" si="35"/>
        <v>0</v>
      </c>
      <c r="Q377" s="50"/>
      <c r="R377" s="50"/>
      <c r="S377" s="51"/>
      <c r="T377" s="50"/>
      <c r="U377" s="50"/>
      <c r="V377" s="50"/>
      <c r="W377" s="50"/>
      <c r="X377" s="50"/>
      <c r="Y377" s="50"/>
      <c r="Z377" s="50"/>
      <c r="AA377" s="50"/>
      <c r="AB377" s="50"/>
      <c r="AC377" s="53">
        <f t="shared" si="36"/>
        <v>0</v>
      </c>
      <c r="AD377" s="53">
        <f t="shared" si="37"/>
        <v>0</v>
      </c>
      <c r="AE377" s="53">
        <f t="shared" si="38"/>
        <v>0</v>
      </c>
      <c r="AF377" s="53">
        <f t="shared" si="39"/>
        <v>0</v>
      </c>
      <c r="AG377" s="53">
        <f t="shared" si="40"/>
        <v>0</v>
      </c>
      <c r="AH377" s="53">
        <f t="shared" si="41"/>
        <v>0</v>
      </c>
      <c r="AI377" s="50"/>
      <c r="AJ377" s="50"/>
      <c r="AK377" s="50"/>
    </row>
    <row r="378" spans="1:37" x14ac:dyDescent="0.2">
      <c r="A378" s="50"/>
      <c r="B378" s="50"/>
      <c r="C378" s="50"/>
      <c r="D378" s="50"/>
      <c r="E378" s="50"/>
      <c r="F378" s="50"/>
      <c r="G378" s="50"/>
      <c r="H378" s="50"/>
      <c r="I378" s="50"/>
      <c r="J378" s="50"/>
      <c r="K378" s="50"/>
      <c r="L378" s="50"/>
      <c r="M378" s="52"/>
      <c r="N378" s="51"/>
      <c r="O378" s="51"/>
      <c r="P378" s="53">
        <f t="shared" si="35"/>
        <v>0</v>
      </c>
      <c r="Q378" s="50"/>
      <c r="R378" s="50"/>
      <c r="S378" s="51"/>
      <c r="T378" s="50"/>
      <c r="U378" s="50"/>
      <c r="V378" s="50"/>
      <c r="W378" s="50"/>
      <c r="X378" s="50"/>
      <c r="Y378" s="50"/>
      <c r="Z378" s="50"/>
      <c r="AA378" s="50"/>
      <c r="AB378" s="50"/>
      <c r="AC378" s="53">
        <f t="shared" si="36"/>
        <v>0</v>
      </c>
      <c r="AD378" s="53">
        <f t="shared" si="37"/>
        <v>0</v>
      </c>
      <c r="AE378" s="53">
        <f t="shared" si="38"/>
        <v>0</v>
      </c>
      <c r="AF378" s="53">
        <f t="shared" si="39"/>
        <v>0</v>
      </c>
      <c r="AG378" s="53">
        <f t="shared" si="40"/>
        <v>0</v>
      </c>
      <c r="AH378" s="53">
        <f t="shared" si="41"/>
        <v>0</v>
      </c>
      <c r="AI378" s="50"/>
      <c r="AJ378" s="50"/>
      <c r="AK378" s="50"/>
    </row>
    <row r="379" spans="1:37" x14ac:dyDescent="0.2">
      <c r="A379" s="50"/>
      <c r="B379" s="50"/>
      <c r="C379" s="50"/>
      <c r="D379" s="50"/>
      <c r="E379" s="50"/>
      <c r="F379" s="50"/>
      <c r="G379" s="50"/>
      <c r="H379" s="50"/>
      <c r="I379" s="50"/>
      <c r="J379" s="50"/>
      <c r="K379" s="50"/>
      <c r="L379" s="50"/>
      <c r="M379" s="52"/>
      <c r="N379" s="51"/>
      <c r="O379" s="51"/>
      <c r="P379" s="53">
        <f t="shared" si="35"/>
        <v>0</v>
      </c>
      <c r="Q379" s="50"/>
      <c r="R379" s="50"/>
      <c r="S379" s="51"/>
      <c r="T379" s="50"/>
      <c r="U379" s="50"/>
      <c r="V379" s="50"/>
      <c r="W379" s="50"/>
      <c r="X379" s="50"/>
      <c r="Y379" s="50"/>
      <c r="Z379" s="50"/>
      <c r="AA379" s="50"/>
      <c r="AB379" s="50"/>
      <c r="AC379" s="53">
        <f t="shared" si="36"/>
        <v>0</v>
      </c>
      <c r="AD379" s="53">
        <f t="shared" si="37"/>
        <v>0</v>
      </c>
      <c r="AE379" s="53">
        <f t="shared" si="38"/>
        <v>0</v>
      </c>
      <c r="AF379" s="53">
        <f t="shared" si="39"/>
        <v>0</v>
      </c>
      <c r="AG379" s="53">
        <f t="shared" si="40"/>
        <v>0</v>
      </c>
      <c r="AH379" s="53">
        <f t="shared" si="41"/>
        <v>0</v>
      </c>
      <c r="AI379" s="50"/>
      <c r="AJ379" s="50"/>
      <c r="AK379" s="50"/>
    </row>
    <row r="380" spans="1:37" x14ac:dyDescent="0.2">
      <c r="A380" s="50"/>
      <c r="B380" s="50"/>
      <c r="C380" s="50"/>
      <c r="D380" s="50"/>
      <c r="E380" s="50"/>
      <c r="F380" s="50"/>
      <c r="G380" s="50"/>
      <c r="H380" s="50"/>
      <c r="I380" s="50"/>
      <c r="J380" s="50"/>
      <c r="K380" s="50"/>
      <c r="L380" s="50"/>
      <c r="M380" s="52"/>
      <c r="N380" s="51"/>
      <c r="O380" s="51"/>
      <c r="P380" s="53">
        <f t="shared" si="35"/>
        <v>0</v>
      </c>
      <c r="Q380" s="50"/>
      <c r="R380" s="50"/>
      <c r="S380" s="51"/>
      <c r="T380" s="50"/>
      <c r="U380" s="50"/>
      <c r="V380" s="50"/>
      <c r="W380" s="50"/>
      <c r="X380" s="50"/>
      <c r="Y380" s="50"/>
      <c r="Z380" s="50"/>
      <c r="AA380" s="50"/>
      <c r="AB380" s="50"/>
      <c r="AC380" s="53">
        <f t="shared" si="36"/>
        <v>0</v>
      </c>
      <c r="AD380" s="53">
        <f t="shared" si="37"/>
        <v>0</v>
      </c>
      <c r="AE380" s="53">
        <f t="shared" si="38"/>
        <v>0</v>
      </c>
      <c r="AF380" s="53">
        <f t="shared" si="39"/>
        <v>0</v>
      </c>
      <c r="AG380" s="53">
        <f t="shared" si="40"/>
        <v>0</v>
      </c>
      <c r="AH380" s="53">
        <f t="shared" si="41"/>
        <v>0</v>
      </c>
      <c r="AI380" s="50"/>
      <c r="AJ380" s="50"/>
      <c r="AK380" s="50"/>
    </row>
    <row r="381" spans="1:37" x14ac:dyDescent="0.2">
      <c r="A381" s="50"/>
      <c r="B381" s="50"/>
      <c r="C381" s="50"/>
      <c r="D381" s="50"/>
      <c r="E381" s="50"/>
      <c r="F381" s="50"/>
      <c r="G381" s="50"/>
      <c r="H381" s="50"/>
      <c r="I381" s="50"/>
      <c r="J381" s="50"/>
      <c r="K381" s="50"/>
      <c r="L381" s="50"/>
      <c r="M381" s="52"/>
      <c r="N381" s="51"/>
      <c r="O381" s="51"/>
      <c r="P381" s="53">
        <f t="shared" si="35"/>
        <v>0</v>
      </c>
      <c r="Q381" s="50"/>
      <c r="R381" s="50"/>
      <c r="S381" s="51"/>
      <c r="T381" s="50"/>
      <c r="U381" s="50"/>
      <c r="V381" s="50"/>
      <c r="W381" s="50"/>
      <c r="X381" s="50"/>
      <c r="Y381" s="50"/>
      <c r="Z381" s="50"/>
      <c r="AA381" s="50"/>
      <c r="AB381" s="50"/>
      <c r="AC381" s="53">
        <f t="shared" si="36"/>
        <v>0</v>
      </c>
      <c r="AD381" s="53">
        <f t="shared" si="37"/>
        <v>0</v>
      </c>
      <c r="AE381" s="53">
        <f t="shared" si="38"/>
        <v>0</v>
      </c>
      <c r="AF381" s="53">
        <f t="shared" si="39"/>
        <v>0</v>
      </c>
      <c r="AG381" s="53">
        <f t="shared" si="40"/>
        <v>0</v>
      </c>
      <c r="AH381" s="53">
        <f t="shared" si="41"/>
        <v>0</v>
      </c>
      <c r="AI381" s="50"/>
      <c r="AJ381" s="50"/>
      <c r="AK381" s="50"/>
    </row>
    <row r="382" spans="1:37" x14ac:dyDescent="0.2">
      <c r="A382" s="50"/>
      <c r="B382" s="50"/>
      <c r="C382" s="50"/>
      <c r="D382" s="50"/>
      <c r="E382" s="50"/>
      <c r="F382" s="50"/>
      <c r="G382" s="50"/>
      <c r="H382" s="50"/>
      <c r="I382" s="50"/>
      <c r="J382" s="50"/>
      <c r="K382" s="50"/>
      <c r="L382" s="50"/>
      <c r="M382" s="52"/>
      <c r="N382" s="51"/>
      <c r="O382" s="51"/>
      <c r="P382" s="53">
        <f t="shared" si="35"/>
        <v>0</v>
      </c>
      <c r="Q382" s="50"/>
      <c r="R382" s="50"/>
      <c r="S382" s="51"/>
      <c r="T382" s="50"/>
      <c r="U382" s="50"/>
      <c r="V382" s="50"/>
      <c r="W382" s="50"/>
      <c r="X382" s="50"/>
      <c r="Y382" s="50"/>
      <c r="Z382" s="50"/>
      <c r="AA382" s="50"/>
      <c r="AB382" s="50"/>
      <c r="AC382" s="53">
        <f t="shared" si="36"/>
        <v>0</v>
      </c>
      <c r="AD382" s="53">
        <f t="shared" si="37"/>
        <v>0</v>
      </c>
      <c r="AE382" s="53">
        <f t="shared" si="38"/>
        <v>0</v>
      </c>
      <c r="AF382" s="53">
        <f t="shared" si="39"/>
        <v>0</v>
      </c>
      <c r="AG382" s="53">
        <f t="shared" si="40"/>
        <v>0</v>
      </c>
      <c r="AH382" s="53">
        <f t="shared" si="41"/>
        <v>0</v>
      </c>
      <c r="AI382" s="50"/>
      <c r="AJ382" s="50"/>
      <c r="AK382" s="50"/>
    </row>
    <row r="383" spans="1:37" x14ac:dyDescent="0.2">
      <c r="A383" s="50"/>
      <c r="B383" s="50"/>
      <c r="C383" s="50"/>
      <c r="D383" s="50"/>
      <c r="E383" s="50"/>
      <c r="F383" s="50"/>
      <c r="G383" s="50"/>
      <c r="H383" s="50"/>
      <c r="I383" s="50"/>
      <c r="J383" s="50"/>
      <c r="K383" s="50"/>
      <c r="L383" s="50"/>
      <c r="M383" s="52"/>
      <c r="N383" s="51"/>
      <c r="O383" s="51"/>
      <c r="P383" s="53">
        <f t="shared" si="35"/>
        <v>0</v>
      </c>
      <c r="Q383" s="50"/>
      <c r="R383" s="50"/>
      <c r="S383" s="51"/>
      <c r="T383" s="50"/>
      <c r="U383" s="50"/>
      <c r="V383" s="50"/>
      <c r="W383" s="50"/>
      <c r="X383" s="50"/>
      <c r="Y383" s="50"/>
      <c r="Z383" s="50"/>
      <c r="AA383" s="50"/>
      <c r="AB383" s="50"/>
      <c r="AC383" s="53">
        <f t="shared" si="36"/>
        <v>0</v>
      </c>
      <c r="AD383" s="53">
        <f t="shared" si="37"/>
        <v>0</v>
      </c>
      <c r="AE383" s="53">
        <f t="shared" si="38"/>
        <v>0</v>
      </c>
      <c r="AF383" s="53">
        <f t="shared" si="39"/>
        <v>0</v>
      </c>
      <c r="AG383" s="53">
        <f t="shared" si="40"/>
        <v>0</v>
      </c>
      <c r="AH383" s="53">
        <f t="shared" si="41"/>
        <v>0</v>
      </c>
      <c r="AI383" s="50"/>
      <c r="AJ383" s="50"/>
      <c r="AK383" s="50"/>
    </row>
    <row r="384" spans="1:37" x14ac:dyDescent="0.2">
      <c r="A384" s="50"/>
      <c r="B384" s="50"/>
      <c r="C384" s="50"/>
      <c r="D384" s="50"/>
      <c r="E384" s="50"/>
      <c r="F384" s="50"/>
      <c r="G384" s="50"/>
      <c r="H384" s="50"/>
      <c r="I384" s="50"/>
      <c r="J384" s="50"/>
      <c r="K384" s="50"/>
      <c r="L384" s="50"/>
      <c r="M384" s="52"/>
      <c r="N384" s="51"/>
      <c r="O384" s="51"/>
      <c r="P384" s="53">
        <f t="shared" si="35"/>
        <v>0</v>
      </c>
      <c r="Q384" s="50"/>
      <c r="R384" s="50"/>
      <c r="S384" s="51"/>
      <c r="T384" s="50"/>
      <c r="U384" s="50"/>
      <c r="V384" s="50"/>
      <c r="W384" s="50"/>
      <c r="X384" s="50"/>
      <c r="Y384" s="50"/>
      <c r="Z384" s="50"/>
      <c r="AA384" s="50"/>
      <c r="AB384" s="50"/>
      <c r="AC384" s="53">
        <f t="shared" si="36"/>
        <v>0</v>
      </c>
      <c r="AD384" s="53">
        <f t="shared" si="37"/>
        <v>0</v>
      </c>
      <c r="AE384" s="53">
        <f t="shared" si="38"/>
        <v>0</v>
      </c>
      <c r="AF384" s="53">
        <f t="shared" si="39"/>
        <v>0</v>
      </c>
      <c r="AG384" s="53">
        <f t="shared" si="40"/>
        <v>0</v>
      </c>
      <c r="AH384" s="53">
        <f t="shared" si="41"/>
        <v>0</v>
      </c>
      <c r="AI384" s="50"/>
      <c r="AJ384" s="50"/>
      <c r="AK384" s="50"/>
    </row>
    <row r="385" spans="1:37" x14ac:dyDescent="0.2">
      <c r="A385" s="50"/>
      <c r="B385" s="50"/>
      <c r="C385" s="50"/>
      <c r="D385" s="50"/>
      <c r="E385" s="50"/>
      <c r="F385" s="50"/>
      <c r="G385" s="50"/>
      <c r="H385" s="50"/>
      <c r="I385" s="50"/>
      <c r="J385" s="50"/>
      <c r="K385" s="50"/>
      <c r="L385" s="50"/>
      <c r="M385" s="52"/>
      <c r="N385" s="51"/>
      <c r="O385" s="51"/>
      <c r="P385" s="53">
        <f t="shared" si="35"/>
        <v>0</v>
      </c>
      <c r="Q385" s="50"/>
      <c r="R385" s="50"/>
      <c r="S385" s="51"/>
      <c r="T385" s="50"/>
      <c r="U385" s="50"/>
      <c r="V385" s="50"/>
      <c r="W385" s="50"/>
      <c r="X385" s="50"/>
      <c r="Y385" s="50"/>
      <c r="Z385" s="50"/>
      <c r="AA385" s="50"/>
      <c r="AB385" s="50"/>
      <c r="AC385" s="53">
        <f t="shared" si="36"/>
        <v>0</v>
      </c>
      <c r="AD385" s="53">
        <f t="shared" si="37"/>
        <v>0</v>
      </c>
      <c r="AE385" s="53">
        <f t="shared" si="38"/>
        <v>0</v>
      </c>
      <c r="AF385" s="53">
        <f t="shared" si="39"/>
        <v>0</v>
      </c>
      <c r="AG385" s="53">
        <f t="shared" si="40"/>
        <v>0</v>
      </c>
      <c r="AH385" s="53">
        <f t="shared" si="41"/>
        <v>0</v>
      </c>
      <c r="AI385" s="50"/>
      <c r="AJ385" s="50"/>
      <c r="AK385" s="50"/>
    </row>
    <row r="386" spans="1:37" x14ac:dyDescent="0.2">
      <c r="A386" s="50"/>
      <c r="B386" s="50"/>
      <c r="C386" s="50"/>
      <c r="D386" s="50"/>
      <c r="E386" s="50"/>
      <c r="F386" s="50"/>
      <c r="G386" s="50"/>
      <c r="H386" s="50"/>
      <c r="I386" s="50"/>
      <c r="J386" s="50"/>
      <c r="K386" s="50"/>
      <c r="L386" s="50"/>
      <c r="M386" s="52"/>
      <c r="N386" s="51"/>
      <c r="O386" s="51"/>
      <c r="P386" s="53">
        <f t="shared" si="35"/>
        <v>0</v>
      </c>
      <c r="Q386" s="50"/>
      <c r="R386" s="50"/>
      <c r="S386" s="51"/>
      <c r="T386" s="50"/>
      <c r="U386" s="50"/>
      <c r="V386" s="50"/>
      <c r="W386" s="50"/>
      <c r="X386" s="50"/>
      <c r="Y386" s="50"/>
      <c r="Z386" s="50"/>
      <c r="AA386" s="50"/>
      <c r="AB386" s="50"/>
      <c r="AC386" s="53">
        <f t="shared" si="36"/>
        <v>0</v>
      </c>
      <c r="AD386" s="53">
        <f t="shared" si="37"/>
        <v>0</v>
      </c>
      <c r="AE386" s="53">
        <f t="shared" si="38"/>
        <v>0</v>
      </c>
      <c r="AF386" s="53">
        <f t="shared" si="39"/>
        <v>0</v>
      </c>
      <c r="AG386" s="53">
        <f t="shared" si="40"/>
        <v>0</v>
      </c>
      <c r="AH386" s="53">
        <f t="shared" si="41"/>
        <v>0</v>
      </c>
      <c r="AI386" s="50"/>
      <c r="AJ386" s="50"/>
      <c r="AK386" s="50"/>
    </row>
    <row r="387" spans="1:37" x14ac:dyDescent="0.2">
      <c r="A387" s="50"/>
      <c r="B387" s="50"/>
      <c r="C387" s="50"/>
      <c r="D387" s="50"/>
      <c r="E387" s="50"/>
      <c r="F387" s="50"/>
      <c r="G387" s="50"/>
      <c r="H387" s="50"/>
      <c r="I387" s="50"/>
      <c r="J387" s="50"/>
      <c r="K387" s="50"/>
      <c r="L387" s="50"/>
      <c r="M387" s="52"/>
      <c r="N387" s="51"/>
      <c r="O387" s="51"/>
      <c r="P387" s="53">
        <f t="shared" si="35"/>
        <v>0</v>
      </c>
      <c r="Q387" s="50"/>
      <c r="R387" s="50"/>
      <c r="S387" s="51"/>
      <c r="T387" s="50"/>
      <c r="U387" s="50"/>
      <c r="V387" s="50"/>
      <c r="W387" s="50"/>
      <c r="X387" s="50"/>
      <c r="Y387" s="50"/>
      <c r="Z387" s="50"/>
      <c r="AA387" s="50"/>
      <c r="AB387" s="50"/>
      <c r="AC387" s="53">
        <f t="shared" si="36"/>
        <v>0</v>
      </c>
      <c r="AD387" s="53">
        <f t="shared" si="37"/>
        <v>0</v>
      </c>
      <c r="AE387" s="53">
        <f t="shared" si="38"/>
        <v>0</v>
      </c>
      <c r="AF387" s="53">
        <f t="shared" si="39"/>
        <v>0</v>
      </c>
      <c r="AG387" s="53">
        <f t="shared" si="40"/>
        <v>0</v>
      </c>
      <c r="AH387" s="53">
        <f t="shared" si="41"/>
        <v>0</v>
      </c>
      <c r="AI387" s="50"/>
      <c r="AJ387" s="50"/>
      <c r="AK387" s="50"/>
    </row>
    <row r="388" spans="1:37" x14ac:dyDescent="0.2">
      <c r="A388" s="50"/>
      <c r="B388" s="50"/>
      <c r="C388" s="50"/>
      <c r="D388" s="50"/>
      <c r="E388" s="50"/>
      <c r="F388" s="50"/>
      <c r="G388" s="50"/>
      <c r="H388" s="50"/>
      <c r="I388" s="50"/>
      <c r="J388" s="50"/>
      <c r="K388" s="50"/>
      <c r="L388" s="50"/>
      <c r="M388" s="52"/>
      <c r="N388" s="51"/>
      <c r="O388" s="51"/>
      <c r="P388" s="53">
        <f t="shared" si="35"/>
        <v>0</v>
      </c>
      <c r="Q388" s="50"/>
      <c r="R388" s="50"/>
      <c r="S388" s="51"/>
      <c r="T388" s="50"/>
      <c r="U388" s="50"/>
      <c r="V388" s="50"/>
      <c r="W388" s="50"/>
      <c r="X388" s="50"/>
      <c r="Y388" s="50"/>
      <c r="Z388" s="50"/>
      <c r="AA388" s="50"/>
      <c r="AB388" s="50"/>
      <c r="AC388" s="53">
        <f t="shared" si="36"/>
        <v>0</v>
      </c>
      <c r="AD388" s="53">
        <f t="shared" si="37"/>
        <v>0</v>
      </c>
      <c r="AE388" s="53">
        <f t="shared" si="38"/>
        <v>0</v>
      </c>
      <c r="AF388" s="53">
        <f t="shared" si="39"/>
        <v>0</v>
      </c>
      <c r="AG388" s="53">
        <f t="shared" si="40"/>
        <v>0</v>
      </c>
      <c r="AH388" s="53">
        <f t="shared" si="41"/>
        <v>0</v>
      </c>
      <c r="AI388" s="50"/>
      <c r="AJ388" s="50"/>
      <c r="AK388" s="50"/>
    </row>
    <row r="389" spans="1:37" x14ac:dyDescent="0.2">
      <c r="A389" s="50"/>
      <c r="B389" s="50"/>
      <c r="C389" s="50"/>
      <c r="D389" s="50"/>
      <c r="E389" s="50"/>
      <c r="F389" s="50"/>
      <c r="G389" s="50"/>
      <c r="H389" s="50"/>
      <c r="I389" s="50"/>
      <c r="J389" s="50"/>
      <c r="K389" s="50"/>
      <c r="L389" s="50"/>
      <c r="M389" s="52"/>
      <c r="N389" s="51"/>
      <c r="O389" s="51"/>
      <c r="P389" s="53">
        <f t="shared" ref="P389:P452" si="42">IF(OR(M389="",M389=0),0,M389*(1-N389)*(1+O389))</f>
        <v>0</v>
      </c>
      <c r="Q389" s="50"/>
      <c r="R389" s="50"/>
      <c r="S389" s="51"/>
      <c r="T389" s="50"/>
      <c r="U389" s="50"/>
      <c r="V389" s="50"/>
      <c r="W389" s="50"/>
      <c r="X389" s="50"/>
      <c r="Y389" s="50"/>
      <c r="Z389" s="50"/>
      <c r="AA389" s="50"/>
      <c r="AB389" s="50"/>
      <c r="AC389" s="53">
        <f t="shared" ref="AC389:AC452" si="43">IFERROR(X389*$P389,0)</f>
        <v>0</v>
      </c>
      <c r="AD389" s="53">
        <f t="shared" ref="AD389:AD452" si="44">IFERROR(Y389*$P389,0)</f>
        <v>0</v>
      </c>
      <c r="AE389" s="53">
        <f t="shared" ref="AE389:AE452" si="45">IFERROR(Z389*$P389,0)</f>
        <v>0</v>
      </c>
      <c r="AF389" s="53">
        <f t="shared" ref="AF389:AF452" si="46">IFERROR(AA389*$P389,0)</f>
        <v>0</v>
      </c>
      <c r="AG389" s="53">
        <f t="shared" ref="AG389:AG452" si="47">IFERROR(AB389*$P389,0)</f>
        <v>0</v>
      </c>
      <c r="AH389" s="53">
        <f t="shared" ref="AH389:AH452" si="48">SUM(AC389:AG389)</f>
        <v>0</v>
      </c>
      <c r="AI389" s="50"/>
      <c r="AJ389" s="50"/>
      <c r="AK389" s="50"/>
    </row>
    <row r="390" spans="1:37" x14ac:dyDescent="0.2">
      <c r="A390" s="50"/>
      <c r="B390" s="50"/>
      <c r="C390" s="50"/>
      <c r="D390" s="50"/>
      <c r="E390" s="50"/>
      <c r="F390" s="50"/>
      <c r="G390" s="50"/>
      <c r="H390" s="50"/>
      <c r="I390" s="50"/>
      <c r="J390" s="50"/>
      <c r="K390" s="50"/>
      <c r="L390" s="50"/>
      <c r="M390" s="52"/>
      <c r="N390" s="51"/>
      <c r="O390" s="51"/>
      <c r="P390" s="53">
        <f t="shared" si="42"/>
        <v>0</v>
      </c>
      <c r="Q390" s="50"/>
      <c r="R390" s="50"/>
      <c r="S390" s="51"/>
      <c r="T390" s="50"/>
      <c r="U390" s="50"/>
      <c r="V390" s="50"/>
      <c r="W390" s="50"/>
      <c r="X390" s="50"/>
      <c r="Y390" s="50"/>
      <c r="Z390" s="50"/>
      <c r="AA390" s="50"/>
      <c r="AB390" s="50"/>
      <c r="AC390" s="53">
        <f t="shared" si="43"/>
        <v>0</v>
      </c>
      <c r="AD390" s="53">
        <f t="shared" si="44"/>
        <v>0</v>
      </c>
      <c r="AE390" s="53">
        <f t="shared" si="45"/>
        <v>0</v>
      </c>
      <c r="AF390" s="53">
        <f t="shared" si="46"/>
        <v>0</v>
      </c>
      <c r="AG390" s="53">
        <f t="shared" si="47"/>
        <v>0</v>
      </c>
      <c r="AH390" s="53">
        <f t="shared" si="48"/>
        <v>0</v>
      </c>
      <c r="AI390" s="50"/>
      <c r="AJ390" s="50"/>
      <c r="AK390" s="50"/>
    </row>
    <row r="391" spans="1:37" x14ac:dyDescent="0.2">
      <c r="A391" s="50"/>
      <c r="B391" s="50"/>
      <c r="C391" s="50"/>
      <c r="D391" s="50"/>
      <c r="E391" s="50"/>
      <c r="F391" s="50"/>
      <c r="G391" s="50"/>
      <c r="H391" s="50"/>
      <c r="I391" s="50"/>
      <c r="J391" s="50"/>
      <c r="K391" s="50"/>
      <c r="L391" s="50"/>
      <c r="M391" s="52"/>
      <c r="N391" s="51"/>
      <c r="O391" s="51"/>
      <c r="P391" s="53">
        <f t="shared" si="42"/>
        <v>0</v>
      </c>
      <c r="Q391" s="50"/>
      <c r="R391" s="50"/>
      <c r="S391" s="51"/>
      <c r="T391" s="50"/>
      <c r="U391" s="50"/>
      <c r="V391" s="50"/>
      <c r="W391" s="50"/>
      <c r="X391" s="50"/>
      <c r="Y391" s="50"/>
      <c r="Z391" s="50"/>
      <c r="AA391" s="50"/>
      <c r="AB391" s="50"/>
      <c r="AC391" s="53">
        <f t="shared" si="43"/>
        <v>0</v>
      </c>
      <c r="AD391" s="53">
        <f t="shared" si="44"/>
        <v>0</v>
      </c>
      <c r="AE391" s="53">
        <f t="shared" si="45"/>
        <v>0</v>
      </c>
      <c r="AF391" s="53">
        <f t="shared" si="46"/>
        <v>0</v>
      </c>
      <c r="AG391" s="53">
        <f t="shared" si="47"/>
        <v>0</v>
      </c>
      <c r="AH391" s="53">
        <f t="shared" si="48"/>
        <v>0</v>
      </c>
      <c r="AI391" s="50"/>
      <c r="AJ391" s="50"/>
      <c r="AK391" s="50"/>
    </row>
    <row r="392" spans="1:37" x14ac:dyDescent="0.2">
      <c r="A392" s="50"/>
      <c r="B392" s="50"/>
      <c r="C392" s="50"/>
      <c r="D392" s="50"/>
      <c r="E392" s="50"/>
      <c r="F392" s="50"/>
      <c r="G392" s="50"/>
      <c r="H392" s="50"/>
      <c r="I392" s="50"/>
      <c r="J392" s="50"/>
      <c r="K392" s="50"/>
      <c r="L392" s="50"/>
      <c r="M392" s="52"/>
      <c r="N392" s="51"/>
      <c r="O392" s="51"/>
      <c r="P392" s="53">
        <f t="shared" si="42"/>
        <v>0</v>
      </c>
      <c r="Q392" s="50"/>
      <c r="R392" s="50"/>
      <c r="S392" s="51"/>
      <c r="T392" s="50"/>
      <c r="U392" s="50"/>
      <c r="V392" s="50"/>
      <c r="W392" s="50"/>
      <c r="X392" s="50"/>
      <c r="Y392" s="50"/>
      <c r="Z392" s="50"/>
      <c r="AA392" s="50"/>
      <c r="AB392" s="50"/>
      <c r="AC392" s="53">
        <f t="shared" si="43"/>
        <v>0</v>
      </c>
      <c r="AD392" s="53">
        <f t="shared" si="44"/>
        <v>0</v>
      </c>
      <c r="AE392" s="53">
        <f t="shared" si="45"/>
        <v>0</v>
      </c>
      <c r="AF392" s="53">
        <f t="shared" si="46"/>
        <v>0</v>
      </c>
      <c r="AG392" s="53">
        <f t="shared" si="47"/>
        <v>0</v>
      </c>
      <c r="AH392" s="53">
        <f t="shared" si="48"/>
        <v>0</v>
      </c>
      <c r="AI392" s="50"/>
      <c r="AJ392" s="50"/>
      <c r="AK392" s="50"/>
    </row>
    <row r="393" spans="1:37" x14ac:dyDescent="0.2">
      <c r="A393" s="50"/>
      <c r="B393" s="50"/>
      <c r="C393" s="50"/>
      <c r="D393" s="50"/>
      <c r="E393" s="50"/>
      <c r="F393" s="50"/>
      <c r="G393" s="50"/>
      <c r="H393" s="50"/>
      <c r="I393" s="50"/>
      <c r="J393" s="50"/>
      <c r="K393" s="50"/>
      <c r="L393" s="50"/>
      <c r="M393" s="52"/>
      <c r="N393" s="51"/>
      <c r="O393" s="51"/>
      <c r="P393" s="53">
        <f t="shared" si="42"/>
        <v>0</v>
      </c>
      <c r="Q393" s="50"/>
      <c r="R393" s="50"/>
      <c r="S393" s="51"/>
      <c r="T393" s="50"/>
      <c r="U393" s="50"/>
      <c r="V393" s="50"/>
      <c r="W393" s="50"/>
      <c r="X393" s="50"/>
      <c r="Y393" s="50"/>
      <c r="Z393" s="50"/>
      <c r="AA393" s="50"/>
      <c r="AB393" s="50"/>
      <c r="AC393" s="53">
        <f t="shared" si="43"/>
        <v>0</v>
      </c>
      <c r="AD393" s="53">
        <f t="shared" si="44"/>
        <v>0</v>
      </c>
      <c r="AE393" s="53">
        <f t="shared" si="45"/>
        <v>0</v>
      </c>
      <c r="AF393" s="53">
        <f t="shared" si="46"/>
        <v>0</v>
      </c>
      <c r="AG393" s="53">
        <f t="shared" si="47"/>
        <v>0</v>
      </c>
      <c r="AH393" s="53">
        <f t="shared" si="48"/>
        <v>0</v>
      </c>
      <c r="AI393" s="50"/>
      <c r="AJ393" s="50"/>
      <c r="AK393" s="50"/>
    </row>
    <row r="394" spans="1:37" x14ac:dyDescent="0.2">
      <c r="A394" s="50"/>
      <c r="B394" s="50"/>
      <c r="C394" s="50"/>
      <c r="D394" s="50"/>
      <c r="E394" s="50"/>
      <c r="F394" s="50"/>
      <c r="G394" s="50"/>
      <c r="H394" s="50"/>
      <c r="I394" s="50"/>
      <c r="J394" s="50"/>
      <c r="K394" s="50"/>
      <c r="L394" s="50"/>
      <c r="M394" s="52"/>
      <c r="N394" s="51"/>
      <c r="O394" s="51"/>
      <c r="P394" s="53">
        <f t="shared" si="42"/>
        <v>0</v>
      </c>
      <c r="Q394" s="50"/>
      <c r="R394" s="50"/>
      <c r="S394" s="51"/>
      <c r="T394" s="50"/>
      <c r="U394" s="50"/>
      <c r="V394" s="50"/>
      <c r="W394" s="50"/>
      <c r="X394" s="50"/>
      <c r="Y394" s="50"/>
      <c r="Z394" s="50"/>
      <c r="AA394" s="50"/>
      <c r="AB394" s="50"/>
      <c r="AC394" s="53">
        <f t="shared" si="43"/>
        <v>0</v>
      </c>
      <c r="AD394" s="53">
        <f t="shared" si="44"/>
        <v>0</v>
      </c>
      <c r="AE394" s="53">
        <f t="shared" si="45"/>
        <v>0</v>
      </c>
      <c r="AF394" s="53">
        <f t="shared" si="46"/>
        <v>0</v>
      </c>
      <c r="AG394" s="53">
        <f t="shared" si="47"/>
        <v>0</v>
      </c>
      <c r="AH394" s="53">
        <f t="shared" si="48"/>
        <v>0</v>
      </c>
      <c r="AI394" s="50"/>
      <c r="AJ394" s="50"/>
      <c r="AK394" s="50"/>
    </row>
    <row r="395" spans="1:37" x14ac:dyDescent="0.2">
      <c r="A395" s="50"/>
      <c r="B395" s="50"/>
      <c r="C395" s="50"/>
      <c r="D395" s="50"/>
      <c r="E395" s="50"/>
      <c r="F395" s="50"/>
      <c r="G395" s="50"/>
      <c r="H395" s="50"/>
      <c r="I395" s="50"/>
      <c r="J395" s="50"/>
      <c r="K395" s="50"/>
      <c r="L395" s="50"/>
      <c r="M395" s="52"/>
      <c r="N395" s="51"/>
      <c r="O395" s="51"/>
      <c r="P395" s="53">
        <f t="shared" si="42"/>
        <v>0</v>
      </c>
      <c r="Q395" s="50"/>
      <c r="R395" s="50"/>
      <c r="S395" s="51"/>
      <c r="T395" s="50"/>
      <c r="U395" s="50"/>
      <c r="V395" s="50"/>
      <c r="W395" s="50"/>
      <c r="X395" s="50"/>
      <c r="Y395" s="50"/>
      <c r="Z395" s="50"/>
      <c r="AA395" s="50"/>
      <c r="AB395" s="50"/>
      <c r="AC395" s="53">
        <f t="shared" si="43"/>
        <v>0</v>
      </c>
      <c r="AD395" s="53">
        <f t="shared" si="44"/>
        <v>0</v>
      </c>
      <c r="AE395" s="53">
        <f t="shared" si="45"/>
        <v>0</v>
      </c>
      <c r="AF395" s="53">
        <f t="shared" si="46"/>
        <v>0</v>
      </c>
      <c r="AG395" s="53">
        <f t="shared" si="47"/>
        <v>0</v>
      </c>
      <c r="AH395" s="53">
        <f t="shared" si="48"/>
        <v>0</v>
      </c>
      <c r="AI395" s="50"/>
      <c r="AJ395" s="50"/>
      <c r="AK395" s="50"/>
    </row>
    <row r="396" spans="1:37" x14ac:dyDescent="0.2">
      <c r="A396" s="50"/>
      <c r="B396" s="50"/>
      <c r="C396" s="50"/>
      <c r="D396" s="50"/>
      <c r="E396" s="50"/>
      <c r="F396" s="50"/>
      <c r="G396" s="50"/>
      <c r="H396" s="50"/>
      <c r="I396" s="50"/>
      <c r="J396" s="50"/>
      <c r="K396" s="50"/>
      <c r="L396" s="50"/>
      <c r="M396" s="52"/>
      <c r="N396" s="51"/>
      <c r="O396" s="51"/>
      <c r="P396" s="53">
        <f t="shared" si="42"/>
        <v>0</v>
      </c>
      <c r="Q396" s="50"/>
      <c r="R396" s="50"/>
      <c r="S396" s="51"/>
      <c r="T396" s="50"/>
      <c r="U396" s="50"/>
      <c r="V396" s="50"/>
      <c r="W396" s="50"/>
      <c r="X396" s="50"/>
      <c r="Y396" s="50"/>
      <c r="Z396" s="50"/>
      <c r="AA396" s="50"/>
      <c r="AB396" s="50"/>
      <c r="AC396" s="53">
        <f t="shared" si="43"/>
        <v>0</v>
      </c>
      <c r="AD396" s="53">
        <f t="shared" si="44"/>
        <v>0</v>
      </c>
      <c r="AE396" s="53">
        <f t="shared" si="45"/>
        <v>0</v>
      </c>
      <c r="AF396" s="53">
        <f t="shared" si="46"/>
        <v>0</v>
      </c>
      <c r="AG396" s="53">
        <f t="shared" si="47"/>
        <v>0</v>
      </c>
      <c r="AH396" s="53">
        <f t="shared" si="48"/>
        <v>0</v>
      </c>
      <c r="AI396" s="50"/>
      <c r="AJ396" s="50"/>
      <c r="AK396" s="50"/>
    </row>
    <row r="397" spans="1:37" x14ac:dyDescent="0.2">
      <c r="A397" s="50"/>
      <c r="B397" s="50"/>
      <c r="C397" s="50"/>
      <c r="D397" s="50"/>
      <c r="E397" s="50"/>
      <c r="F397" s="50"/>
      <c r="G397" s="50"/>
      <c r="H397" s="50"/>
      <c r="I397" s="50"/>
      <c r="J397" s="50"/>
      <c r="K397" s="50"/>
      <c r="L397" s="50"/>
      <c r="M397" s="52"/>
      <c r="N397" s="51"/>
      <c r="O397" s="51"/>
      <c r="P397" s="53">
        <f t="shared" si="42"/>
        <v>0</v>
      </c>
      <c r="Q397" s="50"/>
      <c r="R397" s="50"/>
      <c r="S397" s="51"/>
      <c r="T397" s="50"/>
      <c r="U397" s="50"/>
      <c r="V397" s="50"/>
      <c r="W397" s="50"/>
      <c r="X397" s="50"/>
      <c r="Y397" s="50"/>
      <c r="Z397" s="50"/>
      <c r="AA397" s="50"/>
      <c r="AB397" s="50"/>
      <c r="AC397" s="53">
        <f t="shared" si="43"/>
        <v>0</v>
      </c>
      <c r="AD397" s="53">
        <f t="shared" si="44"/>
        <v>0</v>
      </c>
      <c r="AE397" s="53">
        <f t="shared" si="45"/>
        <v>0</v>
      </c>
      <c r="AF397" s="53">
        <f t="shared" si="46"/>
        <v>0</v>
      </c>
      <c r="AG397" s="53">
        <f t="shared" si="47"/>
        <v>0</v>
      </c>
      <c r="AH397" s="53">
        <f t="shared" si="48"/>
        <v>0</v>
      </c>
      <c r="AI397" s="50"/>
      <c r="AJ397" s="50"/>
      <c r="AK397" s="50"/>
    </row>
    <row r="398" spans="1:37" x14ac:dyDescent="0.2">
      <c r="A398" s="50"/>
      <c r="B398" s="50"/>
      <c r="C398" s="50"/>
      <c r="D398" s="50"/>
      <c r="E398" s="50"/>
      <c r="F398" s="50"/>
      <c r="G398" s="50"/>
      <c r="H398" s="50"/>
      <c r="I398" s="50"/>
      <c r="J398" s="50"/>
      <c r="K398" s="50"/>
      <c r="L398" s="50"/>
      <c r="M398" s="52"/>
      <c r="N398" s="51"/>
      <c r="O398" s="51"/>
      <c r="P398" s="53">
        <f t="shared" si="42"/>
        <v>0</v>
      </c>
      <c r="Q398" s="50"/>
      <c r="R398" s="50"/>
      <c r="S398" s="51"/>
      <c r="T398" s="50"/>
      <c r="U398" s="50"/>
      <c r="V398" s="50"/>
      <c r="W398" s="50"/>
      <c r="X398" s="50"/>
      <c r="Y398" s="50"/>
      <c r="Z398" s="50"/>
      <c r="AA398" s="50"/>
      <c r="AB398" s="50"/>
      <c r="AC398" s="53">
        <f t="shared" si="43"/>
        <v>0</v>
      </c>
      <c r="AD398" s="53">
        <f t="shared" si="44"/>
        <v>0</v>
      </c>
      <c r="AE398" s="53">
        <f t="shared" si="45"/>
        <v>0</v>
      </c>
      <c r="AF398" s="53">
        <f t="shared" si="46"/>
        <v>0</v>
      </c>
      <c r="AG398" s="53">
        <f t="shared" si="47"/>
        <v>0</v>
      </c>
      <c r="AH398" s="53">
        <f t="shared" si="48"/>
        <v>0</v>
      </c>
      <c r="AI398" s="50"/>
      <c r="AJ398" s="50"/>
      <c r="AK398" s="50"/>
    </row>
    <row r="399" spans="1:37" x14ac:dyDescent="0.2">
      <c r="A399" s="50"/>
      <c r="B399" s="50"/>
      <c r="C399" s="50"/>
      <c r="D399" s="50"/>
      <c r="E399" s="50"/>
      <c r="F399" s="50"/>
      <c r="G399" s="50"/>
      <c r="H399" s="50"/>
      <c r="I399" s="50"/>
      <c r="J399" s="50"/>
      <c r="K399" s="50"/>
      <c r="L399" s="50"/>
      <c r="M399" s="52"/>
      <c r="N399" s="51"/>
      <c r="O399" s="51"/>
      <c r="P399" s="53">
        <f t="shared" si="42"/>
        <v>0</v>
      </c>
      <c r="Q399" s="50"/>
      <c r="R399" s="50"/>
      <c r="S399" s="51"/>
      <c r="T399" s="50"/>
      <c r="U399" s="50"/>
      <c r="V399" s="50"/>
      <c r="W399" s="50"/>
      <c r="X399" s="50"/>
      <c r="Y399" s="50"/>
      <c r="Z399" s="50"/>
      <c r="AA399" s="50"/>
      <c r="AB399" s="50"/>
      <c r="AC399" s="53">
        <f t="shared" si="43"/>
        <v>0</v>
      </c>
      <c r="AD399" s="53">
        <f t="shared" si="44"/>
        <v>0</v>
      </c>
      <c r="AE399" s="53">
        <f t="shared" si="45"/>
        <v>0</v>
      </c>
      <c r="AF399" s="53">
        <f t="shared" si="46"/>
        <v>0</v>
      </c>
      <c r="AG399" s="53">
        <f t="shared" si="47"/>
        <v>0</v>
      </c>
      <c r="AH399" s="53">
        <f t="shared" si="48"/>
        <v>0</v>
      </c>
      <c r="AI399" s="50"/>
      <c r="AJ399" s="50"/>
      <c r="AK399" s="50"/>
    </row>
    <row r="400" spans="1:37" x14ac:dyDescent="0.2">
      <c r="A400" s="50"/>
      <c r="B400" s="50"/>
      <c r="C400" s="50"/>
      <c r="D400" s="50"/>
      <c r="E400" s="50"/>
      <c r="F400" s="50"/>
      <c r="G400" s="50"/>
      <c r="H400" s="50"/>
      <c r="I400" s="50"/>
      <c r="J400" s="50"/>
      <c r="K400" s="50"/>
      <c r="L400" s="50"/>
      <c r="M400" s="52"/>
      <c r="N400" s="51"/>
      <c r="O400" s="51"/>
      <c r="P400" s="53">
        <f t="shared" si="42"/>
        <v>0</v>
      </c>
      <c r="Q400" s="50"/>
      <c r="R400" s="50"/>
      <c r="S400" s="51"/>
      <c r="T400" s="50"/>
      <c r="U400" s="50"/>
      <c r="V400" s="50"/>
      <c r="W400" s="50"/>
      <c r="X400" s="50"/>
      <c r="Y400" s="50"/>
      <c r="Z400" s="50"/>
      <c r="AA400" s="50"/>
      <c r="AB400" s="50"/>
      <c r="AC400" s="53">
        <f t="shared" si="43"/>
        <v>0</v>
      </c>
      <c r="AD400" s="53">
        <f t="shared" si="44"/>
        <v>0</v>
      </c>
      <c r="AE400" s="53">
        <f t="shared" si="45"/>
        <v>0</v>
      </c>
      <c r="AF400" s="53">
        <f t="shared" si="46"/>
        <v>0</v>
      </c>
      <c r="AG400" s="53">
        <f t="shared" si="47"/>
        <v>0</v>
      </c>
      <c r="AH400" s="53">
        <f t="shared" si="48"/>
        <v>0</v>
      </c>
      <c r="AI400" s="50"/>
      <c r="AJ400" s="50"/>
      <c r="AK400" s="50"/>
    </row>
    <row r="401" spans="1:37" x14ac:dyDescent="0.2">
      <c r="A401" s="50"/>
      <c r="B401" s="50"/>
      <c r="C401" s="50"/>
      <c r="D401" s="50"/>
      <c r="E401" s="50"/>
      <c r="F401" s="50"/>
      <c r="G401" s="50"/>
      <c r="H401" s="50"/>
      <c r="I401" s="50"/>
      <c r="J401" s="50"/>
      <c r="K401" s="50"/>
      <c r="L401" s="50"/>
      <c r="M401" s="52"/>
      <c r="N401" s="51"/>
      <c r="O401" s="51"/>
      <c r="P401" s="53">
        <f t="shared" si="42"/>
        <v>0</v>
      </c>
      <c r="Q401" s="50"/>
      <c r="R401" s="50"/>
      <c r="S401" s="51"/>
      <c r="T401" s="50"/>
      <c r="U401" s="50"/>
      <c r="V401" s="50"/>
      <c r="W401" s="50"/>
      <c r="X401" s="50"/>
      <c r="Y401" s="50"/>
      <c r="Z401" s="50"/>
      <c r="AA401" s="50"/>
      <c r="AB401" s="50"/>
      <c r="AC401" s="53">
        <f t="shared" si="43"/>
        <v>0</v>
      </c>
      <c r="AD401" s="53">
        <f t="shared" si="44"/>
        <v>0</v>
      </c>
      <c r="AE401" s="53">
        <f t="shared" si="45"/>
        <v>0</v>
      </c>
      <c r="AF401" s="53">
        <f t="shared" si="46"/>
        <v>0</v>
      </c>
      <c r="AG401" s="53">
        <f t="shared" si="47"/>
        <v>0</v>
      </c>
      <c r="AH401" s="53">
        <f t="shared" si="48"/>
        <v>0</v>
      </c>
      <c r="AI401" s="50"/>
      <c r="AJ401" s="50"/>
      <c r="AK401" s="50"/>
    </row>
    <row r="402" spans="1:37" x14ac:dyDescent="0.2">
      <c r="A402" s="50"/>
      <c r="B402" s="50"/>
      <c r="C402" s="50"/>
      <c r="D402" s="50"/>
      <c r="E402" s="50"/>
      <c r="F402" s="50"/>
      <c r="G402" s="50"/>
      <c r="H402" s="50"/>
      <c r="I402" s="50"/>
      <c r="J402" s="50"/>
      <c r="K402" s="50"/>
      <c r="L402" s="50"/>
      <c r="M402" s="52"/>
      <c r="N402" s="51"/>
      <c r="O402" s="51"/>
      <c r="P402" s="53">
        <f t="shared" si="42"/>
        <v>0</v>
      </c>
      <c r="Q402" s="50"/>
      <c r="R402" s="50"/>
      <c r="S402" s="51"/>
      <c r="T402" s="50"/>
      <c r="U402" s="50"/>
      <c r="V402" s="50"/>
      <c r="W402" s="50"/>
      <c r="X402" s="50"/>
      <c r="Y402" s="50"/>
      <c r="Z402" s="50"/>
      <c r="AA402" s="50"/>
      <c r="AB402" s="50"/>
      <c r="AC402" s="53">
        <f t="shared" si="43"/>
        <v>0</v>
      </c>
      <c r="AD402" s="53">
        <f t="shared" si="44"/>
        <v>0</v>
      </c>
      <c r="AE402" s="53">
        <f t="shared" si="45"/>
        <v>0</v>
      </c>
      <c r="AF402" s="53">
        <f t="shared" si="46"/>
        <v>0</v>
      </c>
      <c r="AG402" s="53">
        <f t="shared" si="47"/>
        <v>0</v>
      </c>
      <c r="AH402" s="53">
        <f t="shared" si="48"/>
        <v>0</v>
      </c>
      <c r="AI402" s="50"/>
      <c r="AJ402" s="50"/>
      <c r="AK402" s="50"/>
    </row>
    <row r="403" spans="1:37" x14ac:dyDescent="0.2">
      <c r="A403" s="50"/>
      <c r="B403" s="50"/>
      <c r="C403" s="50"/>
      <c r="D403" s="50"/>
      <c r="E403" s="50"/>
      <c r="F403" s="50"/>
      <c r="G403" s="50"/>
      <c r="H403" s="50"/>
      <c r="I403" s="50"/>
      <c r="J403" s="50"/>
      <c r="K403" s="50"/>
      <c r="L403" s="50"/>
      <c r="M403" s="52"/>
      <c r="N403" s="51"/>
      <c r="O403" s="51"/>
      <c r="P403" s="53">
        <f t="shared" si="42"/>
        <v>0</v>
      </c>
      <c r="Q403" s="50"/>
      <c r="R403" s="50"/>
      <c r="S403" s="51"/>
      <c r="T403" s="50"/>
      <c r="U403" s="50"/>
      <c r="V403" s="50"/>
      <c r="W403" s="50"/>
      <c r="X403" s="50"/>
      <c r="Y403" s="50"/>
      <c r="Z403" s="50"/>
      <c r="AA403" s="50"/>
      <c r="AB403" s="50"/>
      <c r="AC403" s="53">
        <f t="shared" si="43"/>
        <v>0</v>
      </c>
      <c r="AD403" s="53">
        <f t="shared" si="44"/>
        <v>0</v>
      </c>
      <c r="AE403" s="53">
        <f t="shared" si="45"/>
        <v>0</v>
      </c>
      <c r="AF403" s="53">
        <f t="shared" si="46"/>
        <v>0</v>
      </c>
      <c r="AG403" s="53">
        <f t="shared" si="47"/>
        <v>0</v>
      </c>
      <c r="AH403" s="53">
        <f t="shared" si="48"/>
        <v>0</v>
      </c>
      <c r="AI403" s="50"/>
      <c r="AJ403" s="50"/>
      <c r="AK403" s="50"/>
    </row>
    <row r="404" spans="1:37" x14ac:dyDescent="0.2">
      <c r="A404" s="50"/>
      <c r="B404" s="50"/>
      <c r="C404" s="50"/>
      <c r="D404" s="50"/>
      <c r="E404" s="50"/>
      <c r="F404" s="50"/>
      <c r="G404" s="50"/>
      <c r="H404" s="50"/>
      <c r="I404" s="50"/>
      <c r="J404" s="50"/>
      <c r="K404" s="50"/>
      <c r="L404" s="50"/>
      <c r="M404" s="52"/>
      <c r="N404" s="51"/>
      <c r="O404" s="51"/>
      <c r="P404" s="53">
        <f t="shared" si="42"/>
        <v>0</v>
      </c>
      <c r="Q404" s="50"/>
      <c r="R404" s="50"/>
      <c r="S404" s="51"/>
      <c r="T404" s="50"/>
      <c r="U404" s="50"/>
      <c r="V404" s="50"/>
      <c r="W404" s="50"/>
      <c r="X404" s="50"/>
      <c r="Y404" s="50"/>
      <c r="Z404" s="50"/>
      <c r="AA404" s="50"/>
      <c r="AB404" s="50"/>
      <c r="AC404" s="53">
        <f t="shared" si="43"/>
        <v>0</v>
      </c>
      <c r="AD404" s="53">
        <f t="shared" si="44"/>
        <v>0</v>
      </c>
      <c r="AE404" s="53">
        <f t="shared" si="45"/>
        <v>0</v>
      </c>
      <c r="AF404" s="53">
        <f t="shared" si="46"/>
        <v>0</v>
      </c>
      <c r="AG404" s="53">
        <f t="shared" si="47"/>
        <v>0</v>
      </c>
      <c r="AH404" s="53">
        <f t="shared" si="48"/>
        <v>0</v>
      </c>
      <c r="AI404" s="50"/>
      <c r="AJ404" s="50"/>
      <c r="AK404" s="50"/>
    </row>
    <row r="405" spans="1:37" x14ac:dyDescent="0.2">
      <c r="A405" s="50"/>
      <c r="B405" s="50"/>
      <c r="C405" s="50"/>
      <c r="D405" s="50"/>
      <c r="E405" s="50"/>
      <c r="F405" s="50"/>
      <c r="G405" s="50"/>
      <c r="H405" s="50"/>
      <c r="I405" s="50"/>
      <c r="J405" s="50"/>
      <c r="K405" s="50"/>
      <c r="L405" s="50"/>
      <c r="M405" s="52"/>
      <c r="N405" s="51"/>
      <c r="O405" s="51"/>
      <c r="P405" s="53">
        <f t="shared" si="42"/>
        <v>0</v>
      </c>
      <c r="Q405" s="50"/>
      <c r="R405" s="50"/>
      <c r="S405" s="51"/>
      <c r="T405" s="50"/>
      <c r="U405" s="50"/>
      <c r="V405" s="50"/>
      <c r="W405" s="50"/>
      <c r="X405" s="50"/>
      <c r="Y405" s="50"/>
      <c r="Z405" s="50"/>
      <c r="AA405" s="50"/>
      <c r="AB405" s="50"/>
      <c r="AC405" s="53">
        <f t="shared" si="43"/>
        <v>0</v>
      </c>
      <c r="AD405" s="53">
        <f t="shared" si="44"/>
        <v>0</v>
      </c>
      <c r="AE405" s="53">
        <f t="shared" si="45"/>
        <v>0</v>
      </c>
      <c r="AF405" s="53">
        <f t="shared" si="46"/>
        <v>0</v>
      </c>
      <c r="AG405" s="53">
        <f t="shared" si="47"/>
        <v>0</v>
      </c>
      <c r="AH405" s="53">
        <f t="shared" si="48"/>
        <v>0</v>
      </c>
      <c r="AI405" s="50"/>
      <c r="AJ405" s="50"/>
      <c r="AK405" s="50"/>
    </row>
    <row r="406" spans="1:37" x14ac:dyDescent="0.2">
      <c r="A406" s="50"/>
      <c r="B406" s="50"/>
      <c r="C406" s="50"/>
      <c r="D406" s="50"/>
      <c r="E406" s="50"/>
      <c r="F406" s="50"/>
      <c r="G406" s="50"/>
      <c r="H406" s="50"/>
      <c r="I406" s="50"/>
      <c r="J406" s="50"/>
      <c r="K406" s="50"/>
      <c r="L406" s="50"/>
      <c r="M406" s="52"/>
      <c r="N406" s="51"/>
      <c r="O406" s="51"/>
      <c r="P406" s="53">
        <f t="shared" si="42"/>
        <v>0</v>
      </c>
      <c r="Q406" s="50"/>
      <c r="R406" s="50"/>
      <c r="S406" s="51"/>
      <c r="T406" s="50"/>
      <c r="U406" s="50"/>
      <c r="V406" s="50"/>
      <c r="W406" s="50"/>
      <c r="X406" s="50"/>
      <c r="Y406" s="50"/>
      <c r="Z406" s="50"/>
      <c r="AA406" s="50"/>
      <c r="AB406" s="50"/>
      <c r="AC406" s="53">
        <f t="shared" si="43"/>
        <v>0</v>
      </c>
      <c r="AD406" s="53">
        <f t="shared" si="44"/>
        <v>0</v>
      </c>
      <c r="AE406" s="53">
        <f t="shared" si="45"/>
        <v>0</v>
      </c>
      <c r="AF406" s="53">
        <f t="shared" si="46"/>
        <v>0</v>
      </c>
      <c r="AG406" s="53">
        <f t="shared" si="47"/>
        <v>0</v>
      </c>
      <c r="AH406" s="53">
        <f t="shared" si="48"/>
        <v>0</v>
      </c>
      <c r="AI406" s="50"/>
      <c r="AJ406" s="50"/>
      <c r="AK406" s="50"/>
    </row>
    <row r="407" spans="1:37" x14ac:dyDescent="0.2">
      <c r="A407" s="50"/>
      <c r="B407" s="50"/>
      <c r="C407" s="50"/>
      <c r="D407" s="50"/>
      <c r="E407" s="50"/>
      <c r="F407" s="50"/>
      <c r="G407" s="50"/>
      <c r="H407" s="50"/>
      <c r="I407" s="50"/>
      <c r="J407" s="50"/>
      <c r="K407" s="50"/>
      <c r="L407" s="50"/>
      <c r="M407" s="52"/>
      <c r="N407" s="51"/>
      <c r="O407" s="51"/>
      <c r="P407" s="53">
        <f t="shared" si="42"/>
        <v>0</v>
      </c>
      <c r="Q407" s="50"/>
      <c r="R407" s="50"/>
      <c r="S407" s="51"/>
      <c r="T407" s="50"/>
      <c r="U407" s="50"/>
      <c r="V407" s="50"/>
      <c r="W407" s="50"/>
      <c r="X407" s="50"/>
      <c r="Y407" s="50"/>
      <c r="Z407" s="50"/>
      <c r="AA407" s="50"/>
      <c r="AB407" s="50"/>
      <c r="AC407" s="53">
        <f t="shared" si="43"/>
        <v>0</v>
      </c>
      <c r="AD407" s="53">
        <f t="shared" si="44"/>
        <v>0</v>
      </c>
      <c r="AE407" s="53">
        <f t="shared" si="45"/>
        <v>0</v>
      </c>
      <c r="AF407" s="53">
        <f t="shared" si="46"/>
        <v>0</v>
      </c>
      <c r="AG407" s="53">
        <f t="shared" si="47"/>
        <v>0</v>
      </c>
      <c r="AH407" s="53">
        <f t="shared" si="48"/>
        <v>0</v>
      </c>
      <c r="AI407" s="50"/>
      <c r="AJ407" s="50"/>
      <c r="AK407" s="50"/>
    </row>
    <row r="408" spans="1:37" x14ac:dyDescent="0.2">
      <c r="A408" s="50"/>
      <c r="B408" s="50"/>
      <c r="C408" s="50"/>
      <c r="D408" s="50"/>
      <c r="E408" s="50"/>
      <c r="F408" s="50"/>
      <c r="G408" s="50"/>
      <c r="H408" s="50"/>
      <c r="I408" s="50"/>
      <c r="J408" s="50"/>
      <c r="K408" s="50"/>
      <c r="L408" s="50"/>
      <c r="M408" s="52"/>
      <c r="N408" s="51"/>
      <c r="O408" s="51"/>
      <c r="P408" s="53">
        <f t="shared" si="42"/>
        <v>0</v>
      </c>
      <c r="Q408" s="50"/>
      <c r="R408" s="50"/>
      <c r="S408" s="51"/>
      <c r="T408" s="50"/>
      <c r="U408" s="50"/>
      <c r="V408" s="50"/>
      <c r="W408" s="50"/>
      <c r="X408" s="50"/>
      <c r="Y408" s="50"/>
      <c r="Z408" s="50"/>
      <c r="AA408" s="50"/>
      <c r="AB408" s="50"/>
      <c r="AC408" s="53">
        <f t="shared" si="43"/>
        <v>0</v>
      </c>
      <c r="AD408" s="53">
        <f t="shared" si="44"/>
        <v>0</v>
      </c>
      <c r="AE408" s="53">
        <f t="shared" si="45"/>
        <v>0</v>
      </c>
      <c r="AF408" s="53">
        <f t="shared" si="46"/>
        <v>0</v>
      </c>
      <c r="AG408" s="53">
        <f t="shared" si="47"/>
        <v>0</v>
      </c>
      <c r="AH408" s="53">
        <f t="shared" si="48"/>
        <v>0</v>
      </c>
      <c r="AI408" s="50"/>
      <c r="AJ408" s="50"/>
      <c r="AK408" s="50"/>
    </row>
    <row r="409" spans="1:37" x14ac:dyDescent="0.2">
      <c r="A409" s="50"/>
      <c r="B409" s="50"/>
      <c r="C409" s="50"/>
      <c r="D409" s="50"/>
      <c r="E409" s="50"/>
      <c r="F409" s="50"/>
      <c r="G409" s="50"/>
      <c r="H409" s="50"/>
      <c r="I409" s="50"/>
      <c r="J409" s="50"/>
      <c r="K409" s="50"/>
      <c r="L409" s="50"/>
      <c r="M409" s="52"/>
      <c r="N409" s="51"/>
      <c r="O409" s="51"/>
      <c r="P409" s="53">
        <f t="shared" si="42"/>
        <v>0</v>
      </c>
      <c r="Q409" s="50"/>
      <c r="R409" s="50"/>
      <c r="S409" s="51"/>
      <c r="T409" s="50"/>
      <c r="U409" s="50"/>
      <c r="V409" s="50"/>
      <c r="W409" s="50"/>
      <c r="X409" s="50"/>
      <c r="Y409" s="50"/>
      <c r="Z409" s="50"/>
      <c r="AA409" s="50"/>
      <c r="AB409" s="50"/>
      <c r="AC409" s="53">
        <f t="shared" si="43"/>
        <v>0</v>
      </c>
      <c r="AD409" s="53">
        <f t="shared" si="44"/>
        <v>0</v>
      </c>
      <c r="AE409" s="53">
        <f t="shared" si="45"/>
        <v>0</v>
      </c>
      <c r="AF409" s="53">
        <f t="shared" si="46"/>
        <v>0</v>
      </c>
      <c r="AG409" s="53">
        <f t="shared" si="47"/>
        <v>0</v>
      </c>
      <c r="AH409" s="53">
        <f t="shared" si="48"/>
        <v>0</v>
      </c>
      <c r="AI409" s="50"/>
      <c r="AJ409" s="50"/>
      <c r="AK409" s="50"/>
    </row>
    <row r="410" spans="1:37" x14ac:dyDescent="0.2">
      <c r="A410" s="50"/>
      <c r="B410" s="50"/>
      <c r="C410" s="50"/>
      <c r="D410" s="50"/>
      <c r="E410" s="50"/>
      <c r="F410" s="50"/>
      <c r="G410" s="50"/>
      <c r="H410" s="50"/>
      <c r="I410" s="50"/>
      <c r="J410" s="50"/>
      <c r="K410" s="50"/>
      <c r="L410" s="50"/>
      <c r="M410" s="52"/>
      <c r="N410" s="51"/>
      <c r="O410" s="51"/>
      <c r="P410" s="53">
        <f t="shared" si="42"/>
        <v>0</v>
      </c>
      <c r="Q410" s="50"/>
      <c r="R410" s="50"/>
      <c r="S410" s="51"/>
      <c r="T410" s="50"/>
      <c r="U410" s="50"/>
      <c r="V410" s="50"/>
      <c r="W410" s="50"/>
      <c r="X410" s="50"/>
      <c r="Y410" s="50"/>
      <c r="Z410" s="50"/>
      <c r="AA410" s="50"/>
      <c r="AB410" s="50"/>
      <c r="AC410" s="53">
        <f t="shared" si="43"/>
        <v>0</v>
      </c>
      <c r="AD410" s="53">
        <f t="shared" si="44"/>
        <v>0</v>
      </c>
      <c r="AE410" s="53">
        <f t="shared" si="45"/>
        <v>0</v>
      </c>
      <c r="AF410" s="53">
        <f t="shared" si="46"/>
        <v>0</v>
      </c>
      <c r="AG410" s="53">
        <f t="shared" si="47"/>
        <v>0</v>
      </c>
      <c r="AH410" s="53">
        <f t="shared" si="48"/>
        <v>0</v>
      </c>
      <c r="AI410" s="50"/>
      <c r="AJ410" s="50"/>
      <c r="AK410" s="50"/>
    </row>
    <row r="411" spans="1:37" x14ac:dyDescent="0.2">
      <c r="A411" s="50"/>
      <c r="B411" s="50"/>
      <c r="C411" s="50"/>
      <c r="D411" s="50"/>
      <c r="E411" s="50"/>
      <c r="F411" s="50"/>
      <c r="G411" s="50"/>
      <c r="H411" s="50"/>
      <c r="I411" s="50"/>
      <c r="J411" s="50"/>
      <c r="K411" s="50"/>
      <c r="L411" s="50"/>
      <c r="M411" s="52"/>
      <c r="N411" s="51"/>
      <c r="O411" s="51"/>
      <c r="P411" s="53">
        <f t="shared" si="42"/>
        <v>0</v>
      </c>
      <c r="Q411" s="50"/>
      <c r="R411" s="50"/>
      <c r="S411" s="51"/>
      <c r="T411" s="50"/>
      <c r="U411" s="50"/>
      <c r="V411" s="50"/>
      <c r="W411" s="50"/>
      <c r="X411" s="50"/>
      <c r="Y411" s="50"/>
      <c r="Z411" s="50"/>
      <c r="AA411" s="50"/>
      <c r="AB411" s="50"/>
      <c r="AC411" s="53">
        <f t="shared" si="43"/>
        <v>0</v>
      </c>
      <c r="AD411" s="53">
        <f t="shared" si="44"/>
        <v>0</v>
      </c>
      <c r="AE411" s="53">
        <f t="shared" si="45"/>
        <v>0</v>
      </c>
      <c r="AF411" s="53">
        <f t="shared" si="46"/>
        <v>0</v>
      </c>
      <c r="AG411" s="53">
        <f t="shared" si="47"/>
        <v>0</v>
      </c>
      <c r="AH411" s="53">
        <f t="shared" si="48"/>
        <v>0</v>
      </c>
      <c r="AI411" s="50"/>
      <c r="AJ411" s="50"/>
      <c r="AK411" s="50"/>
    </row>
    <row r="412" spans="1:37" x14ac:dyDescent="0.2">
      <c r="A412" s="50"/>
      <c r="B412" s="50"/>
      <c r="C412" s="50"/>
      <c r="D412" s="50"/>
      <c r="E412" s="50"/>
      <c r="F412" s="50"/>
      <c r="G412" s="50"/>
      <c r="H412" s="50"/>
      <c r="I412" s="50"/>
      <c r="J412" s="50"/>
      <c r="K412" s="50"/>
      <c r="L412" s="50"/>
      <c r="M412" s="52"/>
      <c r="N412" s="51"/>
      <c r="O412" s="51"/>
      <c r="P412" s="53">
        <f t="shared" si="42"/>
        <v>0</v>
      </c>
      <c r="Q412" s="50"/>
      <c r="R412" s="50"/>
      <c r="S412" s="51"/>
      <c r="T412" s="50"/>
      <c r="U412" s="50"/>
      <c r="V412" s="50"/>
      <c r="W412" s="50"/>
      <c r="X412" s="50"/>
      <c r="Y412" s="50"/>
      <c r="Z412" s="50"/>
      <c r="AA412" s="50"/>
      <c r="AB412" s="50"/>
      <c r="AC412" s="53">
        <f t="shared" si="43"/>
        <v>0</v>
      </c>
      <c r="AD412" s="53">
        <f t="shared" si="44"/>
        <v>0</v>
      </c>
      <c r="AE412" s="53">
        <f t="shared" si="45"/>
        <v>0</v>
      </c>
      <c r="AF412" s="53">
        <f t="shared" si="46"/>
        <v>0</v>
      </c>
      <c r="AG412" s="53">
        <f t="shared" si="47"/>
        <v>0</v>
      </c>
      <c r="AH412" s="53">
        <f t="shared" si="48"/>
        <v>0</v>
      </c>
      <c r="AI412" s="50"/>
      <c r="AJ412" s="50"/>
      <c r="AK412" s="50"/>
    </row>
    <row r="413" spans="1:37" x14ac:dyDescent="0.2">
      <c r="A413" s="50"/>
      <c r="B413" s="50"/>
      <c r="C413" s="50"/>
      <c r="D413" s="50"/>
      <c r="E413" s="50"/>
      <c r="F413" s="50"/>
      <c r="G413" s="50"/>
      <c r="H413" s="50"/>
      <c r="I413" s="50"/>
      <c r="J413" s="50"/>
      <c r="K413" s="50"/>
      <c r="L413" s="50"/>
      <c r="M413" s="52"/>
      <c r="N413" s="51"/>
      <c r="O413" s="51"/>
      <c r="P413" s="53">
        <f t="shared" si="42"/>
        <v>0</v>
      </c>
      <c r="Q413" s="50"/>
      <c r="R413" s="50"/>
      <c r="S413" s="51"/>
      <c r="T413" s="50"/>
      <c r="U413" s="50"/>
      <c r="V413" s="50"/>
      <c r="W413" s="50"/>
      <c r="X413" s="50"/>
      <c r="Y413" s="50"/>
      <c r="Z413" s="50"/>
      <c r="AA413" s="50"/>
      <c r="AB413" s="50"/>
      <c r="AC413" s="53">
        <f t="shared" si="43"/>
        <v>0</v>
      </c>
      <c r="AD413" s="53">
        <f t="shared" si="44"/>
        <v>0</v>
      </c>
      <c r="AE413" s="53">
        <f t="shared" si="45"/>
        <v>0</v>
      </c>
      <c r="AF413" s="53">
        <f t="shared" si="46"/>
        <v>0</v>
      </c>
      <c r="AG413" s="53">
        <f t="shared" si="47"/>
        <v>0</v>
      </c>
      <c r="AH413" s="53">
        <f t="shared" si="48"/>
        <v>0</v>
      </c>
      <c r="AI413" s="50"/>
      <c r="AJ413" s="50"/>
      <c r="AK413" s="50"/>
    </row>
    <row r="414" spans="1:37" x14ac:dyDescent="0.2">
      <c r="A414" s="50"/>
      <c r="B414" s="50"/>
      <c r="C414" s="50"/>
      <c r="D414" s="50"/>
      <c r="E414" s="50"/>
      <c r="F414" s="50"/>
      <c r="G414" s="50"/>
      <c r="H414" s="50"/>
      <c r="I414" s="50"/>
      <c r="J414" s="50"/>
      <c r="K414" s="50"/>
      <c r="L414" s="50"/>
      <c r="M414" s="52"/>
      <c r="N414" s="51"/>
      <c r="O414" s="51"/>
      <c r="P414" s="53">
        <f t="shared" si="42"/>
        <v>0</v>
      </c>
      <c r="Q414" s="50"/>
      <c r="R414" s="50"/>
      <c r="S414" s="51"/>
      <c r="T414" s="50"/>
      <c r="U414" s="50"/>
      <c r="V414" s="50"/>
      <c r="W414" s="50"/>
      <c r="X414" s="50"/>
      <c r="Y414" s="50"/>
      <c r="Z414" s="50"/>
      <c r="AA414" s="50"/>
      <c r="AB414" s="50"/>
      <c r="AC414" s="53">
        <f t="shared" si="43"/>
        <v>0</v>
      </c>
      <c r="AD414" s="53">
        <f t="shared" si="44"/>
        <v>0</v>
      </c>
      <c r="AE414" s="53">
        <f t="shared" si="45"/>
        <v>0</v>
      </c>
      <c r="AF414" s="53">
        <f t="shared" si="46"/>
        <v>0</v>
      </c>
      <c r="AG414" s="53">
        <f t="shared" si="47"/>
        <v>0</v>
      </c>
      <c r="AH414" s="53">
        <f t="shared" si="48"/>
        <v>0</v>
      </c>
      <c r="AI414" s="50"/>
      <c r="AJ414" s="50"/>
      <c r="AK414" s="50"/>
    </row>
    <row r="415" spans="1:37" x14ac:dyDescent="0.2">
      <c r="A415" s="50"/>
      <c r="B415" s="50"/>
      <c r="C415" s="50"/>
      <c r="D415" s="50"/>
      <c r="E415" s="50"/>
      <c r="F415" s="50"/>
      <c r="G415" s="50"/>
      <c r="H415" s="50"/>
      <c r="I415" s="50"/>
      <c r="J415" s="50"/>
      <c r="K415" s="50"/>
      <c r="L415" s="50"/>
      <c r="M415" s="52"/>
      <c r="N415" s="51"/>
      <c r="O415" s="51"/>
      <c r="P415" s="53">
        <f t="shared" si="42"/>
        <v>0</v>
      </c>
      <c r="Q415" s="50"/>
      <c r="R415" s="50"/>
      <c r="S415" s="51"/>
      <c r="T415" s="50"/>
      <c r="U415" s="50"/>
      <c r="V415" s="50"/>
      <c r="W415" s="50"/>
      <c r="X415" s="50"/>
      <c r="Y415" s="50"/>
      <c r="Z415" s="50"/>
      <c r="AA415" s="50"/>
      <c r="AB415" s="50"/>
      <c r="AC415" s="53">
        <f t="shared" si="43"/>
        <v>0</v>
      </c>
      <c r="AD415" s="53">
        <f t="shared" si="44"/>
        <v>0</v>
      </c>
      <c r="AE415" s="53">
        <f t="shared" si="45"/>
        <v>0</v>
      </c>
      <c r="AF415" s="53">
        <f t="shared" si="46"/>
        <v>0</v>
      </c>
      <c r="AG415" s="53">
        <f t="shared" si="47"/>
        <v>0</v>
      </c>
      <c r="AH415" s="53">
        <f t="shared" si="48"/>
        <v>0</v>
      </c>
      <c r="AI415" s="50"/>
      <c r="AJ415" s="50"/>
      <c r="AK415" s="50"/>
    </row>
    <row r="416" spans="1:37" x14ac:dyDescent="0.2">
      <c r="A416" s="50"/>
      <c r="B416" s="50"/>
      <c r="C416" s="50"/>
      <c r="D416" s="50"/>
      <c r="E416" s="50"/>
      <c r="F416" s="50"/>
      <c r="G416" s="50"/>
      <c r="H416" s="50"/>
      <c r="I416" s="50"/>
      <c r="J416" s="50"/>
      <c r="K416" s="50"/>
      <c r="L416" s="50"/>
      <c r="M416" s="52"/>
      <c r="N416" s="51"/>
      <c r="O416" s="51"/>
      <c r="P416" s="53">
        <f t="shared" si="42"/>
        <v>0</v>
      </c>
      <c r="Q416" s="50"/>
      <c r="R416" s="50"/>
      <c r="S416" s="51"/>
      <c r="T416" s="50"/>
      <c r="U416" s="50"/>
      <c r="V416" s="50"/>
      <c r="W416" s="50"/>
      <c r="X416" s="50"/>
      <c r="Y416" s="50"/>
      <c r="Z416" s="50"/>
      <c r="AA416" s="50"/>
      <c r="AB416" s="50"/>
      <c r="AC416" s="53">
        <f t="shared" si="43"/>
        <v>0</v>
      </c>
      <c r="AD416" s="53">
        <f t="shared" si="44"/>
        <v>0</v>
      </c>
      <c r="AE416" s="53">
        <f t="shared" si="45"/>
        <v>0</v>
      </c>
      <c r="AF416" s="53">
        <f t="shared" si="46"/>
        <v>0</v>
      </c>
      <c r="AG416" s="53">
        <f t="shared" si="47"/>
        <v>0</v>
      </c>
      <c r="AH416" s="53">
        <f t="shared" si="48"/>
        <v>0</v>
      </c>
      <c r="AI416" s="50"/>
      <c r="AJ416" s="50"/>
      <c r="AK416" s="50"/>
    </row>
    <row r="417" spans="1:37" x14ac:dyDescent="0.2">
      <c r="A417" s="50"/>
      <c r="B417" s="50"/>
      <c r="C417" s="50"/>
      <c r="D417" s="50"/>
      <c r="E417" s="50"/>
      <c r="F417" s="50"/>
      <c r="G417" s="50"/>
      <c r="H417" s="50"/>
      <c r="I417" s="50"/>
      <c r="J417" s="50"/>
      <c r="K417" s="50"/>
      <c r="L417" s="50"/>
      <c r="M417" s="52"/>
      <c r="N417" s="51"/>
      <c r="O417" s="51"/>
      <c r="P417" s="53">
        <f t="shared" si="42"/>
        <v>0</v>
      </c>
      <c r="Q417" s="50"/>
      <c r="R417" s="50"/>
      <c r="S417" s="51"/>
      <c r="T417" s="50"/>
      <c r="U417" s="50"/>
      <c r="V417" s="50"/>
      <c r="W417" s="50"/>
      <c r="X417" s="50"/>
      <c r="Y417" s="50"/>
      <c r="Z417" s="50"/>
      <c r="AA417" s="50"/>
      <c r="AB417" s="50"/>
      <c r="AC417" s="53">
        <f t="shared" si="43"/>
        <v>0</v>
      </c>
      <c r="AD417" s="53">
        <f t="shared" si="44"/>
        <v>0</v>
      </c>
      <c r="AE417" s="53">
        <f t="shared" si="45"/>
        <v>0</v>
      </c>
      <c r="AF417" s="53">
        <f t="shared" si="46"/>
        <v>0</v>
      </c>
      <c r="AG417" s="53">
        <f t="shared" si="47"/>
        <v>0</v>
      </c>
      <c r="AH417" s="53">
        <f t="shared" si="48"/>
        <v>0</v>
      </c>
      <c r="AI417" s="50"/>
      <c r="AJ417" s="50"/>
      <c r="AK417" s="50"/>
    </row>
    <row r="418" spans="1:37" x14ac:dyDescent="0.2">
      <c r="A418" s="50"/>
      <c r="B418" s="50"/>
      <c r="C418" s="50"/>
      <c r="D418" s="50"/>
      <c r="E418" s="50"/>
      <c r="F418" s="50"/>
      <c r="G418" s="50"/>
      <c r="H418" s="50"/>
      <c r="I418" s="50"/>
      <c r="J418" s="50"/>
      <c r="K418" s="50"/>
      <c r="L418" s="50"/>
      <c r="M418" s="52"/>
      <c r="N418" s="51"/>
      <c r="O418" s="51"/>
      <c r="P418" s="53">
        <f t="shared" si="42"/>
        <v>0</v>
      </c>
      <c r="Q418" s="50"/>
      <c r="R418" s="50"/>
      <c r="S418" s="51"/>
      <c r="T418" s="50"/>
      <c r="U418" s="50"/>
      <c r="V418" s="50"/>
      <c r="W418" s="50"/>
      <c r="X418" s="50"/>
      <c r="Y418" s="50"/>
      <c r="Z418" s="50"/>
      <c r="AA418" s="50"/>
      <c r="AB418" s="50"/>
      <c r="AC418" s="53">
        <f t="shared" si="43"/>
        <v>0</v>
      </c>
      <c r="AD418" s="53">
        <f t="shared" si="44"/>
        <v>0</v>
      </c>
      <c r="AE418" s="53">
        <f t="shared" si="45"/>
        <v>0</v>
      </c>
      <c r="AF418" s="53">
        <f t="shared" si="46"/>
        <v>0</v>
      </c>
      <c r="AG418" s="53">
        <f t="shared" si="47"/>
        <v>0</v>
      </c>
      <c r="AH418" s="53">
        <f t="shared" si="48"/>
        <v>0</v>
      </c>
      <c r="AI418" s="50"/>
      <c r="AJ418" s="50"/>
      <c r="AK418" s="50"/>
    </row>
    <row r="419" spans="1:37" x14ac:dyDescent="0.2">
      <c r="A419" s="50"/>
      <c r="B419" s="50"/>
      <c r="C419" s="50"/>
      <c r="D419" s="50"/>
      <c r="E419" s="50"/>
      <c r="F419" s="50"/>
      <c r="G419" s="50"/>
      <c r="H419" s="50"/>
      <c r="I419" s="50"/>
      <c r="J419" s="50"/>
      <c r="K419" s="50"/>
      <c r="L419" s="50"/>
      <c r="M419" s="52"/>
      <c r="N419" s="51"/>
      <c r="O419" s="51"/>
      <c r="P419" s="53">
        <f t="shared" si="42"/>
        <v>0</v>
      </c>
      <c r="Q419" s="50"/>
      <c r="R419" s="50"/>
      <c r="S419" s="51"/>
      <c r="T419" s="50"/>
      <c r="U419" s="50"/>
      <c r="V419" s="50"/>
      <c r="W419" s="50"/>
      <c r="X419" s="50"/>
      <c r="Y419" s="50"/>
      <c r="Z419" s="50"/>
      <c r="AA419" s="50"/>
      <c r="AB419" s="50"/>
      <c r="AC419" s="53">
        <f t="shared" si="43"/>
        <v>0</v>
      </c>
      <c r="AD419" s="53">
        <f t="shared" si="44"/>
        <v>0</v>
      </c>
      <c r="AE419" s="53">
        <f t="shared" si="45"/>
        <v>0</v>
      </c>
      <c r="AF419" s="53">
        <f t="shared" si="46"/>
        <v>0</v>
      </c>
      <c r="AG419" s="53">
        <f t="shared" si="47"/>
        <v>0</v>
      </c>
      <c r="AH419" s="53">
        <f t="shared" si="48"/>
        <v>0</v>
      </c>
      <c r="AI419" s="50"/>
      <c r="AJ419" s="50"/>
      <c r="AK419" s="50"/>
    </row>
    <row r="420" spans="1:37" x14ac:dyDescent="0.2">
      <c r="A420" s="50"/>
      <c r="B420" s="50"/>
      <c r="C420" s="50"/>
      <c r="D420" s="50"/>
      <c r="E420" s="50"/>
      <c r="F420" s="50"/>
      <c r="G420" s="50"/>
      <c r="H420" s="50"/>
      <c r="I420" s="50"/>
      <c r="J420" s="50"/>
      <c r="K420" s="50"/>
      <c r="L420" s="50"/>
      <c r="M420" s="52"/>
      <c r="N420" s="51"/>
      <c r="O420" s="51"/>
      <c r="P420" s="53">
        <f t="shared" si="42"/>
        <v>0</v>
      </c>
      <c r="Q420" s="50"/>
      <c r="R420" s="50"/>
      <c r="S420" s="51"/>
      <c r="T420" s="50"/>
      <c r="U420" s="50"/>
      <c r="V420" s="50"/>
      <c r="W420" s="50"/>
      <c r="X420" s="50"/>
      <c r="Y420" s="50"/>
      <c r="Z420" s="50"/>
      <c r="AA420" s="50"/>
      <c r="AB420" s="50"/>
      <c r="AC420" s="53">
        <f t="shared" si="43"/>
        <v>0</v>
      </c>
      <c r="AD420" s="53">
        <f t="shared" si="44"/>
        <v>0</v>
      </c>
      <c r="AE420" s="53">
        <f t="shared" si="45"/>
        <v>0</v>
      </c>
      <c r="AF420" s="53">
        <f t="shared" si="46"/>
        <v>0</v>
      </c>
      <c r="AG420" s="53">
        <f t="shared" si="47"/>
        <v>0</v>
      </c>
      <c r="AH420" s="53">
        <f t="shared" si="48"/>
        <v>0</v>
      </c>
      <c r="AI420" s="50"/>
      <c r="AJ420" s="50"/>
      <c r="AK420" s="50"/>
    </row>
    <row r="421" spans="1:37" x14ac:dyDescent="0.2">
      <c r="A421" s="50"/>
      <c r="B421" s="50"/>
      <c r="C421" s="50"/>
      <c r="D421" s="50"/>
      <c r="E421" s="50"/>
      <c r="F421" s="50"/>
      <c r="G421" s="50"/>
      <c r="H421" s="50"/>
      <c r="I421" s="50"/>
      <c r="J421" s="50"/>
      <c r="K421" s="50"/>
      <c r="L421" s="50"/>
      <c r="M421" s="52"/>
      <c r="N421" s="51"/>
      <c r="O421" s="51"/>
      <c r="P421" s="53">
        <f t="shared" si="42"/>
        <v>0</v>
      </c>
      <c r="Q421" s="50"/>
      <c r="R421" s="50"/>
      <c r="S421" s="51"/>
      <c r="T421" s="50"/>
      <c r="U421" s="50"/>
      <c r="V421" s="50"/>
      <c r="W421" s="50"/>
      <c r="X421" s="50"/>
      <c r="Y421" s="50"/>
      <c r="Z421" s="50"/>
      <c r="AA421" s="50"/>
      <c r="AB421" s="50"/>
      <c r="AC421" s="53">
        <f t="shared" si="43"/>
        <v>0</v>
      </c>
      <c r="AD421" s="53">
        <f t="shared" si="44"/>
        <v>0</v>
      </c>
      <c r="AE421" s="53">
        <f t="shared" si="45"/>
        <v>0</v>
      </c>
      <c r="AF421" s="53">
        <f t="shared" si="46"/>
        <v>0</v>
      </c>
      <c r="AG421" s="53">
        <f t="shared" si="47"/>
        <v>0</v>
      </c>
      <c r="AH421" s="53">
        <f t="shared" si="48"/>
        <v>0</v>
      </c>
      <c r="AI421" s="50"/>
      <c r="AJ421" s="50"/>
      <c r="AK421" s="50"/>
    </row>
    <row r="422" spans="1:37" x14ac:dyDescent="0.2">
      <c r="A422" s="50"/>
      <c r="B422" s="50"/>
      <c r="C422" s="50"/>
      <c r="D422" s="50"/>
      <c r="E422" s="50"/>
      <c r="F422" s="50"/>
      <c r="G422" s="50"/>
      <c r="H422" s="50"/>
      <c r="I422" s="50"/>
      <c r="J422" s="50"/>
      <c r="K422" s="50"/>
      <c r="L422" s="50"/>
      <c r="M422" s="52"/>
      <c r="N422" s="51"/>
      <c r="O422" s="51"/>
      <c r="P422" s="53">
        <f t="shared" si="42"/>
        <v>0</v>
      </c>
      <c r="Q422" s="50"/>
      <c r="R422" s="50"/>
      <c r="S422" s="51"/>
      <c r="T422" s="50"/>
      <c r="U422" s="50"/>
      <c r="V422" s="50"/>
      <c r="W422" s="50"/>
      <c r="X422" s="50"/>
      <c r="Y422" s="50"/>
      <c r="Z422" s="50"/>
      <c r="AA422" s="50"/>
      <c r="AB422" s="50"/>
      <c r="AC422" s="53">
        <f t="shared" si="43"/>
        <v>0</v>
      </c>
      <c r="AD422" s="53">
        <f t="shared" si="44"/>
        <v>0</v>
      </c>
      <c r="AE422" s="53">
        <f t="shared" si="45"/>
        <v>0</v>
      </c>
      <c r="AF422" s="53">
        <f t="shared" si="46"/>
        <v>0</v>
      </c>
      <c r="AG422" s="53">
        <f t="shared" si="47"/>
        <v>0</v>
      </c>
      <c r="AH422" s="53">
        <f t="shared" si="48"/>
        <v>0</v>
      </c>
      <c r="AI422" s="50"/>
      <c r="AJ422" s="50"/>
      <c r="AK422" s="50"/>
    </row>
    <row r="423" spans="1:37" x14ac:dyDescent="0.2">
      <c r="A423" s="50"/>
      <c r="B423" s="50"/>
      <c r="C423" s="50"/>
      <c r="D423" s="50"/>
      <c r="E423" s="50"/>
      <c r="F423" s="50"/>
      <c r="G423" s="50"/>
      <c r="H423" s="50"/>
      <c r="I423" s="50"/>
      <c r="J423" s="50"/>
      <c r="K423" s="50"/>
      <c r="L423" s="50"/>
      <c r="M423" s="52"/>
      <c r="N423" s="51"/>
      <c r="O423" s="51"/>
      <c r="P423" s="53">
        <f t="shared" si="42"/>
        <v>0</v>
      </c>
      <c r="Q423" s="50"/>
      <c r="R423" s="50"/>
      <c r="S423" s="51"/>
      <c r="T423" s="50"/>
      <c r="U423" s="50"/>
      <c r="V423" s="50"/>
      <c r="W423" s="50"/>
      <c r="X423" s="50"/>
      <c r="Y423" s="50"/>
      <c r="Z423" s="50"/>
      <c r="AA423" s="50"/>
      <c r="AB423" s="50"/>
      <c r="AC423" s="53">
        <f t="shared" si="43"/>
        <v>0</v>
      </c>
      <c r="AD423" s="53">
        <f t="shared" si="44"/>
        <v>0</v>
      </c>
      <c r="AE423" s="53">
        <f t="shared" si="45"/>
        <v>0</v>
      </c>
      <c r="AF423" s="53">
        <f t="shared" si="46"/>
        <v>0</v>
      </c>
      <c r="AG423" s="53">
        <f t="shared" si="47"/>
        <v>0</v>
      </c>
      <c r="AH423" s="53">
        <f t="shared" si="48"/>
        <v>0</v>
      </c>
      <c r="AI423" s="50"/>
      <c r="AJ423" s="50"/>
      <c r="AK423" s="50"/>
    </row>
    <row r="424" spans="1:37" x14ac:dyDescent="0.2">
      <c r="A424" s="50"/>
      <c r="B424" s="50"/>
      <c r="C424" s="50"/>
      <c r="D424" s="50"/>
      <c r="E424" s="50"/>
      <c r="F424" s="50"/>
      <c r="G424" s="50"/>
      <c r="H424" s="50"/>
      <c r="I424" s="50"/>
      <c r="J424" s="50"/>
      <c r="K424" s="50"/>
      <c r="L424" s="50"/>
      <c r="M424" s="52"/>
      <c r="N424" s="51"/>
      <c r="O424" s="51"/>
      <c r="P424" s="53">
        <f t="shared" si="42"/>
        <v>0</v>
      </c>
      <c r="Q424" s="50"/>
      <c r="R424" s="50"/>
      <c r="S424" s="51"/>
      <c r="T424" s="50"/>
      <c r="U424" s="50"/>
      <c r="V424" s="50"/>
      <c r="W424" s="50"/>
      <c r="X424" s="50"/>
      <c r="Y424" s="50"/>
      <c r="Z424" s="50"/>
      <c r="AA424" s="50"/>
      <c r="AB424" s="50"/>
      <c r="AC424" s="53">
        <f t="shared" si="43"/>
        <v>0</v>
      </c>
      <c r="AD424" s="53">
        <f t="shared" si="44"/>
        <v>0</v>
      </c>
      <c r="AE424" s="53">
        <f t="shared" si="45"/>
        <v>0</v>
      </c>
      <c r="AF424" s="53">
        <f t="shared" si="46"/>
        <v>0</v>
      </c>
      <c r="AG424" s="53">
        <f t="shared" si="47"/>
        <v>0</v>
      </c>
      <c r="AH424" s="53">
        <f t="shared" si="48"/>
        <v>0</v>
      </c>
      <c r="AI424" s="50"/>
      <c r="AJ424" s="50"/>
      <c r="AK424" s="50"/>
    </row>
    <row r="425" spans="1:37" x14ac:dyDescent="0.2">
      <c r="A425" s="50"/>
      <c r="B425" s="50"/>
      <c r="C425" s="50"/>
      <c r="D425" s="50"/>
      <c r="E425" s="50"/>
      <c r="F425" s="50"/>
      <c r="G425" s="50"/>
      <c r="H425" s="50"/>
      <c r="I425" s="50"/>
      <c r="J425" s="50"/>
      <c r="K425" s="50"/>
      <c r="L425" s="50"/>
      <c r="M425" s="52"/>
      <c r="N425" s="51"/>
      <c r="O425" s="51"/>
      <c r="P425" s="53">
        <f t="shared" si="42"/>
        <v>0</v>
      </c>
      <c r="Q425" s="50"/>
      <c r="R425" s="50"/>
      <c r="S425" s="51"/>
      <c r="T425" s="50"/>
      <c r="U425" s="50"/>
      <c r="V425" s="50"/>
      <c r="W425" s="50"/>
      <c r="X425" s="50"/>
      <c r="Y425" s="50"/>
      <c r="Z425" s="50"/>
      <c r="AA425" s="50"/>
      <c r="AB425" s="50"/>
      <c r="AC425" s="53">
        <f t="shared" si="43"/>
        <v>0</v>
      </c>
      <c r="AD425" s="53">
        <f t="shared" si="44"/>
        <v>0</v>
      </c>
      <c r="AE425" s="53">
        <f t="shared" si="45"/>
        <v>0</v>
      </c>
      <c r="AF425" s="53">
        <f t="shared" si="46"/>
        <v>0</v>
      </c>
      <c r="AG425" s="53">
        <f t="shared" si="47"/>
        <v>0</v>
      </c>
      <c r="AH425" s="53">
        <f t="shared" si="48"/>
        <v>0</v>
      </c>
      <c r="AI425" s="50"/>
      <c r="AJ425" s="50"/>
      <c r="AK425" s="50"/>
    </row>
    <row r="426" spans="1:37" x14ac:dyDescent="0.2">
      <c r="A426" s="50"/>
      <c r="B426" s="50"/>
      <c r="C426" s="50"/>
      <c r="D426" s="50"/>
      <c r="E426" s="50"/>
      <c r="F426" s="50"/>
      <c r="G426" s="50"/>
      <c r="H426" s="50"/>
      <c r="I426" s="50"/>
      <c r="J426" s="50"/>
      <c r="K426" s="50"/>
      <c r="L426" s="50"/>
      <c r="M426" s="52"/>
      <c r="N426" s="51"/>
      <c r="O426" s="51"/>
      <c r="P426" s="53">
        <f t="shared" si="42"/>
        <v>0</v>
      </c>
      <c r="Q426" s="50"/>
      <c r="R426" s="50"/>
      <c r="S426" s="51"/>
      <c r="T426" s="50"/>
      <c r="U426" s="50"/>
      <c r="V426" s="50"/>
      <c r="W426" s="50"/>
      <c r="X426" s="50"/>
      <c r="Y426" s="50"/>
      <c r="Z426" s="50"/>
      <c r="AA426" s="50"/>
      <c r="AB426" s="50"/>
      <c r="AC426" s="53">
        <f t="shared" si="43"/>
        <v>0</v>
      </c>
      <c r="AD426" s="53">
        <f t="shared" si="44"/>
        <v>0</v>
      </c>
      <c r="AE426" s="53">
        <f t="shared" si="45"/>
        <v>0</v>
      </c>
      <c r="AF426" s="53">
        <f t="shared" si="46"/>
        <v>0</v>
      </c>
      <c r="AG426" s="53">
        <f t="shared" si="47"/>
        <v>0</v>
      </c>
      <c r="AH426" s="53">
        <f t="shared" si="48"/>
        <v>0</v>
      </c>
      <c r="AI426" s="50"/>
      <c r="AJ426" s="50"/>
      <c r="AK426" s="50"/>
    </row>
    <row r="427" spans="1:37" x14ac:dyDescent="0.2">
      <c r="A427" s="50"/>
      <c r="B427" s="50"/>
      <c r="C427" s="50"/>
      <c r="D427" s="50"/>
      <c r="E427" s="50"/>
      <c r="F427" s="50"/>
      <c r="G427" s="50"/>
      <c r="H427" s="50"/>
      <c r="I427" s="50"/>
      <c r="J427" s="50"/>
      <c r="K427" s="50"/>
      <c r="L427" s="50"/>
      <c r="M427" s="52"/>
      <c r="N427" s="51"/>
      <c r="O427" s="51"/>
      <c r="P427" s="53">
        <f t="shared" si="42"/>
        <v>0</v>
      </c>
      <c r="Q427" s="50"/>
      <c r="R427" s="50"/>
      <c r="S427" s="51"/>
      <c r="T427" s="50"/>
      <c r="U427" s="50"/>
      <c r="V427" s="50"/>
      <c r="W427" s="50"/>
      <c r="X427" s="50"/>
      <c r="Y427" s="50"/>
      <c r="Z427" s="50"/>
      <c r="AA427" s="50"/>
      <c r="AB427" s="50"/>
      <c r="AC427" s="53">
        <f t="shared" si="43"/>
        <v>0</v>
      </c>
      <c r="AD427" s="53">
        <f t="shared" si="44"/>
        <v>0</v>
      </c>
      <c r="AE427" s="53">
        <f t="shared" si="45"/>
        <v>0</v>
      </c>
      <c r="AF427" s="53">
        <f t="shared" si="46"/>
        <v>0</v>
      </c>
      <c r="AG427" s="53">
        <f t="shared" si="47"/>
        <v>0</v>
      </c>
      <c r="AH427" s="53">
        <f t="shared" si="48"/>
        <v>0</v>
      </c>
      <c r="AI427" s="50"/>
      <c r="AJ427" s="50"/>
      <c r="AK427" s="50"/>
    </row>
    <row r="428" spans="1:37" x14ac:dyDescent="0.2">
      <c r="A428" s="50"/>
      <c r="B428" s="50"/>
      <c r="C428" s="50"/>
      <c r="D428" s="50"/>
      <c r="E428" s="50"/>
      <c r="F428" s="50"/>
      <c r="G428" s="50"/>
      <c r="H428" s="50"/>
      <c r="I428" s="50"/>
      <c r="J428" s="50"/>
      <c r="K428" s="50"/>
      <c r="L428" s="50"/>
      <c r="M428" s="52"/>
      <c r="N428" s="51"/>
      <c r="O428" s="51"/>
      <c r="P428" s="53">
        <f t="shared" si="42"/>
        <v>0</v>
      </c>
      <c r="Q428" s="50"/>
      <c r="R428" s="50"/>
      <c r="S428" s="51"/>
      <c r="T428" s="50"/>
      <c r="U428" s="50"/>
      <c r="V428" s="50"/>
      <c r="W428" s="50"/>
      <c r="X428" s="50"/>
      <c r="Y428" s="50"/>
      <c r="Z428" s="50"/>
      <c r="AA428" s="50"/>
      <c r="AB428" s="50"/>
      <c r="AC428" s="53">
        <f t="shared" si="43"/>
        <v>0</v>
      </c>
      <c r="AD428" s="53">
        <f t="shared" si="44"/>
        <v>0</v>
      </c>
      <c r="AE428" s="53">
        <f t="shared" si="45"/>
        <v>0</v>
      </c>
      <c r="AF428" s="53">
        <f t="shared" si="46"/>
        <v>0</v>
      </c>
      <c r="AG428" s="53">
        <f t="shared" si="47"/>
        <v>0</v>
      </c>
      <c r="AH428" s="53">
        <f t="shared" si="48"/>
        <v>0</v>
      </c>
      <c r="AI428" s="50"/>
      <c r="AJ428" s="50"/>
      <c r="AK428" s="50"/>
    </row>
    <row r="429" spans="1:37" x14ac:dyDescent="0.2">
      <c r="A429" s="50"/>
      <c r="B429" s="50"/>
      <c r="C429" s="50"/>
      <c r="D429" s="50"/>
      <c r="E429" s="50"/>
      <c r="F429" s="50"/>
      <c r="G429" s="50"/>
      <c r="H429" s="50"/>
      <c r="I429" s="50"/>
      <c r="J429" s="50"/>
      <c r="K429" s="50"/>
      <c r="L429" s="50"/>
      <c r="M429" s="52"/>
      <c r="N429" s="51"/>
      <c r="O429" s="51"/>
      <c r="P429" s="53">
        <f t="shared" si="42"/>
        <v>0</v>
      </c>
      <c r="Q429" s="50"/>
      <c r="R429" s="50"/>
      <c r="S429" s="51"/>
      <c r="T429" s="50"/>
      <c r="U429" s="50"/>
      <c r="V429" s="50"/>
      <c r="W429" s="50"/>
      <c r="X429" s="50"/>
      <c r="Y429" s="50"/>
      <c r="Z429" s="50"/>
      <c r="AA429" s="50"/>
      <c r="AB429" s="50"/>
      <c r="AC429" s="53">
        <f t="shared" si="43"/>
        <v>0</v>
      </c>
      <c r="AD429" s="53">
        <f t="shared" si="44"/>
        <v>0</v>
      </c>
      <c r="AE429" s="53">
        <f t="shared" si="45"/>
        <v>0</v>
      </c>
      <c r="AF429" s="53">
        <f t="shared" si="46"/>
        <v>0</v>
      </c>
      <c r="AG429" s="53">
        <f t="shared" si="47"/>
        <v>0</v>
      </c>
      <c r="AH429" s="53">
        <f t="shared" si="48"/>
        <v>0</v>
      </c>
      <c r="AI429" s="50"/>
      <c r="AJ429" s="50"/>
      <c r="AK429" s="50"/>
    </row>
    <row r="430" spans="1:37" x14ac:dyDescent="0.2">
      <c r="A430" s="50"/>
      <c r="B430" s="50"/>
      <c r="C430" s="50"/>
      <c r="D430" s="50"/>
      <c r="E430" s="50"/>
      <c r="F430" s="50"/>
      <c r="G430" s="50"/>
      <c r="H430" s="50"/>
      <c r="I430" s="50"/>
      <c r="J430" s="50"/>
      <c r="K430" s="50"/>
      <c r="L430" s="50"/>
      <c r="M430" s="52"/>
      <c r="N430" s="51"/>
      <c r="O430" s="51"/>
      <c r="P430" s="53">
        <f t="shared" si="42"/>
        <v>0</v>
      </c>
      <c r="Q430" s="50"/>
      <c r="R430" s="50"/>
      <c r="S430" s="51"/>
      <c r="T430" s="50"/>
      <c r="U430" s="50"/>
      <c r="V430" s="50"/>
      <c r="W430" s="50"/>
      <c r="X430" s="50"/>
      <c r="Y430" s="50"/>
      <c r="Z430" s="50"/>
      <c r="AA430" s="50"/>
      <c r="AB430" s="50"/>
      <c r="AC430" s="53">
        <f t="shared" si="43"/>
        <v>0</v>
      </c>
      <c r="AD430" s="53">
        <f t="shared" si="44"/>
        <v>0</v>
      </c>
      <c r="AE430" s="53">
        <f t="shared" si="45"/>
        <v>0</v>
      </c>
      <c r="AF430" s="53">
        <f t="shared" si="46"/>
        <v>0</v>
      </c>
      <c r="AG430" s="53">
        <f t="shared" si="47"/>
        <v>0</v>
      </c>
      <c r="AH430" s="53">
        <f t="shared" si="48"/>
        <v>0</v>
      </c>
      <c r="AI430" s="50"/>
      <c r="AJ430" s="50"/>
      <c r="AK430" s="50"/>
    </row>
    <row r="431" spans="1:37" x14ac:dyDescent="0.2">
      <c r="A431" s="50"/>
      <c r="B431" s="50"/>
      <c r="C431" s="50"/>
      <c r="D431" s="50"/>
      <c r="E431" s="50"/>
      <c r="F431" s="50"/>
      <c r="G431" s="50"/>
      <c r="H431" s="50"/>
      <c r="I431" s="50"/>
      <c r="J431" s="50"/>
      <c r="K431" s="50"/>
      <c r="L431" s="50"/>
      <c r="M431" s="52"/>
      <c r="N431" s="51"/>
      <c r="O431" s="51"/>
      <c r="P431" s="53">
        <f t="shared" si="42"/>
        <v>0</v>
      </c>
      <c r="Q431" s="50"/>
      <c r="R431" s="50"/>
      <c r="S431" s="51"/>
      <c r="T431" s="50"/>
      <c r="U431" s="50"/>
      <c r="V431" s="50"/>
      <c r="W431" s="50"/>
      <c r="X431" s="50"/>
      <c r="Y431" s="50"/>
      <c r="Z431" s="50"/>
      <c r="AA431" s="50"/>
      <c r="AB431" s="50"/>
      <c r="AC431" s="53">
        <f t="shared" si="43"/>
        <v>0</v>
      </c>
      <c r="AD431" s="53">
        <f t="shared" si="44"/>
        <v>0</v>
      </c>
      <c r="AE431" s="53">
        <f t="shared" si="45"/>
        <v>0</v>
      </c>
      <c r="AF431" s="53">
        <f t="shared" si="46"/>
        <v>0</v>
      </c>
      <c r="AG431" s="53">
        <f t="shared" si="47"/>
        <v>0</v>
      </c>
      <c r="AH431" s="53">
        <f t="shared" si="48"/>
        <v>0</v>
      </c>
      <c r="AI431" s="50"/>
      <c r="AJ431" s="50"/>
      <c r="AK431" s="50"/>
    </row>
    <row r="432" spans="1:37" x14ac:dyDescent="0.2">
      <c r="A432" s="50"/>
      <c r="B432" s="50"/>
      <c r="C432" s="50"/>
      <c r="D432" s="50"/>
      <c r="E432" s="50"/>
      <c r="F432" s="50"/>
      <c r="G432" s="50"/>
      <c r="H432" s="50"/>
      <c r="I432" s="50"/>
      <c r="J432" s="50"/>
      <c r="K432" s="50"/>
      <c r="L432" s="50"/>
      <c r="M432" s="52"/>
      <c r="N432" s="51"/>
      <c r="O432" s="51"/>
      <c r="P432" s="53">
        <f t="shared" si="42"/>
        <v>0</v>
      </c>
      <c r="Q432" s="50"/>
      <c r="R432" s="50"/>
      <c r="S432" s="51"/>
      <c r="T432" s="50"/>
      <c r="U432" s="50"/>
      <c r="V432" s="50"/>
      <c r="W432" s="50"/>
      <c r="X432" s="50"/>
      <c r="Y432" s="50"/>
      <c r="Z432" s="50"/>
      <c r="AA432" s="50"/>
      <c r="AB432" s="50"/>
      <c r="AC432" s="53">
        <f t="shared" si="43"/>
        <v>0</v>
      </c>
      <c r="AD432" s="53">
        <f t="shared" si="44"/>
        <v>0</v>
      </c>
      <c r="AE432" s="53">
        <f t="shared" si="45"/>
        <v>0</v>
      </c>
      <c r="AF432" s="53">
        <f t="shared" si="46"/>
        <v>0</v>
      </c>
      <c r="AG432" s="53">
        <f t="shared" si="47"/>
        <v>0</v>
      </c>
      <c r="AH432" s="53">
        <f t="shared" si="48"/>
        <v>0</v>
      </c>
      <c r="AI432" s="50"/>
      <c r="AJ432" s="50"/>
      <c r="AK432" s="50"/>
    </row>
    <row r="433" spans="1:37" x14ac:dyDescent="0.2">
      <c r="A433" s="50"/>
      <c r="B433" s="50"/>
      <c r="C433" s="50"/>
      <c r="D433" s="50"/>
      <c r="E433" s="50"/>
      <c r="F433" s="50"/>
      <c r="G433" s="50"/>
      <c r="H433" s="50"/>
      <c r="I433" s="50"/>
      <c r="J433" s="50"/>
      <c r="K433" s="50"/>
      <c r="L433" s="50"/>
      <c r="M433" s="52"/>
      <c r="N433" s="51"/>
      <c r="O433" s="51"/>
      <c r="P433" s="53">
        <f t="shared" si="42"/>
        <v>0</v>
      </c>
      <c r="Q433" s="50"/>
      <c r="R433" s="50"/>
      <c r="S433" s="51"/>
      <c r="T433" s="50"/>
      <c r="U433" s="50"/>
      <c r="V433" s="50"/>
      <c r="W433" s="50"/>
      <c r="X433" s="50"/>
      <c r="Y433" s="50"/>
      <c r="Z433" s="50"/>
      <c r="AA433" s="50"/>
      <c r="AB433" s="50"/>
      <c r="AC433" s="53">
        <f t="shared" si="43"/>
        <v>0</v>
      </c>
      <c r="AD433" s="53">
        <f t="shared" si="44"/>
        <v>0</v>
      </c>
      <c r="AE433" s="53">
        <f t="shared" si="45"/>
        <v>0</v>
      </c>
      <c r="AF433" s="53">
        <f t="shared" si="46"/>
        <v>0</v>
      </c>
      <c r="AG433" s="53">
        <f t="shared" si="47"/>
        <v>0</v>
      </c>
      <c r="AH433" s="53">
        <f t="shared" si="48"/>
        <v>0</v>
      </c>
      <c r="AI433" s="50"/>
      <c r="AJ433" s="50"/>
      <c r="AK433" s="50"/>
    </row>
    <row r="434" spans="1:37" x14ac:dyDescent="0.2">
      <c r="A434" s="50"/>
      <c r="B434" s="50"/>
      <c r="C434" s="50"/>
      <c r="D434" s="50"/>
      <c r="E434" s="50"/>
      <c r="F434" s="50"/>
      <c r="G434" s="50"/>
      <c r="H434" s="50"/>
      <c r="I434" s="50"/>
      <c r="J434" s="50"/>
      <c r="K434" s="50"/>
      <c r="L434" s="50"/>
      <c r="M434" s="52"/>
      <c r="N434" s="51"/>
      <c r="O434" s="51"/>
      <c r="P434" s="53">
        <f t="shared" si="42"/>
        <v>0</v>
      </c>
      <c r="Q434" s="50"/>
      <c r="R434" s="50"/>
      <c r="S434" s="51"/>
      <c r="T434" s="50"/>
      <c r="U434" s="50"/>
      <c r="V434" s="50"/>
      <c r="W434" s="50"/>
      <c r="X434" s="50"/>
      <c r="Y434" s="50"/>
      <c r="Z434" s="50"/>
      <c r="AA434" s="50"/>
      <c r="AB434" s="50"/>
      <c r="AC434" s="53">
        <f t="shared" si="43"/>
        <v>0</v>
      </c>
      <c r="AD434" s="53">
        <f t="shared" si="44"/>
        <v>0</v>
      </c>
      <c r="AE434" s="53">
        <f t="shared" si="45"/>
        <v>0</v>
      </c>
      <c r="AF434" s="53">
        <f t="shared" si="46"/>
        <v>0</v>
      </c>
      <c r="AG434" s="53">
        <f t="shared" si="47"/>
        <v>0</v>
      </c>
      <c r="AH434" s="53">
        <f t="shared" si="48"/>
        <v>0</v>
      </c>
      <c r="AI434" s="50"/>
      <c r="AJ434" s="50"/>
      <c r="AK434" s="50"/>
    </row>
    <row r="435" spans="1:37" x14ac:dyDescent="0.2">
      <c r="A435" s="50"/>
      <c r="B435" s="50"/>
      <c r="C435" s="50"/>
      <c r="D435" s="50"/>
      <c r="E435" s="50"/>
      <c r="F435" s="50"/>
      <c r="G435" s="50"/>
      <c r="H435" s="50"/>
      <c r="I435" s="50"/>
      <c r="J435" s="50"/>
      <c r="K435" s="50"/>
      <c r="L435" s="50"/>
      <c r="M435" s="52"/>
      <c r="N435" s="51"/>
      <c r="O435" s="51"/>
      <c r="P435" s="53">
        <f t="shared" si="42"/>
        <v>0</v>
      </c>
      <c r="Q435" s="50"/>
      <c r="R435" s="50"/>
      <c r="S435" s="51"/>
      <c r="T435" s="50"/>
      <c r="U435" s="50"/>
      <c r="V435" s="50"/>
      <c r="W435" s="50"/>
      <c r="X435" s="50"/>
      <c r="Y435" s="50"/>
      <c r="Z435" s="50"/>
      <c r="AA435" s="50"/>
      <c r="AB435" s="50"/>
      <c r="AC435" s="53">
        <f t="shared" si="43"/>
        <v>0</v>
      </c>
      <c r="AD435" s="53">
        <f t="shared" si="44"/>
        <v>0</v>
      </c>
      <c r="AE435" s="53">
        <f t="shared" si="45"/>
        <v>0</v>
      </c>
      <c r="AF435" s="53">
        <f t="shared" si="46"/>
        <v>0</v>
      </c>
      <c r="AG435" s="53">
        <f t="shared" si="47"/>
        <v>0</v>
      </c>
      <c r="AH435" s="53">
        <f t="shared" si="48"/>
        <v>0</v>
      </c>
      <c r="AI435" s="50"/>
      <c r="AJ435" s="50"/>
      <c r="AK435" s="50"/>
    </row>
    <row r="436" spans="1:37" x14ac:dyDescent="0.2">
      <c r="A436" s="50"/>
      <c r="B436" s="50"/>
      <c r="C436" s="50"/>
      <c r="D436" s="50"/>
      <c r="E436" s="50"/>
      <c r="F436" s="50"/>
      <c r="G436" s="50"/>
      <c r="H436" s="50"/>
      <c r="I436" s="50"/>
      <c r="J436" s="50"/>
      <c r="K436" s="50"/>
      <c r="L436" s="50"/>
      <c r="M436" s="52"/>
      <c r="N436" s="51"/>
      <c r="O436" s="51"/>
      <c r="P436" s="53">
        <f t="shared" si="42"/>
        <v>0</v>
      </c>
      <c r="Q436" s="50"/>
      <c r="R436" s="50"/>
      <c r="S436" s="51"/>
      <c r="T436" s="50"/>
      <c r="U436" s="50"/>
      <c r="V436" s="50"/>
      <c r="W436" s="50"/>
      <c r="X436" s="50"/>
      <c r="Y436" s="50"/>
      <c r="Z436" s="50"/>
      <c r="AA436" s="50"/>
      <c r="AB436" s="50"/>
      <c r="AC436" s="53">
        <f t="shared" si="43"/>
        <v>0</v>
      </c>
      <c r="AD436" s="53">
        <f t="shared" si="44"/>
        <v>0</v>
      </c>
      <c r="AE436" s="53">
        <f t="shared" si="45"/>
        <v>0</v>
      </c>
      <c r="AF436" s="53">
        <f t="shared" si="46"/>
        <v>0</v>
      </c>
      <c r="AG436" s="53">
        <f t="shared" si="47"/>
        <v>0</v>
      </c>
      <c r="AH436" s="53">
        <f t="shared" si="48"/>
        <v>0</v>
      </c>
      <c r="AI436" s="50"/>
      <c r="AJ436" s="50"/>
      <c r="AK436" s="50"/>
    </row>
    <row r="437" spans="1:37" x14ac:dyDescent="0.2">
      <c r="A437" s="50"/>
      <c r="B437" s="50"/>
      <c r="C437" s="50"/>
      <c r="D437" s="50"/>
      <c r="E437" s="50"/>
      <c r="F437" s="50"/>
      <c r="G437" s="50"/>
      <c r="H437" s="50"/>
      <c r="I437" s="50"/>
      <c r="J437" s="50"/>
      <c r="K437" s="50"/>
      <c r="L437" s="50"/>
      <c r="M437" s="52"/>
      <c r="N437" s="51"/>
      <c r="O437" s="51"/>
      <c r="P437" s="53">
        <f t="shared" si="42"/>
        <v>0</v>
      </c>
      <c r="Q437" s="50"/>
      <c r="R437" s="50"/>
      <c r="S437" s="51"/>
      <c r="T437" s="50"/>
      <c r="U437" s="50"/>
      <c r="V437" s="50"/>
      <c r="W437" s="50"/>
      <c r="X437" s="50"/>
      <c r="Y437" s="50"/>
      <c r="Z437" s="50"/>
      <c r="AA437" s="50"/>
      <c r="AB437" s="50"/>
      <c r="AC437" s="53">
        <f t="shared" si="43"/>
        <v>0</v>
      </c>
      <c r="AD437" s="53">
        <f t="shared" si="44"/>
        <v>0</v>
      </c>
      <c r="AE437" s="53">
        <f t="shared" si="45"/>
        <v>0</v>
      </c>
      <c r="AF437" s="53">
        <f t="shared" si="46"/>
        <v>0</v>
      </c>
      <c r="AG437" s="53">
        <f t="shared" si="47"/>
        <v>0</v>
      </c>
      <c r="AH437" s="53">
        <f t="shared" si="48"/>
        <v>0</v>
      </c>
      <c r="AI437" s="50"/>
      <c r="AJ437" s="50"/>
      <c r="AK437" s="50"/>
    </row>
    <row r="438" spans="1:37" x14ac:dyDescent="0.2">
      <c r="A438" s="50"/>
      <c r="B438" s="50"/>
      <c r="C438" s="50"/>
      <c r="D438" s="50"/>
      <c r="E438" s="50"/>
      <c r="F438" s="50"/>
      <c r="G438" s="50"/>
      <c r="H438" s="50"/>
      <c r="I438" s="50"/>
      <c r="J438" s="50"/>
      <c r="K438" s="50"/>
      <c r="L438" s="50"/>
      <c r="M438" s="52"/>
      <c r="N438" s="51"/>
      <c r="O438" s="51"/>
      <c r="P438" s="53">
        <f t="shared" si="42"/>
        <v>0</v>
      </c>
      <c r="Q438" s="50"/>
      <c r="R438" s="50"/>
      <c r="S438" s="51"/>
      <c r="T438" s="50"/>
      <c r="U438" s="50"/>
      <c r="V438" s="50"/>
      <c r="W438" s="50"/>
      <c r="X438" s="50"/>
      <c r="Y438" s="50"/>
      <c r="Z438" s="50"/>
      <c r="AA438" s="50"/>
      <c r="AB438" s="50"/>
      <c r="AC438" s="53">
        <f t="shared" si="43"/>
        <v>0</v>
      </c>
      <c r="AD438" s="53">
        <f t="shared" si="44"/>
        <v>0</v>
      </c>
      <c r="AE438" s="53">
        <f t="shared" si="45"/>
        <v>0</v>
      </c>
      <c r="AF438" s="53">
        <f t="shared" si="46"/>
        <v>0</v>
      </c>
      <c r="AG438" s="53">
        <f t="shared" si="47"/>
        <v>0</v>
      </c>
      <c r="AH438" s="53">
        <f t="shared" si="48"/>
        <v>0</v>
      </c>
      <c r="AI438" s="50"/>
      <c r="AJ438" s="50"/>
      <c r="AK438" s="50"/>
    </row>
    <row r="439" spans="1:37" x14ac:dyDescent="0.2">
      <c r="A439" s="50"/>
      <c r="B439" s="50"/>
      <c r="C439" s="50"/>
      <c r="D439" s="50"/>
      <c r="E439" s="50"/>
      <c r="F439" s="50"/>
      <c r="G439" s="50"/>
      <c r="H439" s="50"/>
      <c r="I439" s="50"/>
      <c r="J439" s="50"/>
      <c r="K439" s="50"/>
      <c r="L439" s="50"/>
      <c r="M439" s="52"/>
      <c r="N439" s="51"/>
      <c r="O439" s="51"/>
      <c r="P439" s="53">
        <f t="shared" si="42"/>
        <v>0</v>
      </c>
      <c r="Q439" s="50"/>
      <c r="R439" s="50"/>
      <c r="S439" s="51"/>
      <c r="T439" s="50"/>
      <c r="U439" s="50"/>
      <c r="V439" s="50"/>
      <c r="W439" s="50"/>
      <c r="X439" s="50"/>
      <c r="Y439" s="50"/>
      <c r="Z439" s="50"/>
      <c r="AA439" s="50"/>
      <c r="AB439" s="50"/>
      <c r="AC439" s="53">
        <f t="shared" si="43"/>
        <v>0</v>
      </c>
      <c r="AD439" s="53">
        <f t="shared" si="44"/>
        <v>0</v>
      </c>
      <c r="AE439" s="53">
        <f t="shared" si="45"/>
        <v>0</v>
      </c>
      <c r="AF439" s="53">
        <f t="shared" si="46"/>
        <v>0</v>
      </c>
      <c r="AG439" s="53">
        <f t="shared" si="47"/>
        <v>0</v>
      </c>
      <c r="AH439" s="53">
        <f t="shared" si="48"/>
        <v>0</v>
      </c>
      <c r="AI439" s="50"/>
      <c r="AJ439" s="50"/>
      <c r="AK439" s="50"/>
    </row>
    <row r="440" spans="1:37" x14ac:dyDescent="0.2">
      <c r="A440" s="50"/>
      <c r="B440" s="50"/>
      <c r="C440" s="50"/>
      <c r="D440" s="50"/>
      <c r="E440" s="50"/>
      <c r="F440" s="50"/>
      <c r="G440" s="50"/>
      <c r="H440" s="50"/>
      <c r="I440" s="50"/>
      <c r="J440" s="50"/>
      <c r="K440" s="50"/>
      <c r="L440" s="50"/>
      <c r="M440" s="52"/>
      <c r="N440" s="51"/>
      <c r="O440" s="51"/>
      <c r="P440" s="53">
        <f t="shared" si="42"/>
        <v>0</v>
      </c>
      <c r="Q440" s="50"/>
      <c r="R440" s="50"/>
      <c r="S440" s="51"/>
      <c r="T440" s="50"/>
      <c r="U440" s="50"/>
      <c r="V440" s="50"/>
      <c r="W440" s="50"/>
      <c r="X440" s="50"/>
      <c r="Y440" s="50"/>
      <c r="Z440" s="50"/>
      <c r="AA440" s="50"/>
      <c r="AB440" s="50"/>
      <c r="AC440" s="53">
        <f t="shared" si="43"/>
        <v>0</v>
      </c>
      <c r="AD440" s="53">
        <f t="shared" si="44"/>
        <v>0</v>
      </c>
      <c r="AE440" s="53">
        <f t="shared" si="45"/>
        <v>0</v>
      </c>
      <c r="AF440" s="53">
        <f t="shared" si="46"/>
        <v>0</v>
      </c>
      <c r="AG440" s="53">
        <f t="shared" si="47"/>
        <v>0</v>
      </c>
      <c r="AH440" s="53">
        <f t="shared" si="48"/>
        <v>0</v>
      </c>
      <c r="AI440" s="50"/>
      <c r="AJ440" s="50"/>
      <c r="AK440" s="50"/>
    </row>
    <row r="441" spans="1:37" x14ac:dyDescent="0.2">
      <c r="A441" s="50"/>
      <c r="B441" s="50"/>
      <c r="C441" s="50"/>
      <c r="D441" s="50"/>
      <c r="E441" s="50"/>
      <c r="F441" s="50"/>
      <c r="G441" s="50"/>
      <c r="H441" s="50"/>
      <c r="I441" s="50"/>
      <c r="J441" s="50"/>
      <c r="K441" s="50"/>
      <c r="L441" s="50"/>
      <c r="M441" s="52"/>
      <c r="N441" s="51"/>
      <c r="O441" s="51"/>
      <c r="P441" s="53">
        <f t="shared" si="42"/>
        <v>0</v>
      </c>
      <c r="Q441" s="50"/>
      <c r="R441" s="50"/>
      <c r="S441" s="51"/>
      <c r="T441" s="50"/>
      <c r="U441" s="50"/>
      <c r="V441" s="50"/>
      <c r="W441" s="50"/>
      <c r="X441" s="50"/>
      <c r="Y441" s="50"/>
      <c r="Z441" s="50"/>
      <c r="AA441" s="50"/>
      <c r="AB441" s="50"/>
      <c r="AC441" s="53">
        <f t="shared" si="43"/>
        <v>0</v>
      </c>
      <c r="AD441" s="53">
        <f t="shared" si="44"/>
        <v>0</v>
      </c>
      <c r="AE441" s="53">
        <f t="shared" si="45"/>
        <v>0</v>
      </c>
      <c r="AF441" s="53">
        <f t="shared" si="46"/>
        <v>0</v>
      </c>
      <c r="AG441" s="53">
        <f t="shared" si="47"/>
        <v>0</v>
      </c>
      <c r="AH441" s="53">
        <f t="shared" si="48"/>
        <v>0</v>
      </c>
      <c r="AI441" s="50"/>
      <c r="AJ441" s="50"/>
      <c r="AK441" s="50"/>
    </row>
    <row r="442" spans="1:37" x14ac:dyDescent="0.2">
      <c r="A442" s="50"/>
      <c r="B442" s="50"/>
      <c r="C442" s="50"/>
      <c r="D442" s="50"/>
      <c r="E442" s="50"/>
      <c r="F442" s="50"/>
      <c r="G442" s="50"/>
      <c r="H442" s="50"/>
      <c r="I442" s="50"/>
      <c r="J442" s="50"/>
      <c r="K442" s="50"/>
      <c r="L442" s="50"/>
      <c r="M442" s="52"/>
      <c r="N442" s="51"/>
      <c r="O442" s="51"/>
      <c r="P442" s="53">
        <f t="shared" si="42"/>
        <v>0</v>
      </c>
      <c r="Q442" s="50"/>
      <c r="R442" s="50"/>
      <c r="S442" s="51"/>
      <c r="T442" s="50"/>
      <c r="U442" s="50"/>
      <c r="V442" s="50"/>
      <c r="W442" s="50"/>
      <c r="X442" s="50"/>
      <c r="Y442" s="50"/>
      <c r="Z442" s="50"/>
      <c r="AA442" s="50"/>
      <c r="AB442" s="50"/>
      <c r="AC442" s="53">
        <f t="shared" si="43"/>
        <v>0</v>
      </c>
      <c r="AD442" s="53">
        <f t="shared" si="44"/>
        <v>0</v>
      </c>
      <c r="AE442" s="53">
        <f t="shared" si="45"/>
        <v>0</v>
      </c>
      <c r="AF442" s="53">
        <f t="shared" si="46"/>
        <v>0</v>
      </c>
      <c r="AG442" s="53">
        <f t="shared" si="47"/>
        <v>0</v>
      </c>
      <c r="AH442" s="53">
        <f t="shared" si="48"/>
        <v>0</v>
      </c>
      <c r="AI442" s="50"/>
      <c r="AJ442" s="50"/>
      <c r="AK442" s="50"/>
    </row>
    <row r="443" spans="1:37" x14ac:dyDescent="0.2">
      <c r="A443" s="50"/>
      <c r="B443" s="50"/>
      <c r="C443" s="50"/>
      <c r="D443" s="50"/>
      <c r="E443" s="50"/>
      <c r="F443" s="50"/>
      <c r="G443" s="50"/>
      <c r="H443" s="50"/>
      <c r="I443" s="50"/>
      <c r="J443" s="50"/>
      <c r="K443" s="50"/>
      <c r="L443" s="50"/>
      <c r="M443" s="52"/>
      <c r="N443" s="51"/>
      <c r="O443" s="51"/>
      <c r="P443" s="53">
        <f t="shared" si="42"/>
        <v>0</v>
      </c>
      <c r="Q443" s="50"/>
      <c r="R443" s="50"/>
      <c r="S443" s="51"/>
      <c r="T443" s="50"/>
      <c r="U443" s="50"/>
      <c r="V443" s="50"/>
      <c r="W443" s="50"/>
      <c r="X443" s="50"/>
      <c r="Y443" s="50"/>
      <c r="Z443" s="50"/>
      <c r="AA443" s="50"/>
      <c r="AB443" s="50"/>
      <c r="AC443" s="53">
        <f t="shared" si="43"/>
        <v>0</v>
      </c>
      <c r="AD443" s="53">
        <f t="shared" si="44"/>
        <v>0</v>
      </c>
      <c r="AE443" s="53">
        <f t="shared" si="45"/>
        <v>0</v>
      </c>
      <c r="AF443" s="53">
        <f t="shared" si="46"/>
        <v>0</v>
      </c>
      <c r="AG443" s="53">
        <f t="shared" si="47"/>
        <v>0</v>
      </c>
      <c r="AH443" s="53">
        <f t="shared" si="48"/>
        <v>0</v>
      </c>
      <c r="AI443" s="50"/>
      <c r="AJ443" s="50"/>
      <c r="AK443" s="50"/>
    </row>
    <row r="444" spans="1:37" x14ac:dyDescent="0.2">
      <c r="A444" s="50"/>
      <c r="B444" s="50"/>
      <c r="C444" s="50"/>
      <c r="D444" s="50"/>
      <c r="E444" s="50"/>
      <c r="F444" s="50"/>
      <c r="G444" s="50"/>
      <c r="H444" s="50"/>
      <c r="I444" s="50"/>
      <c r="J444" s="50"/>
      <c r="K444" s="50"/>
      <c r="L444" s="50"/>
      <c r="M444" s="52"/>
      <c r="N444" s="51"/>
      <c r="O444" s="51"/>
      <c r="P444" s="53">
        <f t="shared" si="42"/>
        <v>0</v>
      </c>
      <c r="Q444" s="50"/>
      <c r="R444" s="50"/>
      <c r="S444" s="51"/>
      <c r="T444" s="50"/>
      <c r="U444" s="50"/>
      <c r="V444" s="50"/>
      <c r="W444" s="50"/>
      <c r="X444" s="50"/>
      <c r="Y444" s="50"/>
      <c r="Z444" s="50"/>
      <c r="AA444" s="50"/>
      <c r="AB444" s="50"/>
      <c r="AC444" s="53">
        <f t="shared" si="43"/>
        <v>0</v>
      </c>
      <c r="AD444" s="53">
        <f t="shared" si="44"/>
        <v>0</v>
      </c>
      <c r="AE444" s="53">
        <f t="shared" si="45"/>
        <v>0</v>
      </c>
      <c r="AF444" s="53">
        <f t="shared" si="46"/>
        <v>0</v>
      </c>
      <c r="AG444" s="53">
        <f t="shared" si="47"/>
        <v>0</v>
      </c>
      <c r="AH444" s="53">
        <f t="shared" si="48"/>
        <v>0</v>
      </c>
      <c r="AI444" s="50"/>
      <c r="AJ444" s="50"/>
      <c r="AK444" s="50"/>
    </row>
    <row r="445" spans="1:37" x14ac:dyDescent="0.2">
      <c r="A445" s="50"/>
      <c r="B445" s="50"/>
      <c r="C445" s="50"/>
      <c r="D445" s="50"/>
      <c r="E445" s="50"/>
      <c r="F445" s="50"/>
      <c r="G445" s="50"/>
      <c r="H445" s="50"/>
      <c r="I445" s="50"/>
      <c r="J445" s="50"/>
      <c r="K445" s="50"/>
      <c r="L445" s="50"/>
      <c r="M445" s="52"/>
      <c r="N445" s="51"/>
      <c r="O445" s="51"/>
      <c r="P445" s="53">
        <f t="shared" si="42"/>
        <v>0</v>
      </c>
      <c r="Q445" s="50"/>
      <c r="R445" s="50"/>
      <c r="S445" s="51"/>
      <c r="T445" s="50"/>
      <c r="U445" s="50"/>
      <c r="V445" s="50"/>
      <c r="W445" s="50"/>
      <c r="X445" s="50"/>
      <c r="Y445" s="50"/>
      <c r="Z445" s="50"/>
      <c r="AA445" s="50"/>
      <c r="AB445" s="50"/>
      <c r="AC445" s="53">
        <f t="shared" si="43"/>
        <v>0</v>
      </c>
      <c r="AD445" s="53">
        <f t="shared" si="44"/>
        <v>0</v>
      </c>
      <c r="AE445" s="53">
        <f t="shared" si="45"/>
        <v>0</v>
      </c>
      <c r="AF445" s="53">
        <f t="shared" si="46"/>
        <v>0</v>
      </c>
      <c r="AG445" s="53">
        <f t="shared" si="47"/>
        <v>0</v>
      </c>
      <c r="AH445" s="53">
        <f t="shared" si="48"/>
        <v>0</v>
      </c>
      <c r="AI445" s="50"/>
      <c r="AJ445" s="50"/>
      <c r="AK445" s="50"/>
    </row>
    <row r="446" spans="1:37" x14ac:dyDescent="0.2">
      <c r="A446" s="50"/>
      <c r="B446" s="50"/>
      <c r="C446" s="50"/>
      <c r="D446" s="50"/>
      <c r="E446" s="50"/>
      <c r="F446" s="50"/>
      <c r="G446" s="50"/>
      <c r="H446" s="50"/>
      <c r="I446" s="50"/>
      <c r="J446" s="50"/>
      <c r="K446" s="50"/>
      <c r="L446" s="50"/>
      <c r="M446" s="52"/>
      <c r="N446" s="51"/>
      <c r="O446" s="51"/>
      <c r="P446" s="53">
        <f t="shared" si="42"/>
        <v>0</v>
      </c>
      <c r="Q446" s="50"/>
      <c r="R446" s="50"/>
      <c r="S446" s="51"/>
      <c r="T446" s="50"/>
      <c r="U446" s="50"/>
      <c r="V446" s="50"/>
      <c r="W446" s="50"/>
      <c r="X446" s="50"/>
      <c r="Y446" s="50"/>
      <c r="Z446" s="50"/>
      <c r="AA446" s="50"/>
      <c r="AB446" s="50"/>
      <c r="AC446" s="53">
        <f t="shared" si="43"/>
        <v>0</v>
      </c>
      <c r="AD446" s="53">
        <f t="shared" si="44"/>
        <v>0</v>
      </c>
      <c r="AE446" s="53">
        <f t="shared" si="45"/>
        <v>0</v>
      </c>
      <c r="AF446" s="53">
        <f t="shared" si="46"/>
        <v>0</v>
      </c>
      <c r="AG446" s="53">
        <f t="shared" si="47"/>
        <v>0</v>
      </c>
      <c r="AH446" s="53">
        <f t="shared" si="48"/>
        <v>0</v>
      </c>
      <c r="AI446" s="50"/>
      <c r="AJ446" s="50"/>
      <c r="AK446" s="50"/>
    </row>
    <row r="447" spans="1:37" x14ac:dyDescent="0.2">
      <c r="A447" s="50"/>
      <c r="B447" s="50"/>
      <c r="C447" s="50"/>
      <c r="D447" s="50"/>
      <c r="E447" s="50"/>
      <c r="F447" s="50"/>
      <c r="G447" s="50"/>
      <c r="H447" s="50"/>
      <c r="I447" s="50"/>
      <c r="J447" s="50"/>
      <c r="K447" s="50"/>
      <c r="L447" s="50"/>
      <c r="M447" s="52"/>
      <c r="N447" s="51"/>
      <c r="O447" s="51"/>
      <c r="P447" s="53">
        <f t="shared" si="42"/>
        <v>0</v>
      </c>
      <c r="Q447" s="50"/>
      <c r="R447" s="50"/>
      <c r="S447" s="51"/>
      <c r="T447" s="50"/>
      <c r="U447" s="50"/>
      <c r="V447" s="50"/>
      <c r="W447" s="50"/>
      <c r="X447" s="50"/>
      <c r="Y447" s="50"/>
      <c r="Z447" s="50"/>
      <c r="AA447" s="50"/>
      <c r="AB447" s="50"/>
      <c r="AC447" s="53">
        <f t="shared" si="43"/>
        <v>0</v>
      </c>
      <c r="AD447" s="53">
        <f t="shared" si="44"/>
        <v>0</v>
      </c>
      <c r="AE447" s="53">
        <f t="shared" si="45"/>
        <v>0</v>
      </c>
      <c r="AF447" s="53">
        <f t="shared" si="46"/>
        <v>0</v>
      </c>
      <c r="AG447" s="53">
        <f t="shared" si="47"/>
        <v>0</v>
      </c>
      <c r="AH447" s="53">
        <f t="shared" si="48"/>
        <v>0</v>
      </c>
      <c r="AI447" s="50"/>
      <c r="AJ447" s="50"/>
      <c r="AK447" s="50"/>
    </row>
    <row r="448" spans="1:37" x14ac:dyDescent="0.2">
      <c r="A448" s="50"/>
      <c r="B448" s="50"/>
      <c r="C448" s="50"/>
      <c r="D448" s="50"/>
      <c r="E448" s="50"/>
      <c r="F448" s="50"/>
      <c r="G448" s="50"/>
      <c r="H448" s="50"/>
      <c r="I448" s="50"/>
      <c r="J448" s="50"/>
      <c r="K448" s="50"/>
      <c r="L448" s="50"/>
      <c r="M448" s="52"/>
      <c r="N448" s="51"/>
      <c r="O448" s="51"/>
      <c r="P448" s="53">
        <f t="shared" si="42"/>
        <v>0</v>
      </c>
      <c r="Q448" s="50"/>
      <c r="R448" s="50"/>
      <c r="S448" s="51"/>
      <c r="T448" s="50"/>
      <c r="U448" s="50"/>
      <c r="V448" s="50"/>
      <c r="W448" s="50"/>
      <c r="X448" s="50"/>
      <c r="Y448" s="50"/>
      <c r="Z448" s="50"/>
      <c r="AA448" s="50"/>
      <c r="AB448" s="50"/>
      <c r="AC448" s="53">
        <f t="shared" si="43"/>
        <v>0</v>
      </c>
      <c r="AD448" s="53">
        <f t="shared" si="44"/>
        <v>0</v>
      </c>
      <c r="AE448" s="53">
        <f t="shared" si="45"/>
        <v>0</v>
      </c>
      <c r="AF448" s="53">
        <f t="shared" si="46"/>
        <v>0</v>
      </c>
      <c r="AG448" s="53">
        <f t="shared" si="47"/>
        <v>0</v>
      </c>
      <c r="AH448" s="53">
        <f t="shared" si="48"/>
        <v>0</v>
      </c>
      <c r="AI448" s="50"/>
      <c r="AJ448" s="50"/>
      <c r="AK448" s="50"/>
    </row>
    <row r="449" spans="1:37" x14ac:dyDescent="0.2">
      <c r="A449" s="50"/>
      <c r="B449" s="50"/>
      <c r="C449" s="50"/>
      <c r="D449" s="50"/>
      <c r="E449" s="50"/>
      <c r="F449" s="50"/>
      <c r="G449" s="50"/>
      <c r="H449" s="50"/>
      <c r="I449" s="50"/>
      <c r="J449" s="50"/>
      <c r="K449" s="50"/>
      <c r="L449" s="50"/>
      <c r="M449" s="52"/>
      <c r="N449" s="51"/>
      <c r="O449" s="51"/>
      <c r="P449" s="53">
        <f t="shared" si="42"/>
        <v>0</v>
      </c>
      <c r="Q449" s="50"/>
      <c r="R449" s="50"/>
      <c r="S449" s="51"/>
      <c r="T449" s="50"/>
      <c r="U449" s="50"/>
      <c r="V449" s="50"/>
      <c r="W449" s="50"/>
      <c r="X449" s="50"/>
      <c r="Y449" s="50"/>
      <c r="Z449" s="50"/>
      <c r="AA449" s="50"/>
      <c r="AB449" s="50"/>
      <c r="AC449" s="53">
        <f t="shared" si="43"/>
        <v>0</v>
      </c>
      <c r="AD449" s="53">
        <f t="shared" si="44"/>
        <v>0</v>
      </c>
      <c r="AE449" s="53">
        <f t="shared" si="45"/>
        <v>0</v>
      </c>
      <c r="AF449" s="53">
        <f t="shared" si="46"/>
        <v>0</v>
      </c>
      <c r="AG449" s="53">
        <f t="shared" si="47"/>
        <v>0</v>
      </c>
      <c r="AH449" s="53">
        <f t="shared" si="48"/>
        <v>0</v>
      </c>
      <c r="AI449" s="50"/>
      <c r="AJ449" s="50"/>
      <c r="AK449" s="50"/>
    </row>
    <row r="450" spans="1:37" x14ac:dyDescent="0.2">
      <c r="A450" s="50"/>
      <c r="B450" s="50"/>
      <c r="C450" s="50"/>
      <c r="D450" s="50"/>
      <c r="E450" s="50"/>
      <c r="F450" s="50"/>
      <c r="G450" s="50"/>
      <c r="H450" s="50"/>
      <c r="I450" s="50"/>
      <c r="J450" s="50"/>
      <c r="K450" s="50"/>
      <c r="L450" s="50"/>
      <c r="M450" s="52"/>
      <c r="N450" s="51"/>
      <c r="O450" s="51"/>
      <c r="P450" s="53">
        <f t="shared" si="42"/>
        <v>0</v>
      </c>
      <c r="Q450" s="50"/>
      <c r="R450" s="50"/>
      <c r="S450" s="51"/>
      <c r="T450" s="50"/>
      <c r="U450" s="50"/>
      <c r="V450" s="50"/>
      <c r="W450" s="50"/>
      <c r="X450" s="50"/>
      <c r="Y450" s="50"/>
      <c r="Z450" s="50"/>
      <c r="AA450" s="50"/>
      <c r="AB450" s="50"/>
      <c r="AC450" s="53">
        <f t="shared" si="43"/>
        <v>0</v>
      </c>
      <c r="AD450" s="53">
        <f t="shared" si="44"/>
        <v>0</v>
      </c>
      <c r="AE450" s="53">
        <f t="shared" si="45"/>
        <v>0</v>
      </c>
      <c r="AF450" s="53">
        <f t="shared" si="46"/>
        <v>0</v>
      </c>
      <c r="AG450" s="53">
        <f t="shared" si="47"/>
        <v>0</v>
      </c>
      <c r="AH450" s="53">
        <f t="shared" si="48"/>
        <v>0</v>
      </c>
      <c r="AI450" s="50"/>
      <c r="AJ450" s="50"/>
      <c r="AK450" s="50"/>
    </row>
    <row r="451" spans="1:37" x14ac:dyDescent="0.2">
      <c r="A451" s="50"/>
      <c r="B451" s="50"/>
      <c r="C451" s="50"/>
      <c r="D451" s="50"/>
      <c r="E451" s="50"/>
      <c r="F451" s="50"/>
      <c r="G451" s="50"/>
      <c r="H451" s="50"/>
      <c r="I451" s="50"/>
      <c r="J451" s="50"/>
      <c r="K451" s="50"/>
      <c r="L451" s="50"/>
      <c r="M451" s="52"/>
      <c r="N451" s="51"/>
      <c r="O451" s="51"/>
      <c r="P451" s="53">
        <f t="shared" si="42"/>
        <v>0</v>
      </c>
      <c r="Q451" s="50"/>
      <c r="R451" s="50"/>
      <c r="S451" s="51"/>
      <c r="T451" s="50"/>
      <c r="U451" s="50"/>
      <c r="V451" s="50"/>
      <c r="W451" s="50"/>
      <c r="X451" s="50"/>
      <c r="Y451" s="50"/>
      <c r="Z451" s="50"/>
      <c r="AA451" s="50"/>
      <c r="AB451" s="50"/>
      <c r="AC451" s="53">
        <f t="shared" si="43"/>
        <v>0</v>
      </c>
      <c r="AD451" s="53">
        <f t="shared" si="44"/>
        <v>0</v>
      </c>
      <c r="AE451" s="53">
        <f t="shared" si="45"/>
        <v>0</v>
      </c>
      <c r="AF451" s="53">
        <f t="shared" si="46"/>
        <v>0</v>
      </c>
      <c r="AG451" s="53">
        <f t="shared" si="47"/>
        <v>0</v>
      </c>
      <c r="AH451" s="53">
        <f t="shared" si="48"/>
        <v>0</v>
      </c>
      <c r="AI451" s="50"/>
      <c r="AJ451" s="50"/>
      <c r="AK451" s="50"/>
    </row>
    <row r="452" spans="1:37" x14ac:dyDescent="0.2">
      <c r="A452" s="50"/>
      <c r="B452" s="50"/>
      <c r="C452" s="50"/>
      <c r="D452" s="50"/>
      <c r="E452" s="50"/>
      <c r="F452" s="50"/>
      <c r="G452" s="50"/>
      <c r="H452" s="50"/>
      <c r="I452" s="50"/>
      <c r="J452" s="50"/>
      <c r="K452" s="50"/>
      <c r="L452" s="50"/>
      <c r="M452" s="52"/>
      <c r="N452" s="51"/>
      <c r="O452" s="51"/>
      <c r="P452" s="53">
        <f t="shared" si="42"/>
        <v>0</v>
      </c>
      <c r="Q452" s="50"/>
      <c r="R452" s="50"/>
      <c r="S452" s="51"/>
      <c r="T452" s="50"/>
      <c r="U452" s="50"/>
      <c r="V452" s="50"/>
      <c r="W452" s="50"/>
      <c r="X452" s="50"/>
      <c r="Y452" s="50"/>
      <c r="Z452" s="50"/>
      <c r="AA452" s="50"/>
      <c r="AB452" s="50"/>
      <c r="AC452" s="53">
        <f t="shared" si="43"/>
        <v>0</v>
      </c>
      <c r="AD452" s="53">
        <f t="shared" si="44"/>
        <v>0</v>
      </c>
      <c r="AE452" s="53">
        <f t="shared" si="45"/>
        <v>0</v>
      </c>
      <c r="AF452" s="53">
        <f t="shared" si="46"/>
        <v>0</v>
      </c>
      <c r="AG452" s="53">
        <f t="shared" si="47"/>
        <v>0</v>
      </c>
      <c r="AH452" s="53">
        <f t="shared" si="48"/>
        <v>0</v>
      </c>
      <c r="AI452" s="50"/>
      <c r="AJ452" s="50"/>
      <c r="AK452" s="50"/>
    </row>
    <row r="453" spans="1:37" x14ac:dyDescent="0.2">
      <c r="A453" s="50"/>
      <c r="B453" s="50"/>
      <c r="C453" s="50"/>
      <c r="D453" s="50"/>
      <c r="E453" s="50"/>
      <c r="F453" s="50"/>
      <c r="G453" s="50"/>
      <c r="H453" s="50"/>
      <c r="I453" s="50"/>
      <c r="J453" s="50"/>
      <c r="K453" s="50"/>
      <c r="L453" s="50"/>
      <c r="M453" s="52"/>
      <c r="N453" s="51"/>
      <c r="O453" s="51"/>
      <c r="P453" s="53">
        <f t="shared" ref="P453:P504" si="49">IF(OR(M453="",M453=0),0,M453*(1-N453)*(1+O453))</f>
        <v>0</v>
      </c>
      <c r="Q453" s="50"/>
      <c r="R453" s="50"/>
      <c r="S453" s="51"/>
      <c r="T453" s="50"/>
      <c r="U453" s="50"/>
      <c r="V453" s="50"/>
      <c r="W453" s="50"/>
      <c r="X453" s="50"/>
      <c r="Y453" s="50"/>
      <c r="Z453" s="50"/>
      <c r="AA453" s="50"/>
      <c r="AB453" s="50"/>
      <c r="AC453" s="53">
        <f t="shared" ref="AC453:AC504" si="50">IFERROR(X453*$P453,0)</f>
        <v>0</v>
      </c>
      <c r="AD453" s="53">
        <f t="shared" ref="AD453:AD504" si="51">IFERROR(Y453*$P453,0)</f>
        <v>0</v>
      </c>
      <c r="AE453" s="53">
        <f t="shared" ref="AE453:AE504" si="52">IFERROR(Z453*$P453,0)</f>
        <v>0</v>
      </c>
      <c r="AF453" s="53">
        <f t="shared" ref="AF453:AF504" si="53">IFERROR(AA453*$P453,0)</f>
        <v>0</v>
      </c>
      <c r="AG453" s="53">
        <f t="shared" ref="AG453:AG504" si="54">IFERROR(AB453*$P453,0)</f>
        <v>0</v>
      </c>
      <c r="AH453" s="53">
        <f t="shared" ref="AH453:AH504" si="55">SUM(AC453:AG453)</f>
        <v>0</v>
      </c>
      <c r="AI453" s="50"/>
      <c r="AJ453" s="50"/>
      <c r="AK453" s="50"/>
    </row>
    <row r="454" spans="1:37" x14ac:dyDescent="0.2">
      <c r="A454" s="50"/>
      <c r="B454" s="50"/>
      <c r="C454" s="50"/>
      <c r="D454" s="50"/>
      <c r="E454" s="50"/>
      <c r="F454" s="50"/>
      <c r="G454" s="50"/>
      <c r="H454" s="50"/>
      <c r="I454" s="50"/>
      <c r="J454" s="50"/>
      <c r="K454" s="50"/>
      <c r="L454" s="50"/>
      <c r="M454" s="52"/>
      <c r="N454" s="51"/>
      <c r="O454" s="51"/>
      <c r="P454" s="53">
        <f t="shared" si="49"/>
        <v>0</v>
      </c>
      <c r="Q454" s="50"/>
      <c r="R454" s="50"/>
      <c r="S454" s="51"/>
      <c r="T454" s="50"/>
      <c r="U454" s="50"/>
      <c r="V454" s="50"/>
      <c r="W454" s="50"/>
      <c r="X454" s="50"/>
      <c r="Y454" s="50"/>
      <c r="Z454" s="50"/>
      <c r="AA454" s="50"/>
      <c r="AB454" s="50"/>
      <c r="AC454" s="53">
        <f t="shared" si="50"/>
        <v>0</v>
      </c>
      <c r="AD454" s="53">
        <f t="shared" si="51"/>
        <v>0</v>
      </c>
      <c r="AE454" s="53">
        <f t="shared" si="52"/>
        <v>0</v>
      </c>
      <c r="AF454" s="53">
        <f t="shared" si="53"/>
        <v>0</v>
      </c>
      <c r="AG454" s="53">
        <f t="shared" si="54"/>
        <v>0</v>
      </c>
      <c r="AH454" s="53">
        <f t="shared" si="55"/>
        <v>0</v>
      </c>
      <c r="AI454" s="50"/>
      <c r="AJ454" s="50"/>
      <c r="AK454" s="50"/>
    </row>
    <row r="455" spans="1:37" x14ac:dyDescent="0.2">
      <c r="A455" s="50"/>
      <c r="B455" s="50"/>
      <c r="C455" s="50"/>
      <c r="D455" s="50"/>
      <c r="E455" s="50"/>
      <c r="F455" s="50"/>
      <c r="G455" s="50"/>
      <c r="H455" s="50"/>
      <c r="I455" s="50"/>
      <c r="J455" s="50"/>
      <c r="K455" s="50"/>
      <c r="L455" s="50"/>
      <c r="M455" s="52"/>
      <c r="N455" s="51"/>
      <c r="O455" s="51"/>
      <c r="P455" s="53">
        <f t="shared" si="49"/>
        <v>0</v>
      </c>
      <c r="Q455" s="50"/>
      <c r="R455" s="50"/>
      <c r="S455" s="51"/>
      <c r="T455" s="50"/>
      <c r="U455" s="50"/>
      <c r="V455" s="50"/>
      <c r="W455" s="50"/>
      <c r="X455" s="50"/>
      <c r="Y455" s="50"/>
      <c r="Z455" s="50"/>
      <c r="AA455" s="50"/>
      <c r="AB455" s="50"/>
      <c r="AC455" s="53">
        <f t="shared" si="50"/>
        <v>0</v>
      </c>
      <c r="AD455" s="53">
        <f t="shared" si="51"/>
        <v>0</v>
      </c>
      <c r="AE455" s="53">
        <f t="shared" si="52"/>
        <v>0</v>
      </c>
      <c r="AF455" s="53">
        <f t="shared" si="53"/>
        <v>0</v>
      </c>
      <c r="AG455" s="53">
        <f t="shared" si="54"/>
        <v>0</v>
      </c>
      <c r="AH455" s="53">
        <f t="shared" si="55"/>
        <v>0</v>
      </c>
      <c r="AI455" s="50"/>
      <c r="AJ455" s="50"/>
      <c r="AK455" s="50"/>
    </row>
    <row r="456" spans="1:37" x14ac:dyDescent="0.2">
      <c r="A456" s="50"/>
      <c r="B456" s="50"/>
      <c r="C456" s="50"/>
      <c r="D456" s="50"/>
      <c r="E456" s="50"/>
      <c r="F456" s="50"/>
      <c r="G456" s="50"/>
      <c r="H456" s="50"/>
      <c r="I456" s="50"/>
      <c r="J456" s="50"/>
      <c r="K456" s="50"/>
      <c r="L456" s="50"/>
      <c r="M456" s="52"/>
      <c r="N456" s="51"/>
      <c r="O456" s="51"/>
      <c r="P456" s="53">
        <f t="shared" si="49"/>
        <v>0</v>
      </c>
      <c r="Q456" s="50"/>
      <c r="R456" s="50"/>
      <c r="S456" s="51"/>
      <c r="T456" s="50"/>
      <c r="U456" s="50"/>
      <c r="V456" s="50"/>
      <c r="W456" s="50"/>
      <c r="X456" s="50"/>
      <c r="Y456" s="50"/>
      <c r="Z456" s="50"/>
      <c r="AA456" s="50"/>
      <c r="AB456" s="50"/>
      <c r="AC456" s="53">
        <f t="shared" si="50"/>
        <v>0</v>
      </c>
      <c r="AD456" s="53">
        <f t="shared" si="51"/>
        <v>0</v>
      </c>
      <c r="AE456" s="53">
        <f t="shared" si="52"/>
        <v>0</v>
      </c>
      <c r="AF456" s="53">
        <f t="shared" si="53"/>
        <v>0</v>
      </c>
      <c r="AG456" s="53">
        <f t="shared" si="54"/>
        <v>0</v>
      </c>
      <c r="AH456" s="53">
        <f t="shared" si="55"/>
        <v>0</v>
      </c>
      <c r="AI456" s="50"/>
      <c r="AJ456" s="50"/>
      <c r="AK456" s="50"/>
    </row>
    <row r="457" spans="1:37" x14ac:dyDescent="0.2">
      <c r="A457" s="50"/>
      <c r="B457" s="50"/>
      <c r="C457" s="50"/>
      <c r="D457" s="50"/>
      <c r="E457" s="50"/>
      <c r="F457" s="50"/>
      <c r="G457" s="50"/>
      <c r="H457" s="50"/>
      <c r="I457" s="50"/>
      <c r="J457" s="50"/>
      <c r="K457" s="50"/>
      <c r="L457" s="50"/>
      <c r="M457" s="52"/>
      <c r="N457" s="51"/>
      <c r="O457" s="51"/>
      <c r="P457" s="53">
        <f t="shared" si="49"/>
        <v>0</v>
      </c>
      <c r="Q457" s="50"/>
      <c r="R457" s="50"/>
      <c r="S457" s="51"/>
      <c r="T457" s="50"/>
      <c r="U457" s="50"/>
      <c r="V457" s="50"/>
      <c r="W457" s="50"/>
      <c r="X457" s="50"/>
      <c r="Y457" s="50"/>
      <c r="Z457" s="50"/>
      <c r="AA457" s="50"/>
      <c r="AB457" s="50"/>
      <c r="AC457" s="53">
        <f t="shared" si="50"/>
        <v>0</v>
      </c>
      <c r="AD457" s="53">
        <f t="shared" si="51"/>
        <v>0</v>
      </c>
      <c r="AE457" s="53">
        <f t="shared" si="52"/>
        <v>0</v>
      </c>
      <c r="AF457" s="53">
        <f t="shared" si="53"/>
        <v>0</v>
      </c>
      <c r="AG457" s="53">
        <f t="shared" si="54"/>
        <v>0</v>
      </c>
      <c r="AH457" s="53">
        <f t="shared" si="55"/>
        <v>0</v>
      </c>
      <c r="AI457" s="50"/>
      <c r="AJ457" s="50"/>
      <c r="AK457" s="50"/>
    </row>
    <row r="458" spans="1:37" x14ac:dyDescent="0.2">
      <c r="A458" s="50"/>
      <c r="B458" s="50"/>
      <c r="C458" s="50"/>
      <c r="D458" s="50"/>
      <c r="E458" s="50"/>
      <c r="F458" s="50"/>
      <c r="G458" s="50"/>
      <c r="H458" s="50"/>
      <c r="I458" s="50"/>
      <c r="J458" s="50"/>
      <c r="K458" s="50"/>
      <c r="L458" s="50"/>
      <c r="M458" s="52"/>
      <c r="N458" s="51"/>
      <c r="O458" s="51"/>
      <c r="P458" s="53">
        <f t="shared" si="49"/>
        <v>0</v>
      </c>
      <c r="Q458" s="50"/>
      <c r="R458" s="50"/>
      <c r="S458" s="51"/>
      <c r="T458" s="50"/>
      <c r="U458" s="50"/>
      <c r="V458" s="50"/>
      <c r="W458" s="50"/>
      <c r="X458" s="50"/>
      <c r="Y458" s="50"/>
      <c r="Z458" s="50"/>
      <c r="AA458" s="50"/>
      <c r="AB458" s="50"/>
      <c r="AC458" s="53">
        <f t="shared" si="50"/>
        <v>0</v>
      </c>
      <c r="AD458" s="53">
        <f t="shared" si="51"/>
        <v>0</v>
      </c>
      <c r="AE458" s="53">
        <f t="shared" si="52"/>
        <v>0</v>
      </c>
      <c r="AF458" s="53">
        <f t="shared" si="53"/>
        <v>0</v>
      </c>
      <c r="AG458" s="53">
        <f t="shared" si="54"/>
        <v>0</v>
      </c>
      <c r="AH458" s="53">
        <f t="shared" si="55"/>
        <v>0</v>
      </c>
      <c r="AI458" s="50"/>
      <c r="AJ458" s="50"/>
      <c r="AK458" s="50"/>
    </row>
    <row r="459" spans="1:37" x14ac:dyDescent="0.2">
      <c r="A459" s="50"/>
      <c r="B459" s="50"/>
      <c r="C459" s="50"/>
      <c r="D459" s="50"/>
      <c r="E459" s="50"/>
      <c r="F459" s="50"/>
      <c r="G459" s="50"/>
      <c r="H459" s="50"/>
      <c r="I459" s="50"/>
      <c r="J459" s="50"/>
      <c r="K459" s="50"/>
      <c r="L459" s="50"/>
      <c r="M459" s="52"/>
      <c r="N459" s="51"/>
      <c r="O459" s="51"/>
      <c r="P459" s="53">
        <f t="shared" si="49"/>
        <v>0</v>
      </c>
      <c r="Q459" s="50"/>
      <c r="R459" s="50"/>
      <c r="S459" s="51"/>
      <c r="T459" s="50"/>
      <c r="U459" s="50"/>
      <c r="V459" s="50"/>
      <c r="W459" s="50"/>
      <c r="X459" s="50"/>
      <c r="Y459" s="50"/>
      <c r="Z459" s="50"/>
      <c r="AA459" s="50"/>
      <c r="AB459" s="50"/>
      <c r="AC459" s="53">
        <f t="shared" si="50"/>
        <v>0</v>
      </c>
      <c r="AD459" s="53">
        <f t="shared" si="51"/>
        <v>0</v>
      </c>
      <c r="AE459" s="53">
        <f t="shared" si="52"/>
        <v>0</v>
      </c>
      <c r="AF459" s="53">
        <f t="shared" si="53"/>
        <v>0</v>
      </c>
      <c r="AG459" s="53">
        <f t="shared" si="54"/>
        <v>0</v>
      </c>
      <c r="AH459" s="53">
        <f t="shared" si="55"/>
        <v>0</v>
      </c>
      <c r="AI459" s="50"/>
      <c r="AJ459" s="50"/>
      <c r="AK459" s="50"/>
    </row>
    <row r="460" spans="1:37" x14ac:dyDescent="0.2">
      <c r="A460" s="50"/>
      <c r="B460" s="50"/>
      <c r="C460" s="50"/>
      <c r="D460" s="50"/>
      <c r="E460" s="50"/>
      <c r="F460" s="50"/>
      <c r="G460" s="50"/>
      <c r="H460" s="50"/>
      <c r="I460" s="50"/>
      <c r="J460" s="50"/>
      <c r="K460" s="50"/>
      <c r="L460" s="50"/>
      <c r="M460" s="52"/>
      <c r="N460" s="51"/>
      <c r="O460" s="51"/>
      <c r="P460" s="53">
        <f t="shared" si="49"/>
        <v>0</v>
      </c>
      <c r="Q460" s="50"/>
      <c r="R460" s="50"/>
      <c r="S460" s="51"/>
      <c r="T460" s="50"/>
      <c r="U460" s="50"/>
      <c r="V460" s="50"/>
      <c r="W460" s="50"/>
      <c r="X460" s="50"/>
      <c r="Y460" s="50"/>
      <c r="Z460" s="50"/>
      <c r="AA460" s="50"/>
      <c r="AB460" s="50"/>
      <c r="AC460" s="53">
        <f t="shared" si="50"/>
        <v>0</v>
      </c>
      <c r="AD460" s="53">
        <f t="shared" si="51"/>
        <v>0</v>
      </c>
      <c r="AE460" s="53">
        <f t="shared" si="52"/>
        <v>0</v>
      </c>
      <c r="AF460" s="53">
        <f t="shared" si="53"/>
        <v>0</v>
      </c>
      <c r="AG460" s="53">
        <f t="shared" si="54"/>
        <v>0</v>
      </c>
      <c r="AH460" s="53">
        <f t="shared" si="55"/>
        <v>0</v>
      </c>
      <c r="AI460" s="50"/>
      <c r="AJ460" s="50"/>
      <c r="AK460" s="50"/>
    </row>
    <row r="461" spans="1:37" x14ac:dyDescent="0.2">
      <c r="A461" s="50"/>
      <c r="B461" s="50"/>
      <c r="C461" s="50"/>
      <c r="D461" s="50"/>
      <c r="E461" s="50"/>
      <c r="F461" s="50"/>
      <c r="G461" s="50"/>
      <c r="H461" s="50"/>
      <c r="I461" s="50"/>
      <c r="J461" s="50"/>
      <c r="K461" s="50"/>
      <c r="L461" s="50"/>
      <c r="M461" s="52"/>
      <c r="N461" s="51"/>
      <c r="O461" s="51"/>
      <c r="P461" s="53">
        <f t="shared" si="49"/>
        <v>0</v>
      </c>
      <c r="Q461" s="50"/>
      <c r="R461" s="50"/>
      <c r="S461" s="51"/>
      <c r="T461" s="50"/>
      <c r="U461" s="50"/>
      <c r="V461" s="50"/>
      <c r="W461" s="50"/>
      <c r="X461" s="50"/>
      <c r="Y461" s="50"/>
      <c r="Z461" s="50"/>
      <c r="AA461" s="50"/>
      <c r="AB461" s="50"/>
      <c r="AC461" s="53">
        <f t="shared" si="50"/>
        <v>0</v>
      </c>
      <c r="AD461" s="53">
        <f t="shared" si="51"/>
        <v>0</v>
      </c>
      <c r="AE461" s="53">
        <f t="shared" si="52"/>
        <v>0</v>
      </c>
      <c r="AF461" s="53">
        <f t="shared" si="53"/>
        <v>0</v>
      </c>
      <c r="AG461" s="53">
        <f t="shared" si="54"/>
        <v>0</v>
      </c>
      <c r="AH461" s="53">
        <f t="shared" si="55"/>
        <v>0</v>
      </c>
      <c r="AI461" s="50"/>
      <c r="AJ461" s="50"/>
      <c r="AK461" s="50"/>
    </row>
    <row r="462" spans="1:37" x14ac:dyDescent="0.2">
      <c r="A462" s="50"/>
      <c r="B462" s="50"/>
      <c r="C462" s="50"/>
      <c r="D462" s="50"/>
      <c r="E462" s="50"/>
      <c r="F462" s="50"/>
      <c r="G462" s="50"/>
      <c r="H462" s="50"/>
      <c r="I462" s="50"/>
      <c r="J462" s="50"/>
      <c r="K462" s="50"/>
      <c r="L462" s="50"/>
      <c r="M462" s="52"/>
      <c r="N462" s="51"/>
      <c r="O462" s="51"/>
      <c r="P462" s="53">
        <f t="shared" si="49"/>
        <v>0</v>
      </c>
      <c r="Q462" s="50"/>
      <c r="R462" s="50"/>
      <c r="S462" s="51"/>
      <c r="T462" s="50"/>
      <c r="U462" s="50"/>
      <c r="V462" s="50"/>
      <c r="W462" s="50"/>
      <c r="X462" s="50"/>
      <c r="Y462" s="50"/>
      <c r="Z462" s="50"/>
      <c r="AA462" s="50"/>
      <c r="AB462" s="50"/>
      <c r="AC462" s="53">
        <f t="shared" si="50"/>
        <v>0</v>
      </c>
      <c r="AD462" s="53">
        <f t="shared" si="51"/>
        <v>0</v>
      </c>
      <c r="AE462" s="53">
        <f t="shared" si="52"/>
        <v>0</v>
      </c>
      <c r="AF462" s="53">
        <f t="shared" si="53"/>
        <v>0</v>
      </c>
      <c r="AG462" s="53">
        <f t="shared" si="54"/>
        <v>0</v>
      </c>
      <c r="AH462" s="53">
        <f t="shared" si="55"/>
        <v>0</v>
      </c>
      <c r="AI462" s="50"/>
      <c r="AJ462" s="50"/>
      <c r="AK462" s="50"/>
    </row>
    <row r="463" spans="1:37" x14ac:dyDescent="0.2">
      <c r="A463" s="50"/>
      <c r="B463" s="50"/>
      <c r="C463" s="50"/>
      <c r="D463" s="50"/>
      <c r="E463" s="50"/>
      <c r="F463" s="50"/>
      <c r="G463" s="50"/>
      <c r="H463" s="50"/>
      <c r="I463" s="50"/>
      <c r="J463" s="50"/>
      <c r="K463" s="50"/>
      <c r="L463" s="50"/>
      <c r="M463" s="52"/>
      <c r="N463" s="51"/>
      <c r="O463" s="51"/>
      <c r="P463" s="53">
        <f t="shared" si="49"/>
        <v>0</v>
      </c>
      <c r="Q463" s="50"/>
      <c r="R463" s="50"/>
      <c r="S463" s="51"/>
      <c r="T463" s="50"/>
      <c r="U463" s="50"/>
      <c r="V463" s="50"/>
      <c r="W463" s="50"/>
      <c r="X463" s="50"/>
      <c r="Y463" s="50"/>
      <c r="Z463" s="50"/>
      <c r="AA463" s="50"/>
      <c r="AB463" s="50"/>
      <c r="AC463" s="53">
        <f t="shared" si="50"/>
        <v>0</v>
      </c>
      <c r="AD463" s="53">
        <f t="shared" si="51"/>
        <v>0</v>
      </c>
      <c r="AE463" s="53">
        <f t="shared" si="52"/>
        <v>0</v>
      </c>
      <c r="AF463" s="53">
        <f t="shared" si="53"/>
        <v>0</v>
      </c>
      <c r="AG463" s="53">
        <f t="shared" si="54"/>
        <v>0</v>
      </c>
      <c r="AH463" s="53">
        <f t="shared" si="55"/>
        <v>0</v>
      </c>
      <c r="AI463" s="50"/>
      <c r="AJ463" s="50"/>
      <c r="AK463" s="50"/>
    </row>
    <row r="464" spans="1:37" x14ac:dyDescent="0.2">
      <c r="A464" s="50"/>
      <c r="B464" s="50"/>
      <c r="C464" s="50"/>
      <c r="D464" s="50"/>
      <c r="E464" s="50"/>
      <c r="F464" s="50"/>
      <c r="G464" s="50"/>
      <c r="H464" s="50"/>
      <c r="I464" s="50"/>
      <c r="J464" s="50"/>
      <c r="K464" s="50"/>
      <c r="L464" s="50"/>
      <c r="M464" s="52"/>
      <c r="N464" s="51"/>
      <c r="O464" s="51"/>
      <c r="P464" s="53">
        <f t="shared" si="49"/>
        <v>0</v>
      </c>
      <c r="Q464" s="50"/>
      <c r="R464" s="50"/>
      <c r="S464" s="51"/>
      <c r="T464" s="50"/>
      <c r="U464" s="50"/>
      <c r="V464" s="50"/>
      <c r="W464" s="50"/>
      <c r="X464" s="50"/>
      <c r="Y464" s="50"/>
      <c r="Z464" s="50"/>
      <c r="AA464" s="50"/>
      <c r="AB464" s="50"/>
      <c r="AC464" s="53">
        <f t="shared" si="50"/>
        <v>0</v>
      </c>
      <c r="AD464" s="53">
        <f t="shared" si="51"/>
        <v>0</v>
      </c>
      <c r="AE464" s="53">
        <f t="shared" si="52"/>
        <v>0</v>
      </c>
      <c r="AF464" s="53">
        <f t="shared" si="53"/>
        <v>0</v>
      </c>
      <c r="AG464" s="53">
        <f t="shared" si="54"/>
        <v>0</v>
      </c>
      <c r="AH464" s="53">
        <f t="shared" si="55"/>
        <v>0</v>
      </c>
      <c r="AI464" s="50"/>
      <c r="AJ464" s="50"/>
      <c r="AK464" s="50"/>
    </row>
    <row r="465" spans="1:37" x14ac:dyDescent="0.2">
      <c r="A465" s="50"/>
      <c r="B465" s="50"/>
      <c r="C465" s="50"/>
      <c r="D465" s="50"/>
      <c r="E465" s="50"/>
      <c r="F465" s="50"/>
      <c r="G465" s="50"/>
      <c r="H465" s="50"/>
      <c r="I465" s="50"/>
      <c r="J465" s="50"/>
      <c r="K465" s="50"/>
      <c r="L465" s="50"/>
      <c r="M465" s="52"/>
      <c r="N465" s="51"/>
      <c r="O465" s="51"/>
      <c r="P465" s="53">
        <f t="shared" si="49"/>
        <v>0</v>
      </c>
      <c r="Q465" s="50"/>
      <c r="R465" s="50"/>
      <c r="S465" s="51"/>
      <c r="T465" s="50"/>
      <c r="U465" s="50"/>
      <c r="V465" s="50"/>
      <c r="W465" s="50"/>
      <c r="X465" s="50"/>
      <c r="Y465" s="50"/>
      <c r="Z465" s="50"/>
      <c r="AA465" s="50"/>
      <c r="AB465" s="50"/>
      <c r="AC465" s="53">
        <f t="shared" si="50"/>
        <v>0</v>
      </c>
      <c r="AD465" s="53">
        <f t="shared" si="51"/>
        <v>0</v>
      </c>
      <c r="AE465" s="53">
        <f t="shared" si="52"/>
        <v>0</v>
      </c>
      <c r="AF465" s="53">
        <f t="shared" si="53"/>
        <v>0</v>
      </c>
      <c r="AG465" s="53">
        <f t="shared" si="54"/>
        <v>0</v>
      </c>
      <c r="AH465" s="53">
        <f t="shared" si="55"/>
        <v>0</v>
      </c>
      <c r="AI465" s="50"/>
      <c r="AJ465" s="50"/>
      <c r="AK465" s="50"/>
    </row>
    <row r="466" spans="1:37" x14ac:dyDescent="0.2">
      <c r="A466" s="50"/>
      <c r="B466" s="50"/>
      <c r="C466" s="50"/>
      <c r="D466" s="50"/>
      <c r="E466" s="50"/>
      <c r="F466" s="50"/>
      <c r="G466" s="50"/>
      <c r="H466" s="50"/>
      <c r="I466" s="50"/>
      <c r="J466" s="50"/>
      <c r="K466" s="50"/>
      <c r="L466" s="50"/>
      <c r="M466" s="52"/>
      <c r="N466" s="51"/>
      <c r="O466" s="51"/>
      <c r="P466" s="53">
        <f t="shared" si="49"/>
        <v>0</v>
      </c>
      <c r="Q466" s="50"/>
      <c r="R466" s="50"/>
      <c r="S466" s="51"/>
      <c r="T466" s="50"/>
      <c r="U466" s="50"/>
      <c r="V466" s="50"/>
      <c r="W466" s="50"/>
      <c r="X466" s="50"/>
      <c r="Y466" s="50"/>
      <c r="Z466" s="50"/>
      <c r="AA466" s="50"/>
      <c r="AB466" s="50"/>
      <c r="AC466" s="53">
        <f t="shared" si="50"/>
        <v>0</v>
      </c>
      <c r="AD466" s="53">
        <f t="shared" si="51"/>
        <v>0</v>
      </c>
      <c r="AE466" s="53">
        <f t="shared" si="52"/>
        <v>0</v>
      </c>
      <c r="AF466" s="53">
        <f t="shared" si="53"/>
        <v>0</v>
      </c>
      <c r="AG466" s="53">
        <f t="shared" si="54"/>
        <v>0</v>
      </c>
      <c r="AH466" s="53">
        <f t="shared" si="55"/>
        <v>0</v>
      </c>
      <c r="AI466" s="50"/>
      <c r="AJ466" s="50"/>
      <c r="AK466" s="50"/>
    </row>
    <row r="467" spans="1:37" x14ac:dyDescent="0.2">
      <c r="A467" s="50"/>
      <c r="B467" s="50"/>
      <c r="C467" s="50"/>
      <c r="D467" s="50"/>
      <c r="E467" s="50"/>
      <c r="F467" s="50"/>
      <c r="G467" s="50"/>
      <c r="H467" s="50"/>
      <c r="I467" s="50"/>
      <c r="J467" s="50"/>
      <c r="K467" s="50"/>
      <c r="L467" s="50"/>
      <c r="M467" s="52"/>
      <c r="N467" s="51"/>
      <c r="O467" s="51"/>
      <c r="P467" s="53">
        <f t="shared" si="49"/>
        <v>0</v>
      </c>
      <c r="Q467" s="50"/>
      <c r="R467" s="50"/>
      <c r="S467" s="51"/>
      <c r="T467" s="50"/>
      <c r="U467" s="50"/>
      <c r="V467" s="50"/>
      <c r="W467" s="50"/>
      <c r="X467" s="50"/>
      <c r="Y467" s="50"/>
      <c r="Z467" s="50"/>
      <c r="AA467" s="50"/>
      <c r="AB467" s="50"/>
      <c r="AC467" s="53">
        <f t="shared" si="50"/>
        <v>0</v>
      </c>
      <c r="AD467" s="53">
        <f t="shared" si="51"/>
        <v>0</v>
      </c>
      <c r="AE467" s="53">
        <f t="shared" si="52"/>
        <v>0</v>
      </c>
      <c r="AF467" s="53">
        <f t="shared" si="53"/>
        <v>0</v>
      </c>
      <c r="AG467" s="53">
        <f t="shared" si="54"/>
        <v>0</v>
      </c>
      <c r="AH467" s="53">
        <f t="shared" si="55"/>
        <v>0</v>
      </c>
      <c r="AI467" s="50"/>
      <c r="AJ467" s="50"/>
      <c r="AK467" s="50"/>
    </row>
    <row r="468" spans="1:37" x14ac:dyDescent="0.2">
      <c r="A468" s="50"/>
      <c r="B468" s="50"/>
      <c r="C468" s="50"/>
      <c r="D468" s="50"/>
      <c r="E468" s="50"/>
      <c r="F468" s="50"/>
      <c r="G468" s="50"/>
      <c r="H468" s="50"/>
      <c r="I468" s="50"/>
      <c r="J468" s="50"/>
      <c r="K468" s="50"/>
      <c r="L468" s="50"/>
      <c r="M468" s="52"/>
      <c r="N468" s="51"/>
      <c r="O468" s="51"/>
      <c r="P468" s="53">
        <f t="shared" si="49"/>
        <v>0</v>
      </c>
      <c r="Q468" s="50"/>
      <c r="R468" s="50"/>
      <c r="S468" s="51"/>
      <c r="T468" s="50"/>
      <c r="U468" s="50"/>
      <c r="V468" s="50"/>
      <c r="W468" s="50"/>
      <c r="X468" s="50"/>
      <c r="Y468" s="50"/>
      <c r="Z468" s="50"/>
      <c r="AA468" s="50"/>
      <c r="AB468" s="50"/>
      <c r="AC468" s="53">
        <f t="shared" si="50"/>
        <v>0</v>
      </c>
      <c r="AD468" s="53">
        <f t="shared" si="51"/>
        <v>0</v>
      </c>
      <c r="AE468" s="53">
        <f t="shared" si="52"/>
        <v>0</v>
      </c>
      <c r="AF468" s="53">
        <f t="shared" si="53"/>
        <v>0</v>
      </c>
      <c r="AG468" s="53">
        <f t="shared" si="54"/>
        <v>0</v>
      </c>
      <c r="AH468" s="53">
        <f t="shared" si="55"/>
        <v>0</v>
      </c>
      <c r="AI468" s="50"/>
      <c r="AJ468" s="50"/>
      <c r="AK468" s="50"/>
    </row>
    <row r="469" spans="1:37" x14ac:dyDescent="0.2">
      <c r="A469" s="50"/>
      <c r="B469" s="50"/>
      <c r="C469" s="50"/>
      <c r="D469" s="50"/>
      <c r="E469" s="50"/>
      <c r="F469" s="50"/>
      <c r="G469" s="50"/>
      <c r="H469" s="50"/>
      <c r="I469" s="50"/>
      <c r="J469" s="50"/>
      <c r="K469" s="50"/>
      <c r="L469" s="50"/>
      <c r="M469" s="52"/>
      <c r="N469" s="51"/>
      <c r="O469" s="51"/>
      <c r="P469" s="53">
        <f t="shared" si="49"/>
        <v>0</v>
      </c>
      <c r="Q469" s="50"/>
      <c r="R469" s="50"/>
      <c r="S469" s="51"/>
      <c r="T469" s="50"/>
      <c r="U469" s="50"/>
      <c r="V469" s="50"/>
      <c r="W469" s="50"/>
      <c r="X469" s="50"/>
      <c r="Y469" s="50"/>
      <c r="Z469" s="50"/>
      <c r="AA469" s="50"/>
      <c r="AB469" s="50"/>
      <c r="AC469" s="53">
        <f t="shared" si="50"/>
        <v>0</v>
      </c>
      <c r="AD469" s="53">
        <f t="shared" si="51"/>
        <v>0</v>
      </c>
      <c r="AE469" s="53">
        <f t="shared" si="52"/>
        <v>0</v>
      </c>
      <c r="AF469" s="53">
        <f t="shared" si="53"/>
        <v>0</v>
      </c>
      <c r="AG469" s="53">
        <f t="shared" si="54"/>
        <v>0</v>
      </c>
      <c r="AH469" s="53">
        <f t="shared" si="55"/>
        <v>0</v>
      </c>
      <c r="AI469" s="50"/>
      <c r="AJ469" s="50"/>
      <c r="AK469" s="50"/>
    </row>
    <row r="470" spans="1:37" x14ac:dyDescent="0.2">
      <c r="A470" s="50"/>
      <c r="B470" s="50"/>
      <c r="C470" s="50"/>
      <c r="D470" s="50"/>
      <c r="E470" s="50"/>
      <c r="F470" s="50"/>
      <c r="G470" s="50"/>
      <c r="H470" s="50"/>
      <c r="I470" s="50"/>
      <c r="J470" s="50"/>
      <c r="K470" s="50"/>
      <c r="L470" s="50"/>
      <c r="M470" s="52"/>
      <c r="N470" s="51"/>
      <c r="O470" s="51"/>
      <c r="P470" s="53">
        <f t="shared" si="49"/>
        <v>0</v>
      </c>
      <c r="Q470" s="50"/>
      <c r="R470" s="50"/>
      <c r="S470" s="51"/>
      <c r="T470" s="50"/>
      <c r="U470" s="50"/>
      <c r="V470" s="50"/>
      <c r="W470" s="50"/>
      <c r="X470" s="50"/>
      <c r="Y470" s="50"/>
      <c r="Z470" s="50"/>
      <c r="AA470" s="50"/>
      <c r="AB470" s="50"/>
      <c r="AC470" s="53">
        <f t="shared" si="50"/>
        <v>0</v>
      </c>
      <c r="AD470" s="53">
        <f t="shared" si="51"/>
        <v>0</v>
      </c>
      <c r="AE470" s="53">
        <f t="shared" si="52"/>
        <v>0</v>
      </c>
      <c r="AF470" s="53">
        <f t="shared" si="53"/>
        <v>0</v>
      </c>
      <c r="AG470" s="53">
        <f t="shared" si="54"/>
        <v>0</v>
      </c>
      <c r="AH470" s="53">
        <f t="shared" si="55"/>
        <v>0</v>
      </c>
      <c r="AI470" s="50"/>
      <c r="AJ470" s="50"/>
      <c r="AK470" s="50"/>
    </row>
    <row r="471" spans="1:37" x14ac:dyDescent="0.2">
      <c r="A471" s="50"/>
      <c r="B471" s="50"/>
      <c r="C471" s="50"/>
      <c r="D471" s="50"/>
      <c r="E471" s="50"/>
      <c r="F471" s="50"/>
      <c r="G471" s="50"/>
      <c r="H471" s="50"/>
      <c r="I471" s="50"/>
      <c r="J471" s="50"/>
      <c r="K471" s="50"/>
      <c r="L471" s="50"/>
      <c r="M471" s="52"/>
      <c r="N471" s="51"/>
      <c r="O471" s="51"/>
      <c r="P471" s="53">
        <f t="shared" si="49"/>
        <v>0</v>
      </c>
      <c r="Q471" s="50"/>
      <c r="R471" s="50"/>
      <c r="S471" s="51"/>
      <c r="T471" s="50"/>
      <c r="U471" s="50"/>
      <c r="V471" s="50"/>
      <c r="W471" s="50"/>
      <c r="X471" s="50"/>
      <c r="Y471" s="50"/>
      <c r="Z471" s="50"/>
      <c r="AA471" s="50"/>
      <c r="AB471" s="50"/>
      <c r="AC471" s="53">
        <f t="shared" si="50"/>
        <v>0</v>
      </c>
      <c r="AD471" s="53">
        <f t="shared" si="51"/>
        <v>0</v>
      </c>
      <c r="AE471" s="53">
        <f t="shared" si="52"/>
        <v>0</v>
      </c>
      <c r="AF471" s="53">
        <f t="shared" si="53"/>
        <v>0</v>
      </c>
      <c r="AG471" s="53">
        <f t="shared" si="54"/>
        <v>0</v>
      </c>
      <c r="AH471" s="53">
        <f t="shared" si="55"/>
        <v>0</v>
      </c>
      <c r="AI471" s="50"/>
      <c r="AJ471" s="50"/>
      <c r="AK471" s="50"/>
    </row>
    <row r="472" spans="1:37" x14ac:dyDescent="0.2">
      <c r="A472" s="50"/>
      <c r="B472" s="50"/>
      <c r="C472" s="50"/>
      <c r="D472" s="50"/>
      <c r="E472" s="50"/>
      <c r="F472" s="50"/>
      <c r="G472" s="50"/>
      <c r="H472" s="50"/>
      <c r="I472" s="50"/>
      <c r="J472" s="50"/>
      <c r="K472" s="50"/>
      <c r="L472" s="50"/>
      <c r="M472" s="52"/>
      <c r="N472" s="51"/>
      <c r="O472" s="51"/>
      <c r="P472" s="53">
        <f t="shared" si="49"/>
        <v>0</v>
      </c>
      <c r="Q472" s="50"/>
      <c r="R472" s="50"/>
      <c r="S472" s="51"/>
      <c r="T472" s="50"/>
      <c r="U472" s="50"/>
      <c r="V472" s="50"/>
      <c r="W472" s="50"/>
      <c r="X472" s="50"/>
      <c r="Y472" s="50"/>
      <c r="Z472" s="50"/>
      <c r="AA472" s="50"/>
      <c r="AB472" s="50"/>
      <c r="AC472" s="53">
        <f t="shared" si="50"/>
        <v>0</v>
      </c>
      <c r="AD472" s="53">
        <f t="shared" si="51"/>
        <v>0</v>
      </c>
      <c r="AE472" s="53">
        <f t="shared" si="52"/>
        <v>0</v>
      </c>
      <c r="AF472" s="53">
        <f t="shared" si="53"/>
        <v>0</v>
      </c>
      <c r="AG472" s="53">
        <f t="shared" si="54"/>
        <v>0</v>
      </c>
      <c r="AH472" s="53">
        <f t="shared" si="55"/>
        <v>0</v>
      </c>
      <c r="AI472" s="50"/>
      <c r="AJ472" s="50"/>
      <c r="AK472" s="50"/>
    </row>
    <row r="473" spans="1:37" x14ac:dyDescent="0.2">
      <c r="A473" s="50"/>
      <c r="B473" s="50"/>
      <c r="C473" s="50"/>
      <c r="D473" s="50"/>
      <c r="E473" s="50"/>
      <c r="F473" s="50"/>
      <c r="G473" s="50"/>
      <c r="H473" s="50"/>
      <c r="I473" s="50"/>
      <c r="J473" s="50"/>
      <c r="K473" s="50"/>
      <c r="L473" s="50"/>
      <c r="M473" s="52"/>
      <c r="N473" s="51"/>
      <c r="O473" s="51"/>
      <c r="P473" s="53">
        <f t="shared" si="49"/>
        <v>0</v>
      </c>
      <c r="Q473" s="50"/>
      <c r="R473" s="50"/>
      <c r="S473" s="51"/>
      <c r="T473" s="50"/>
      <c r="U473" s="50"/>
      <c r="V473" s="50"/>
      <c r="W473" s="50"/>
      <c r="X473" s="50"/>
      <c r="Y473" s="50"/>
      <c r="Z473" s="50"/>
      <c r="AA473" s="50"/>
      <c r="AB473" s="50"/>
      <c r="AC473" s="53">
        <f t="shared" si="50"/>
        <v>0</v>
      </c>
      <c r="AD473" s="53">
        <f t="shared" si="51"/>
        <v>0</v>
      </c>
      <c r="AE473" s="53">
        <f t="shared" si="52"/>
        <v>0</v>
      </c>
      <c r="AF473" s="53">
        <f t="shared" si="53"/>
        <v>0</v>
      </c>
      <c r="AG473" s="53">
        <f t="shared" si="54"/>
        <v>0</v>
      </c>
      <c r="AH473" s="53">
        <f t="shared" si="55"/>
        <v>0</v>
      </c>
      <c r="AI473" s="50"/>
      <c r="AJ473" s="50"/>
      <c r="AK473" s="50"/>
    </row>
    <row r="474" spans="1:37" x14ac:dyDescent="0.2">
      <c r="A474" s="50"/>
      <c r="B474" s="50"/>
      <c r="C474" s="50"/>
      <c r="D474" s="50"/>
      <c r="E474" s="50"/>
      <c r="F474" s="50"/>
      <c r="G474" s="50"/>
      <c r="H474" s="50"/>
      <c r="I474" s="50"/>
      <c r="J474" s="50"/>
      <c r="K474" s="50"/>
      <c r="L474" s="50"/>
      <c r="M474" s="52"/>
      <c r="N474" s="51"/>
      <c r="O474" s="51"/>
      <c r="P474" s="53">
        <f t="shared" si="49"/>
        <v>0</v>
      </c>
      <c r="Q474" s="50"/>
      <c r="R474" s="50"/>
      <c r="S474" s="51"/>
      <c r="T474" s="50"/>
      <c r="U474" s="50"/>
      <c r="V474" s="50"/>
      <c r="W474" s="50"/>
      <c r="X474" s="50"/>
      <c r="Y474" s="50"/>
      <c r="Z474" s="50"/>
      <c r="AA474" s="50"/>
      <c r="AB474" s="50"/>
      <c r="AC474" s="53">
        <f t="shared" si="50"/>
        <v>0</v>
      </c>
      <c r="AD474" s="53">
        <f t="shared" si="51"/>
        <v>0</v>
      </c>
      <c r="AE474" s="53">
        <f t="shared" si="52"/>
        <v>0</v>
      </c>
      <c r="AF474" s="53">
        <f t="shared" si="53"/>
        <v>0</v>
      </c>
      <c r="AG474" s="53">
        <f t="shared" si="54"/>
        <v>0</v>
      </c>
      <c r="AH474" s="53">
        <f t="shared" si="55"/>
        <v>0</v>
      </c>
      <c r="AI474" s="50"/>
      <c r="AJ474" s="50"/>
      <c r="AK474" s="50"/>
    </row>
    <row r="475" spans="1:37" x14ac:dyDescent="0.2">
      <c r="A475" s="50"/>
      <c r="B475" s="50"/>
      <c r="C475" s="50"/>
      <c r="D475" s="50"/>
      <c r="E475" s="50"/>
      <c r="F475" s="50"/>
      <c r="G475" s="50"/>
      <c r="H475" s="50"/>
      <c r="I475" s="50"/>
      <c r="J475" s="50"/>
      <c r="K475" s="50"/>
      <c r="L475" s="50"/>
      <c r="M475" s="52"/>
      <c r="N475" s="51"/>
      <c r="O475" s="51"/>
      <c r="P475" s="53">
        <f t="shared" si="49"/>
        <v>0</v>
      </c>
      <c r="Q475" s="50"/>
      <c r="R475" s="50"/>
      <c r="S475" s="51"/>
      <c r="T475" s="50"/>
      <c r="U475" s="50"/>
      <c r="V475" s="50"/>
      <c r="W475" s="50"/>
      <c r="X475" s="50"/>
      <c r="Y475" s="50"/>
      <c r="Z475" s="50"/>
      <c r="AA475" s="50"/>
      <c r="AB475" s="50"/>
      <c r="AC475" s="53">
        <f t="shared" si="50"/>
        <v>0</v>
      </c>
      <c r="AD475" s="53">
        <f t="shared" si="51"/>
        <v>0</v>
      </c>
      <c r="AE475" s="53">
        <f t="shared" si="52"/>
        <v>0</v>
      </c>
      <c r="AF475" s="53">
        <f t="shared" si="53"/>
        <v>0</v>
      </c>
      <c r="AG475" s="53">
        <f t="shared" si="54"/>
        <v>0</v>
      </c>
      <c r="AH475" s="53">
        <f t="shared" si="55"/>
        <v>0</v>
      </c>
      <c r="AI475" s="50"/>
      <c r="AJ475" s="50"/>
      <c r="AK475" s="50"/>
    </row>
    <row r="476" spans="1:37" x14ac:dyDescent="0.2">
      <c r="A476" s="50"/>
      <c r="B476" s="50"/>
      <c r="C476" s="50"/>
      <c r="D476" s="50"/>
      <c r="E476" s="50"/>
      <c r="F476" s="50"/>
      <c r="G476" s="50"/>
      <c r="H476" s="50"/>
      <c r="I476" s="50"/>
      <c r="J476" s="50"/>
      <c r="K476" s="50"/>
      <c r="L476" s="50"/>
      <c r="M476" s="52"/>
      <c r="N476" s="51"/>
      <c r="O476" s="51"/>
      <c r="P476" s="53">
        <f t="shared" si="49"/>
        <v>0</v>
      </c>
      <c r="Q476" s="50"/>
      <c r="R476" s="50"/>
      <c r="S476" s="51"/>
      <c r="T476" s="50"/>
      <c r="U476" s="50"/>
      <c r="V476" s="50"/>
      <c r="W476" s="50"/>
      <c r="X476" s="50"/>
      <c r="Y476" s="50"/>
      <c r="Z476" s="50"/>
      <c r="AA476" s="50"/>
      <c r="AB476" s="50"/>
      <c r="AC476" s="53">
        <f t="shared" si="50"/>
        <v>0</v>
      </c>
      <c r="AD476" s="53">
        <f t="shared" si="51"/>
        <v>0</v>
      </c>
      <c r="AE476" s="53">
        <f t="shared" si="52"/>
        <v>0</v>
      </c>
      <c r="AF476" s="53">
        <f t="shared" si="53"/>
        <v>0</v>
      </c>
      <c r="AG476" s="53">
        <f t="shared" si="54"/>
        <v>0</v>
      </c>
      <c r="AH476" s="53">
        <f t="shared" si="55"/>
        <v>0</v>
      </c>
      <c r="AI476" s="50"/>
      <c r="AJ476" s="50"/>
      <c r="AK476" s="50"/>
    </row>
    <row r="477" spans="1:37" x14ac:dyDescent="0.2">
      <c r="A477" s="50"/>
      <c r="B477" s="50"/>
      <c r="C477" s="50"/>
      <c r="D477" s="50"/>
      <c r="E477" s="50"/>
      <c r="F477" s="50"/>
      <c r="G477" s="50"/>
      <c r="H477" s="50"/>
      <c r="I477" s="50"/>
      <c r="J477" s="50"/>
      <c r="K477" s="50"/>
      <c r="L477" s="50"/>
      <c r="M477" s="52"/>
      <c r="N477" s="51"/>
      <c r="O477" s="51"/>
      <c r="P477" s="53">
        <f t="shared" si="49"/>
        <v>0</v>
      </c>
      <c r="Q477" s="50"/>
      <c r="R477" s="50"/>
      <c r="S477" s="51"/>
      <c r="T477" s="50"/>
      <c r="U477" s="50"/>
      <c r="V477" s="50"/>
      <c r="W477" s="50"/>
      <c r="X477" s="50"/>
      <c r="Y477" s="50"/>
      <c r="Z477" s="50"/>
      <c r="AA477" s="50"/>
      <c r="AB477" s="50"/>
      <c r="AC477" s="53">
        <f t="shared" si="50"/>
        <v>0</v>
      </c>
      <c r="AD477" s="53">
        <f t="shared" si="51"/>
        <v>0</v>
      </c>
      <c r="AE477" s="53">
        <f t="shared" si="52"/>
        <v>0</v>
      </c>
      <c r="AF477" s="53">
        <f t="shared" si="53"/>
        <v>0</v>
      </c>
      <c r="AG477" s="53">
        <f t="shared" si="54"/>
        <v>0</v>
      </c>
      <c r="AH477" s="53">
        <f t="shared" si="55"/>
        <v>0</v>
      </c>
      <c r="AI477" s="50"/>
      <c r="AJ477" s="50"/>
      <c r="AK477" s="50"/>
    </row>
    <row r="478" spans="1:37" x14ac:dyDescent="0.2">
      <c r="A478" s="50"/>
      <c r="B478" s="50"/>
      <c r="C478" s="50"/>
      <c r="D478" s="50"/>
      <c r="E478" s="50"/>
      <c r="F478" s="50"/>
      <c r="G478" s="50"/>
      <c r="H478" s="50"/>
      <c r="I478" s="50"/>
      <c r="J478" s="50"/>
      <c r="K478" s="50"/>
      <c r="L478" s="50"/>
      <c r="M478" s="52"/>
      <c r="N478" s="51"/>
      <c r="O478" s="51"/>
      <c r="P478" s="53">
        <f t="shared" si="49"/>
        <v>0</v>
      </c>
      <c r="Q478" s="50"/>
      <c r="R478" s="50"/>
      <c r="S478" s="51"/>
      <c r="T478" s="50"/>
      <c r="U478" s="50"/>
      <c r="V478" s="50"/>
      <c r="W478" s="50"/>
      <c r="X478" s="50"/>
      <c r="Y478" s="50"/>
      <c r="Z478" s="50"/>
      <c r="AA478" s="50"/>
      <c r="AB478" s="50"/>
      <c r="AC478" s="53">
        <f t="shared" si="50"/>
        <v>0</v>
      </c>
      <c r="AD478" s="53">
        <f t="shared" si="51"/>
        <v>0</v>
      </c>
      <c r="AE478" s="53">
        <f t="shared" si="52"/>
        <v>0</v>
      </c>
      <c r="AF478" s="53">
        <f t="shared" si="53"/>
        <v>0</v>
      </c>
      <c r="AG478" s="53">
        <f t="shared" si="54"/>
        <v>0</v>
      </c>
      <c r="AH478" s="53">
        <f t="shared" si="55"/>
        <v>0</v>
      </c>
      <c r="AI478" s="50"/>
      <c r="AJ478" s="50"/>
      <c r="AK478" s="50"/>
    </row>
    <row r="479" spans="1:37" x14ac:dyDescent="0.2">
      <c r="A479" s="50"/>
      <c r="B479" s="50"/>
      <c r="C479" s="50"/>
      <c r="D479" s="50"/>
      <c r="E479" s="50"/>
      <c r="F479" s="50"/>
      <c r="G479" s="50"/>
      <c r="H479" s="50"/>
      <c r="I479" s="50"/>
      <c r="J479" s="50"/>
      <c r="K479" s="50"/>
      <c r="L479" s="50"/>
      <c r="M479" s="52"/>
      <c r="N479" s="51"/>
      <c r="O479" s="51"/>
      <c r="P479" s="53">
        <f t="shared" si="49"/>
        <v>0</v>
      </c>
      <c r="Q479" s="50"/>
      <c r="R479" s="50"/>
      <c r="S479" s="51"/>
      <c r="T479" s="50"/>
      <c r="U479" s="50"/>
      <c r="V479" s="50"/>
      <c r="W479" s="50"/>
      <c r="X479" s="50"/>
      <c r="Y479" s="50"/>
      <c r="Z479" s="50"/>
      <c r="AA479" s="50"/>
      <c r="AB479" s="50"/>
      <c r="AC479" s="53">
        <f t="shared" si="50"/>
        <v>0</v>
      </c>
      <c r="AD479" s="53">
        <f t="shared" si="51"/>
        <v>0</v>
      </c>
      <c r="AE479" s="53">
        <f t="shared" si="52"/>
        <v>0</v>
      </c>
      <c r="AF479" s="53">
        <f t="shared" si="53"/>
        <v>0</v>
      </c>
      <c r="AG479" s="53">
        <f t="shared" si="54"/>
        <v>0</v>
      </c>
      <c r="AH479" s="53">
        <f t="shared" si="55"/>
        <v>0</v>
      </c>
      <c r="AI479" s="50"/>
      <c r="AJ479" s="50"/>
      <c r="AK479" s="50"/>
    </row>
    <row r="480" spans="1:37" x14ac:dyDescent="0.2">
      <c r="A480" s="50"/>
      <c r="B480" s="50"/>
      <c r="C480" s="50"/>
      <c r="D480" s="50"/>
      <c r="E480" s="50"/>
      <c r="F480" s="50"/>
      <c r="G480" s="50"/>
      <c r="H480" s="50"/>
      <c r="I480" s="50"/>
      <c r="J480" s="50"/>
      <c r="K480" s="50"/>
      <c r="L480" s="50"/>
      <c r="M480" s="52"/>
      <c r="N480" s="51"/>
      <c r="O480" s="51"/>
      <c r="P480" s="53">
        <f t="shared" si="49"/>
        <v>0</v>
      </c>
      <c r="Q480" s="50"/>
      <c r="R480" s="50"/>
      <c r="S480" s="51"/>
      <c r="T480" s="50"/>
      <c r="U480" s="50"/>
      <c r="V480" s="50"/>
      <c r="W480" s="50"/>
      <c r="X480" s="50"/>
      <c r="Y480" s="50"/>
      <c r="Z480" s="50"/>
      <c r="AA480" s="50"/>
      <c r="AB480" s="50"/>
      <c r="AC480" s="53">
        <f t="shared" si="50"/>
        <v>0</v>
      </c>
      <c r="AD480" s="53">
        <f t="shared" si="51"/>
        <v>0</v>
      </c>
      <c r="AE480" s="53">
        <f t="shared" si="52"/>
        <v>0</v>
      </c>
      <c r="AF480" s="53">
        <f t="shared" si="53"/>
        <v>0</v>
      </c>
      <c r="AG480" s="53">
        <f t="shared" si="54"/>
        <v>0</v>
      </c>
      <c r="AH480" s="53">
        <f t="shared" si="55"/>
        <v>0</v>
      </c>
      <c r="AI480" s="50"/>
      <c r="AJ480" s="50"/>
      <c r="AK480" s="50"/>
    </row>
    <row r="481" spans="1:37" x14ac:dyDescent="0.2">
      <c r="A481" s="50"/>
      <c r="B481" s="50"/>
      <c r="C481" s="50"/>
      <c r="D481" s="50"/>
      <c r="E481" s="50"/>
      <c r="F481" s="50"/>
      <c r="G481" s="50"/>
      <c r="H481" s="50"/>
      <c r="I481" s="50"/>
      <c r="J481" s="50"/>
      <c r="K481" s="50"/>
      <c r="L481" s="50"/>
      <c r="M481" s="52"/>
      <c r="N481" s="51"/>
      <c r="O481" s="51"/>
      <c r="P481" s="53">
        <f t="shared" si="49"/>
        <v>0</v>
      </c>
      <c r="Q481" s="50"/>
      <c r="R481" s="50"/>
      <c r="S481" s="51"/>
      <c r="T481" s="50"/>
      <c r="U481" s="50"/>
      <c r="V481" s="50"/>
      <c r="W481" s="50"/>
      <c r="X481" s="50"/>
      <c r="Y481" s="50"/>
      <c r="Z481" s="50"/>
      <c r="AA481" s="50"/>
      <c r="AB481" s="50"/>
      <c r="AC481" s="53">
        <f t="shared" si="50"/>
        <v>0</v>
      </c>
      <c r="AD481" s="53">
        <f t="shared" si="51"/>
        <v>0</v>
      </c>
      <c r="AE481" s="53">
        <f t="shared" si="52"/>
        <v>0</v>
      </c>
      <c r="AF481" s="53">
        <f t="shared" si="53"/>
        <v>0</v>
      </c>
      <c r="AG481" s="53">
        <f t="shared" si="54"/>
        <v>0</v>
      </c>
      <c r="AH481" s="53">
        <f t="shared" si="55"/>
        <v>0</v>
      </c>
      <c r="AI481" s="50"/>
      <c r="AJ481" s="50"/>
      <c r="AK481" s="50"/>
    </row>
    <row r="482" spans="1:37" x14ac:dyDescent="0.2">
      <c r="A482" s="50"/>
      <c r="B482" s="50"/>
      <c r="C482" s="50"/>
      <c r="D482" s="50"/>
      <c r="E482" s="50"/>
      <c r="F482" s="50"/>
      <c r="G482" s="50"/>
      <c r="H482" s="50"/>
      <c r="I482" s="50"/>
      <c r="J482" s="50"/>
      <c r="K482" s="50"/>
      <c r="L482" s="50"/>
      <c r="M482" s="52"/>
      <c r="N482" s="51"/>
      <c r="O482" s="51"/>
      <c r="P482" s="53">
        <f t="shared" si="49"/>
        <v>0</v>
      </c>
      <c r="Q482" s="50"/>
      <c r="R482" s="50"/>
      <c r="S482" s="51"/>
      <c r="T482" s="50"/>
      <c r="U482" s="50"/>
      <c r="V482" s="50"/>
      <c r="W482" s="50"/>
      <c r="X482" s="50"/>
      <c r="Y482" s="50"/>
      <c r="Z482" s="50"/>
      <c r="AA482" s="50"/>
      <c r="AB482" s="50"/>
      <c r="AC482" s="53">
        <f t="shared" si="50"/>
        <v>0</v>
      </c>
      <c r="AD482" s="53">
        <f t="shared" si="51"/>
        <v>0</v>
      </c>
      <c r="AE482" s="53">
        <f t="shared" si="52"/>
        <v>0</v>
      </c>
      <c r="AF482" s="53">
        <f t="shared" si="53"/>
        <v>0</v>
      </c>
      <c r="AG482" s="53">
        <f t="shared" si="54"/>
        <v>0</v>
      </c>
      <c r="AH482" s="53">
        <f t="shared" si="55"/>
        <v>0</v>
      </c>
      <c r="AI482" s="50"/>
      <c r="AJ482" s="50"/>
      <c r="AK482" s="50"/>
    </row>
    <row r="483" spans="1:37" x14ac:dyDescent="0.2">
      <c r="A483" s="50"/>
      <c r="B483" s="50"/>
      <c r="C483" s="50"/>
      <c r="D483" s="50"/>
      <c r="E483" s="50"/>
      <c r="F483" s="50"/>
      <c r="G483" s="50"/>
      <c r="H483" s="50"/>
      <c r="I483" s="50"/>
      <c r="J483" s="50"/>
      <c r="K483" s="50"/>
      <c r="L483" s="50"/>
      <c r="M483" s="52"/>
      <c r="N483" s="51"/>
      <c r="O483" s="51"/>
      <c r="P483" s="53">
        <f t="shared" si="49"/>
        <v>0</v>
      </c>
      <c r="Q483" s="50"/>
      <c r="R483" s="50"/>
      <c r="S483" s="51"/>
      <c r="T483" s="50"/>
      <c r="U483" s="50"/>
      <c r="V483" s="50"/>
      <c r="W483" s="50"/>
      <c r="X483" s="50"/>
      <c r="Y483" s="50"/>
      <c r="Z483" s="50"/>
      <c r="AA483" s="50"/>
      <c r="AB483" s="50"/>
      <c r="AC483" s="53">
        <f t="shared" si="50"/>
        <v>0</v>
      </c>
      <c r="AD483" s="53">
        <f t="shared" si="51"/>
        <v>0</v>
      </c>
      <c r="AE483" s="53">
        <f t="shared" si="52"/>
        <v>0</v>
      </c>
      <c r="AF483" s="53">
        <f t="shared" si="53"/>
        <v>0</v>
      </c>
      <c r="AG483" s="53">
        <f t="shared" si="54"/>
        <v>0</v>
      </c>
      <c r="AH483" s="53">
        <f t="shared" si="55"/>
        <v>0</v>
      </c>
      <c r="AI483" s="50"/>
      <c r="AJ483" s="50"/>
      <c r="AK483" s="50"/>
    </row>
    <row r="484" spans="1:37" x14ac:dyDescent="0.2">
      <c r="A484" s="50"/>
      <c r="B484" s="50"/>
      <c r="C484" s="50"/>
      <c r="D484" s="50"/>
      <c r="E484" s="50"/>
      <c r="F484" s="50"/>
      <c r="G484" s="50"/>
      <c r="H484" s="50"/>
      <c r="I484" s="50"/>
      <c r="J484" s="50"/>
      <c r="K484" s="50"/>
      <c r="L484" s="50"/>
      <c r="M484" s="52"/>
      <c r="N484" s="51"/>
      <c r="O484" s="51"/>
      <c r="P484" s="53">
        <f t="shared" si="49"/>
        <v>0</v>
      </c>
      <c r="Q484" s="50"/>
      <c r="R484" s="50"/>
      <c r="S484" s="51"/>
      <c r="T484" s="50"/>
      <c r="U484" s="50"/>
      <c r="V484" s="50"/>
      <c r="W484" s="50"/>
      <c r="X484" s="50"/>
      <c r="Y484" s="50"/>
      <c r="Z484" s="50"/>
      <c r="AA484" s="50"/>
      <c r="AB484" s="50"/>
      <c r="AC484" s="53">
        <f t="shared" si="50"/>
        <v>0</v>
      </c>
      <c r="AD484" s="53">
        <f t="shared" si="51"/>
        <v>0</v>
      </c>
      <c r="AE484" s="53">
        <f t="shared" si="52"/>
        <v>0</v>
      </c>
      <c r="AF484" s="53">
        <f t="shared" si="53"/>
        <v>0</v>
      </c>
      <c r="AG484" s="53">
        <f t="shared" si="54"/>
        <v>0</v>
      </c>
      <c r="AH484" s="53">
        <f t="shared" si="55"/>
        <v>0</v>
      </c>
      <c r="AI484" s="50"/>
      <c r="AJ484" s="50"/>
      <c r="AK484" s="50"/>
    </row>
    <row r="485" spans="1:37" x14ac:dyDescent="0.2">
      <c r="A485" s="50"/>
      <c r="B485" s="50"/>
      <c r="C485" s="50"/>
      <c r="D485" s="50"/>
      <c r="E485" s="50"/>
      <c r="F485" s="50"/>
      <c r="G485" s="50"/>
      <c r="H485" s="50"/>
      <c r="I485" s="50"/>
      <c r="J485" s="50"/>
      <c r="K485" s="50"/>
      <c r="L485" s="50"/>
      <c r="M485" s="52"/>
      <c r="N485" s="51"/>
      <c r="O485" s="51"/>
      <c r="P485" s="53">
        <f t="shared" si="49"/>
        <v>0</v>
      </c>
      <c r="Q485" s="50"/>
      <c r="R485" s="50"/>
      <c r="S485" s="51"/>
      <c r="T485" s="50"/>
      <c r="U485" s="50"/>
      <c r="V485" s="50"/>
      <c r="W485" s="50"/>
      <c r="X485" s="50"/>
      <c r="Y485" s="50"/>
      <c r="Z485" s="50"/>
      <c r="AA485" s="50"/>
      <c r="AB485" s="50"/>
      <c r="AC485" s="53">
        <f t="shared" si="50"/>
        <v>0</v>
      </c>
      <c r="AD485" s="53">
        <f t="shared" si="51"/>
        <v>0</v>
      </c>
      <c r="AE485" s="53">
        <f t="shared" si="52"/>
        <v>0</v>
      </c>
      <c r="AF485" s="53">
        <f t="shared" si="53"/>
        <v>0</v>
      </c>
      <c r="AG485" s="53">
        <f t="shared" si="54"/>
        <v>0</v>
      </c>
      <c r="AH485" s="53">
        <f t="shared" si="55"/>
        <v>0</v>
      </c>
      <c r="AI485" s="50"/>
      <c r="AJ485" s="50"/>
      <c r="AK485" s="50"/>
    </row>
    <row r="486" spans="1:37" x14ac:dyDescent="0.2">
      <c r="A486" s="50"/>
      <c r="B486" s="50"/>
      <c r="C486" s="50"/>
      <c r="D486" s="50"/>
      <c r="E486" s="50"/>
      <c r="F486" s="50"/>
      <c r="G486" s="50"/>
      <c r="H486" s="50"/>
      <c r="I486" s="50"/>
      <c r="J486" s="50"/>
      <c r="K486" s="50"/>
      <c r="L486" s="50"/>
      <c r="M486" s="52"/>
      <c r="N486" s="51"/>
      <c r="O486" s="51"/>
      <c r="P486" s="53">
        <f t="shared" si="49"/>
        <v>0</v>
      </c>
      <c r="Q486" s="50"/>
      <c r="R486" s="50"/>
      <c r="S486" s="51"/>
      <c r="T486" s="50"/>
      <c r="U486" s="50"/>
      <c r="V486" s="50"/>
      <c r="W486" s="50"/>
      <c r="X486" s="50"/>
      <c r="Y486" s="50"/>
      <c r="Z486" s="50"/>
      <c r="AA486" s="50"/>
      <c r="AB486" s="50"/>
      <c r="AC486" s="53">
        <f t="shared" si="50"/>
        <v>0</v>
      </c>
      <c r="AD486" s="53">
        <f t="shared" si="51"/>
        <v>0</v>
      </c>
      <c r="AE486" s="53">
        <f t="shared" si="52"/>
        <v>0</v>
      </c>
      <c r="AF486" s="53">
        <f t="shared" si="53"/>
        <v>0</v>
      </c>
      <c r="AG486" s="53">
        <f t="shared" si="54"/>
        <v>0</v>
      </c>
      <c r="AH486" s="53">
        <f t="shared" si="55"/>
        <v>0</v>
      </c>
      <c r="AI486" s="50"/>
      <c r="AJ486" s="50"/>
      <c r="AK486" s="50"/>
    </row>
    <row r="487" spans="1:37" x14ac:dyDescent="0.2">
      <c r="A487" s="50"/>
      <c r="B487" s="50"/>
      <c r="C487" s="50"/>
      <c r="D487" s="50"/>
      <c r="E487" s="50"/>
      <c r="F487" s="50"/>
      <c r="G487" s="50"/>
      <c r="H487" s="50"/>
      <c r="I487" s="50"/>
      <c r="J487" s="50"/>
      <c r="K487" s="50"/>
      <c r="L487" s="50"/>
      <c r="M487" s="52"/>
      <c r="N487" s="51"/>
      <c r="O487" s="51"/>
      <c r="P487" s="53">
        <f t="shared" si="49"/>
        <v>0</v>
      </c>
      <c r="Q487" s="50"/>
      <c r="R487" s="50"/>
      <c r="S487" s="51"/>
      <c r="T487" s="50"/>
      <c r="U487" s="50"/>
      <c r="V487" s="50"/>
      <c r="W487" s="50"/>
      <c r="X487" s="50"/>
      <c r="Y487" s="50"/>
      <c r="Z487" s="50"/>
      <c r="AA487" s="50"/>
      <c r="AB487" s="50"/>
      <c r="AC487" s="53">
        <f t="shared" si="50"/>
        <v>0</v>
      </c>
      <c r="AD487" s="53">
        <f t="shared" si="51"/>
        <v>0</v>
      </c>
      <c r="AE487" s="53">
        <f t="shared" si="52"/>
        <v>0</v>
      </c>
      <c r="AF487" s="53">
        <f t="shared" si="53"/>
        <v>0</v>
      </c>
      <c r="AG487" s="53">
        <f t="shared" si="54"/>
        <v>0</v>
      </c>
      <c r="AH487" s="53">
        <f t="shared" si="55"/>
        <v>0</v>
      </c>
      <c r="AI487" s="50"/>
      <c r="AJ487" s="50"/>
      <c r="AK487" s="50"/>
    </row>
    <row r="488" spans="1:37" x14ac:dyDescent="0.2">
      <c r="A488" s="50"/>
      <c r="B488" s="50"/>
      <c r="C488" s="50"/>
      <c r="D488" s="50"/>
      <c r="E488" s="50"/>
      <c r="F488" s="50"/>
      <c r="G488" s="50"/>
      <c r="H488" s="50"/>
      <c r="I488" s="50"/>
      <c r="J488" s="50"/>
      <c r="K488" s="50"/>
      <c r="L488" s="50"/>
      <c r="M488" s="52"/>
      <c r="N488" s="51"/>
      <c r="O488" s="51"/>
      <c r="P488" s="53">
        <f t="shared" si="49"/>
        <v>0</v>
      </c>
      <c r="Q488" s="50"/>
      <c r="R488" s="50"/>
      <c r="S488" s="51"/>
      <c r="T488" s="50"/>
      <c r="U488" s="50"/>
      <c r="V488" s="50"/>
      <c r="W488" s="50"/>
      <c r="X488" s="50"/>
      <c r="Y488" s="50"/>
      <c r="Z488" s="50"/>
      <c r="AA488" s="50"/>
      <c r="AB488" s="50"/>
      <c r="AC488" s="53">
        <f t="shared" si="50"/>
        <v>0</v>
      </c>
      <c r="AD488" s="53">
        <f t="shared" si="51"/>
        <v>0</v>
      </c>
      <c r="AE488" s="53">
        <f t="shared" si="52"/>
        <v>0</v>
      </c>
      <c r="AF488" s="53">
        <f t="shared" si="53"/>
        <v>0</v>
      </c>
      <c r="AG488" s="53">
        <f t="shared" si="54"/>
        <v>0</v>
      </c>
      <c r="AH488" s="53">
        <f t="shared" si="55"/>
        <v>0</v>
      </c>
      <c r="AI488" s="50"/>
      <c r="AJ488" s="50"/>
      <c r="AK488" s="50"/>
    </row>
    <row r="489" spans="1:37" x14ac:dyDescent="0.2">
      <c r="A489" s="50"/>
      <c r="B489" s="50"/>
      <c r="C489" s="50"/>
      <c r="D489" s="50"/>
      <c r="E489" s="50"/>
      <c r="F489" s="50"/>
      <c r="G489" s="50"/>
      <c r="H489" s="50"/>
      <c r="I489" s="50"/>
      <c r="J489" s="50"/>
      <c r="K489" s="50"/>
      <c r="L489" s="50"/>
      <c r="M489" s="52"/>
      <c r="N489" s="51"/>
      <c r="O489" s="51"/>
      <c r="P489" s="53">
        <f t="shared" si="49"/>
        <v>0</v>
      </c>
      <c r="Q489" s="50"/>
      <c r="R489" s="50"/>
      <c r="S489" s="51"/>
      <c r="T489" s="50"/>
      <c r="U489" s="50"/>
      <c r="V489" s="50"/>
      <c r="W489" s="50"/>
      <c r="X489" s="50"/>
      <c r="Y489" s="50"/>
      <c r="Z489" s="50"/>
      <c r="AA489" s="50"/>
      <c r="AB489" s="50"/>
      <c r="AC489" s="53">
        <f t="shared" si="50"/>
        <v>0</v>
      </c>
      <c r="AD489" s="53">
        <f t="shared" si="51"/>
        <v>0</v>
      </c>
      <c r="AE489" s="53">
        <f t="shared" si="52"/>
        <v>0</v>
      </c>
      <c r="AF489" s="53">
        <f t="shared" si="53"/>
        <v>0</v>
      </c>
      <c r="AG489" s="53">
        <f t="shared" si="54"/>
        <v>0</v>
      </c>
      <c r="AH489" s="53">
        <f t="shared" si="55"/>
        <v>0</v>
      </c>
      <c r="AI489" s="50"/>
      <c r="AJ489" s="50"/>
      <c r="AK489" s="50"/>
    </row>
    <row r="490" spans="1:37" x14ac:dyDescent="0.2">
      <c r="A490" s="50"/>
      <c r="B490" s="50"/>
      <c r="C490" s="50"/>
      <c r="D490" s="50"/>
      <c r="E490" s="50"/>
      <c r="F490" s="50"/>
      <c r="G490" s="50"/>
      <c r="H490" s="50"/>
      <c r="I490" s="50"/>
      <c r="J490" s="50"/>
      <c r="K490" s="50"/>
      <c r="L490" s="50"/>
      <c r="M490" s="52"/>
      <c r="N490" s="51"/>
      <c r="O490" s="51"/>
      <c r="P490" s="53">
        <f t="shared" si="49"/>
        <v>0</v>
      </c>
      <c r="Q490" s="50"/>
      <c r="R490" s="50"/>
      <c r="S490" s="51"/>
      <c r="T490" s="50"/>
      <c r="U490" s="50"/>
      <c r="V490" s="50"/>
      <c r="W490" s="50"/>
      <c r="X490" s="50"/>
      <c r="Y490" s="50"/>
      <c r="Z490" s="50"/>
      <c r="AA490" s="50"/>
      <c r="AB490" s="50"/>
      <c r="AC490" s="53">
        <f t="shared" si="50"/>
        <v>0</v>
      </c>
      <c r="AD490" s="53">
        <f t="shared" si="51"/>
        <v>0</v>
      </c>
      <c r="AE490" s="53">
        <f t="shared" si="52"/>
        <v>0</v>
      </c>
      <c r="AF490" s="53">
        <f t="shared" si="53"/>
        <v>0</v>
      </c>
      <c r="AG490" s="53">
        <f t="shared" si="54"/>
        <v>0</v>
      </c>
      <c r="AH490" s="53">
        <f t="shared" si="55"/>
        <v>0</v>
      </c>
      <c r="AI490" s="50"/>
      <c r="AJ490" s="50"/>
      <c r="AK490" s="50"/>
    </row>
    <row r="491" spans="1:37" x14ac:dyDescent="0.2">
      <c r="A491" s="50"/>
      <c r="B491" s="50"/>
      <c r="C491" s="50"/>
      <c r="D491" s="50"/>
      <c r="E491" s="50"/>
      <c r="F491" s="50"/>
      <c r="G491" s="50"/>
      <c r="H491" s="50"/>
      <c r="I491" s="50"/>
      <c r="J491" s="50"/>
      <c r="K491" s="50"/>
      <c r="L491" s="50"/>
      <c r="M491" s="52"/>
      <c r="N491" s="51"/>
      <c r="O491" s="51"/>
      <c r="P491" s="53">
        <f t="shared" si="49"/>
        <v>0</v>
      </c>
      <c r="Q491" s="50"/>
      <c r="R491" s="50"/>
      <c r="S491" s="51"/>
      <c r="T491" s="50"/>
      <c r="U491" s="50"/>
      <c r="V491" s="50"/>
      <c r="W491" s="50"/>
      <c r="X491" s="50"/>
      <c r="Y491" s="50"/>
      <c r="Z491" s="50"/>
      <c r="AA491" s="50"/>
      <c r="AB491" s="50"/>
      <c r="AC491" s="53">
        <f t="shared" si="50"/>
        <v>0</v>
      </c>
      <c r="AD491" s="53">
        <f t="shared" si="51"/>
        <v>0</v>
      </c>
      <c r="AE491" s="53">
        <f t="shared" si="52"/>
        <v>0</v>
      </c>
      <c r="AF491" s="53">
        <f t="shared" si="53"/>
        <v>0</v>
      </c>
      <c r="AG491" s="53">
        <f t="shared" si="54"/>
        <v>0</v>
      </c>
      <c r="AH491" s="53">
        <f t="shared" si="55"/>
        <v>0</v>
      </c>
      <c r="AI491" s="50"/>
      <c r="AJ491" s="50"/>
      <c r="AK491" s="50"/>
    </row>
    <row r="492" spans="1:37" x14ac:dyDescent="0.2">
      <c r="A492" s="50"/>
      <c r="B492" s="50"/>
      <c r="C492" s="50"/>
      <c r="D492" s="50"/>
      <c r="E492" s="50"/>
      <c r="F492" s="50"/>
      <c r="G492" s="50"/>
      <c r="H492" s="50"/>
      <c r="I492" s="50"/>
      <c r="J492" s="50"/>
      <c r="K492" s="50"/>
      <c r="L492" s="50"/>
      <c r="M492" s="52"/>
      <c r="N492" s="51"/>
      <c r="O492" s="51"/>
      <c r="P492" s="53">
        <f t="shared" si="49"/>
        <v>0</v>
      </c>
      <c r="Q492" s="50"/>
      <c r="R492" s="50"/>
      <c r="S492" s="51"/>
      <c r="T492" s="50"/>
      <c r="U492" s="50"/>
      <c r="V492" s="50"/>
      <c r="W492" s="50"/>
      <c r="X492" s="50"/>
      <c r="Y492" s="50"/>
      <c r="Z492" s="50"/>
      <c r="AA492" s="50"/>
      <c r="AB492" s="50"/>
      <c r="AC492" s="53">
        <f t="shared" si="50"/>
        <v>0</v>
      </c>
      <c r="AD492" s="53">
        <f t="shared" si="51"/>
        <v>0</v>
      </c>
      <c r="AE492" s="53">
        <f t="shared" si="52"/>
        <v>0</v>
      </c>
      <c r="AF492" s="53">
        <f t="shared" si="53"/>
        <v>0</v>
      </c>
      <c r="AG492" s="53">
        <f t="shared" si="54"/>
        <v>0</v>
      </c>
      <c r="AH492" s="53">
        <f t="shared" si="55"/>
        <v>0</v>
      </c>
      <c r="AI492" s="50"/>
      <c r="AJ492" s="50"/>
      <c r="AK492" s="50"/>
    </row>
    <row r="493" spans="1:37" x14ac:dyDescent="0.2">
      <c r="A493" s="50"/>
      <c r="B493" s="50"/>
      <c r="C493" s="50"/>
      <c r="D493" s="50"/>
      <c r="E493" s="50"/>
      <c r="F493" s="50"/>
      <c r="G493" s="50"/>
      <c r="H493" s="50"/>
      <c r="I493" s="50"/>
      <c r="J493" s="50"/>
      <c r="K493" s="50"/>
      <c r="L493" s="50"/>
      <c r="M493" s="52"/>
      <c r="N493" s="51"/>
      <c r="O493" s="51"/>
      <c r="P493" s="53">
        <f t="shared" si="49"/>
        <v>0</v>
      </c>
      <c r="Q493" s="50"/>
      <c r="R493" s="50"/>
      <c r="S493" s="51"/>
      <c r="T493" s="50"/>
      <c r="U493" s="50"/>
      <c r="V493" s="50"/>
      <c r="W493" s="50"/>
      <c r="X493" s="50"/>
      <c r="Y493" s="50"/>
      <c r="Z493" s="50"/>
      <c r="AA493" s="50"/>
      <c r="AB493" s="50"/>
      <c r="AC493" s="53">
        <f t="shared" si="50"/>
        <v>0</v>
      </c>
      <c r="AD493" s="53">
        <f t="shared" si="51"/>
        <v>0</v>
      </c>
      <c r="AE493" s="53">
        <f t="shared" si="52"/>
        <v>0</v>
      </c>
      <c r="AF493" s="53">
        <f t="shared" si="53"/>
        <v>0</v>
      </c>
      <c r="AG493" s="53">
        <f t="shared" si="54"/>
        <v>0</v>
      </c>
      <c r="AH493" s="53">
        <f t="shared" si="55"/>
        <v>0</v>
      </c>
      <c r="AI493" s="50"/>
      <c r="AJ493" s="50"/>
      <c r="AK493" s="50"/>
    </row>
    <row r="494" spans="1:37" x14ac:dyDescent="0.2">
      <c r="A494" s="50"/>
      <c r="B494" s="50"/>
      <c r="C494" s="50"/>
      <c r="D494" s="50"/>
      <c r="E494" s="50"/>
      <c r="F494" s="50"/>
      <c r="G494" s="50"/>
      <c r="H494" s="50"/>
      <c r="I494" s="50"/>
      <c r="J494" s="50"/>
      <c r="K494" s="50"/>
      <c r="L494" s="50"/>
      <c r="M494" s="52"/>
      <c r="N494" s="51"/>
      <c r="O494" s="51"/>
      <c r="P494" s="53">
        <f t="shared" si="49"/>
        <v>0</v>
      </c>
      <c r="Q494" s="50"/>
      <c r="R494" s="50"/>
      <c r="S494" s="51"/>
      <c r="T494" s="50"/>
      <c r="U494" s="50"/>
      <c r="V494" s="50"/>
      <c r="W494" s="50"/>
      <c r="X494" s="50"/>
      <c r="Y494" s="50"/>
      <c r="Z494" s="50"/>
      <c r="AA494" s="50"/>
      <c r="AB494" s="50"/>
      <c r="AC494" s="53">
        <f t="shared" si="50"/>
        <v>0</v>
      </c>
      <c r="AD494" s="53">
        <f t="shared" si="51"/>
        <v>0</v>
      </c>
      <c r="AE494" s="53">
        <f t="shared" si="52"/>
        <v>0</v>
      </c>
      <c r="AF494" s="53">
        <f t="shared" si="53"/>
        <v>0</v>
      </c>
      <c r="AG494" s="53">
        <f t="shared" si="54"/>
        <v>0</v>
      </c>
      <c r="AH494" s="53">
        <f t="shared" si="55"/>
        <v>0</v>
      </c>
      <c r="AI494" s="50"/>
      <c r="AJ494" s="50"/>
      <c r="AK494" s="50"/>
    </row>
    <row r="495" spans="1:37" x14ac:dyDescent="0.2">
      <c r="A495" s="50"/>
      <c r="B495" s="50"/>
      <c r="C495" s="50"/>
      <c r="D495" s="50"/>
      <c r="E495" s="50"/>
      <c r="F495" s="50"/>
      <c r="G495" s="50"/>
      <c r="H495" s="50"/>
      <c r="I495" s="50"/>
      <c r="J495" s="50"/>
      <c r="K495" s="50"/>
      <c r="L495" s="50"/>
      <c r="M495" s="52"/>
      <c r="N495" s="51"/>
      <c r="O495" s="51"/>
      <c r="P495" s="53">
        <f t="shared" si="49"/>
        <v>0</v>
      </c>
      <c r="Q495" s="50"/>
      <c r="R495" s="50"/>
      <c r="S495" s="51"/>
      <c r="T495" s="50"/>
      <c r="U495" s="50"/>
      <c r="V495" s="50"/>
      <c r="W495" s="50"/>
      <c r="X495" s="50"/>
      <c r="Y495" s="50"/>
      <c r="Z495" s="50"/>
      <c r="AA495" s="50"/>
      <c r="AB495" s="50"/>
      <c r="AC495" s="53">
        <f t="shared" si="50"/>
        <v>0</v>
      </c>
      <c r="AD495" s="53">
        <f t="shared" si="51"/>
        <v>0</v>
      </c>
      <c r="AE495" s="53">
        <f t="shared" si="52"/>
        <v>0</v>
      </c>
      <c r="AF495" s="53">
        <f t="shared" si="53"/>
        <v>0</v>
      </c>
      <c r="AG495" s="53">
        <f t="shared" si="54"/>
        <v>0</v>
      </c>
      <c r="AH495" s="53">
        <f t="shared" si="55"/>
        <v>0</v>
      </c>
      <c r="AI495" s="50"/>
      <c r="AJ495" s="50"/>
      <c r="AK495" s="50"/>
    </row>
    <row r="496" spans="1:37" x14ac:dyDescent="0.2">
      <c r="A496" s="50"/>
      <c r="B496" s="50"/>
      <c r="C496" s="50"/>
      <c r="D496" s="50"/>
      <c r="E496" s="50"/>
      <c r="F496" s="50"/>
      <c r="G496" s="50"/>
      <c r="H496" s="50"/>
      <c r="I496" s="50"/>
      <c r="J496" s="50"/>
      <c r="K496" s="50"/>
      <c r="L496" s="50"/>
      <c r="M496" s="52"/>
      <c r="N496" s="51"/>
      <c r="O496" s="51"/>
      <c r="P496" s="53">
        <f t="shared" si="49"/>
        <v>0</v>
      </c>
      <c r="Q496" s="50"/>
      <c r="R496" s="50"/>
      <c r="S496" s="51"/>
      <c r="T496" s="50"/>
      <c r="U496" s="50"/>
      <c r="V496" s="50"/>
      <c r="W496" s="50"/>
      <c r="X496" s="50"/>
      <c r="Y496" s="50"/>
      <c r="Z496" s="50"/>
      <c r="AA496" s="50"/>
      <c r="AB496" s="50"/>
      <c r="AC496" s="53">
        <f t="shared" si="50"/>
        <v>0</v>
      </c>
      <c r="AD496" s="53">
        <f t="shared" si="51"/>
        <v>0</v>
      </c>
      <c r="AE496" s="53">
        <f t="shared" si="52"/>
        <v>0</v>
      </c>
      <c r="AF496" s="53">
        <f t="shared" si="53"/>
        <v>0</v>
      </c>
      <c r="AG496" s="53">
        <f t="shared" si="54"/>
        <v>0</v>
      </c>
      <c r="AH496" s="53">
        <f t="shared" si="55"/>
        <v>0</v>
      </c>
      <c r="AI496" s="50"/>
      <c r="AJ496" s="50"/>
      <c r="AK496" s="50"/>
    </row>
    <row r="497" spans="1:37" x14ac:dyDescent="0.2">
      <c r="A497" s="50"/>
      <c r="B497" s="50"/>
      <c r="C497" s="50"/>
      <c r="D497" s="50"/>
      <c r="E497" s="50"/>
      <c r="F497" s="50"/>
      <c r="G497" s="50"/>
      <c r="H497" s="50"/>
      <c r="I497" s="50"/>
      <c r="J497" s="50"/>
      <c r="K497" s="50"/>
      <c r="L497" s="50"/>
      <c r="M497" s="52"/>
      <c r="N497" s="51"/>
      <c r="O497" s="51"/>
      <c r="P497" s="53">
        <f t="shared" si="49"/>
        <v>0</v>
      </c>
      <c r="Q497" s="50"/>
      <c r="R497" s="50"/>
      <c r="S497" s="51"/>
      <c r="T497" s="50"/>
      <c r="U497" s="50"/>
      <c r="V497" s="50"/>
      <c r="W497" s="50"/>
      <c r="X497" s="50"/>
      <c r="Y497" s="50"/>
      <c r="Z497" s="50"/>
      <c r="AA497" s="50"/>
      <c r="AB497" s="50"/>
      <c r="AC497" s="53">
        <f t="shared" si="50"/>
        <v>0</v>
      </c>
      <c r="AD497" s="53">
        <f t="shared" si="51"/>
        <v>0</v>
      </c>
      <c r="AE497" s="53">
        <f t="shared" si="52"/>
        <v>0</v>
      </c>
      <c r="AF497" s="53">
        <f t="shared" si="53"/>
        <v>0</v>
      </c>
      <c r="AG497" s="53">
        <f t="shared" si="54"/>
        <v>0</v>
      </c>
      <c r="AH497" s="53">
        <f t="shared" si="55"/>
        <v>0</v>
      </c>
      <c r="AI497" s="50"/>
      <c r="AJ497" s="50"/>
      <c r="AK497" s="50"/>
    </row>
    <row r="498" spans="1:37" x14ac:dyDescent="0.2">
      <c r="A498" s="50"/>
      <c r="B498" s="50"/>
      <c r="C498" s="50"/>
      <c r="D498" s="50"/>
      <c r="E498" s="50"/>
      <c r="F498" s="50"/>
      <c r="G498" s="50"/>
      <c r="H498" s="50"/>
      <c r="I498" s="50"/>
      <c r="J498" s="50"/>
      <c r="K498" s="50"/>
      <c r="L498" s="50"/>
      <c r="M498" s="52"/>
      <c r="N498" s="51"/>
      <c r="O498" s="51"/>
      <c r="P498" s="53">
        <f t="shared" si="49"/>
        <v>0</v>
      </c>
      <c r="Q498" s="50"/>
      <c r="R498" s="50"/>
      <c r="S498" s="51"/>
      <c r="T498" s="50"/>
      <c r="U498" s="50"/>
      <c r="V498" s="50"/>
      <c r="W498" s="50"/>
      <c r="X498" s="50"/>
      <c r="Y498" s="50"/>
      <c r="Z498" s="50"/>
      <c r="AA498" s="50"/>
      <c r="AB498" s="50"/>
      <c r="AC498" s="53">
        <f t="shared" si="50"/>
        <v>0</v>
      </c>
      <c r="AD498" s="53">
        <f t="shared" si="51"/>
        <v>0</v>
      </c>
      <c r="AE498" s="53">
        <f t="shared" si="52"/>
        <v>0</v>
      </c>
      <c r="AF498" s="53">
        <f t="shared" si="53"/>
        <v>0</v>
      </c>
      <c r="AG498" s="53">
        <f t="shared" si="54"/>
        <v>0</v>
      </c>
      <c r="AH498" s="53">
        <f t="shared" si="55"/>
        <v>0</v>
      </c>
      <c r="AI498" s="50"/>
      <c r="AJ498" s="50"/>
      <c r="AK498" s="50"/>
    </row>
    <row r="499" spans="1:37" x14ac:dyDescent="0.2">
      <c r="A499" s="50"/>
      <c r="B499" s="50"/>
      <c r="C499" s="50"/>
      <c r="D499" s="50"/>
      <c r="E499" s="50"/>
      <c r="F499" s="50"/>
      <c r="G499" s="50"/>
      <c r="H499" s="50"/>
      <c r="I499" s="50"/>
      <c r="J499" s="50"/>
      <c r="K499" s="50"/>
      <c r="L499" s="50"/>
      <c r="M499" s="52"/>
      <c r="N499" s="51"/>
      <c r="O499" s="51"/>
      <c r="P499" s="53">
        <f t="shared" si="49"/>
        <v>0</v>
      </c>
      <c r="Q499" s="50"/>
      <c r="R499" s="50"/>
      <c r="S499" s="51"/>
      <c r="T499" s="50"/>
      <c r="U499" s="50"/>
      <c r="V499" s="50"/>
      <c r="W499" s="50"/>
      <c r="X499" s="50"/>
      <c r="Y499" s="50"/>
      <c r="Z499" s="50"/>
      <c r="AA499" s="50"/>
      <c r="AB499" s="50"/>
      <c r="AC499" s="53">
        <f t="shared" si="50"/>
        <v>0</v>
      </c>
      <c r="AD499" s="53">
        <f t="shared" si="51"/>
        <v>0</v>
      </c>
      <c r="AE499" s="53">
        <f t="shared" si="52"/>
        <v>0</v>
      </c>
      <c r="AF499" s="53">
        <f t="shared" si="53"/>
        <v>0</v>
      </c>
      <c r="AG499" s="53">
        <f t="shared" si="54"/>
        <v>0</v>
      </c>
      <c r="AH499" s="53">
        <f t="shared" si="55"/>
        <v>0</v>
      </c>
      <c r="AI499" s="50"/>
      <c r="AJ499" s="50"/>
      <c r="AK499" s="50"/>
    </row>
    <row r="500" spans="1:37" x14ac:dyDescent="0.2">
      <c r="A500" s="50"/>
      <c r="B500" s="50"/>
      <c r="C500" s="50"/>
      <c r="D500" s="50"/>
      <c r="E500" s="50"/>
      <c r="F500" s="50"/>
      <c r="G500" s="50"/>
      <c r="H500" s="50"/>
      <c r="I500" s="50"/>
      <c r="J500" s="50"/>
      <c r="K500" s="50"/>
      <c r="L500" s="50"/>
      <c r="M500" s="52"/>
      <c r="N500" s="51"/>
      <c r="O500" s="51"/>
      <c r="P500" s="53">
        <f t="shared" si="49"/>
        <v>0</v>
      </c>
      <c r="Q500" s="50"/>
      <c r="R500" s="50"/>
      <c r="S500" s="51"/>
      <c r="T500" s="50"/>
      <c r="U500" s="50"/>
      <c r="V500" s="50"/>
      <c r="W500" s="50"/>
      <c r="X500" s="50"/>
      <c r="Y500" s="50"/>
      <c r="Z500" s="50"/>
      <c r="AA500" s="50"/>
      <c r="AB500" s="50"/>
      <c r="AC500" s="53">
        <f t="shared" si="50"/>
        <v>0</v>
      </c>
      <c r="AD500" s="53">
        <f t="shared" si="51"/>
        <v>0</v>
      </c>
      <c r="AE500" s="53">
        <f t="shared" si="52"/>
        <v>0</v>
      </c>
      <c r="AF500" s="53">
        <f t="shared" si="53"/>
        <v>0</v>
      </c>
      <c r="AG500" s="53">
        <f t="shared" si="54"/>
        <v>0</v>
      </c>
      <c r="AH500" s="53">
        <f t="shared" si="55"/>
        <v>0</v>
      </c>
      <c r="AI500" s="50"/>
      <c r="AJ500" s="50"/>
      <c r="AK500" s="50"/>
    </row>
    <row r="501" spans="1:37" x14ac:dyDescent="0.2">
      <c r="A501" s="50"/>
      <c r="B501" s="50"/>
      <c r="C501" s="50"/>
      <c r="D501" s="50"/>
      <c r="E501" s="50"/>
      <c r="F501" s="50"/>
      <c r="G501" s="50"/>
      <c r="H501" s="50"/>
      <c r="I501" s="50"/>
      <c r="J501" s="50"/>
      <c r="K501" s="50"/>
      <c r="L501" s="50"/>
      <c r="M501" s="52"/>
      <c r="N501" s="51"/>
      <c r="O501" s="51"/>
      <c r="P501" s="53">
        <f t="shared" si="49"/>
        <v>0</v>
      </c>
      <c r="Q501" s="50"/>
      <c r="R501" s="50"/>
      <c r="S501" s="51"/>
      <c r="T501" s="50"/>
      <c r="U501" s="50"/>
      <c r="V501" s="50"/>
      <c r="W501" s="50"/>
      <c r="X501" s="50"/>
      <c r="Y501" s="50"/>
      <c r="Z501" s="50"/>
      <c r="AA501" s="50"/>
      <c r="AB501" s="50"/>
      <c r="AC501" s="53">
        <f t="shared" si="50"/>
        <v>0</v>
      </c>
      <c r="AD501" s="53">
        <f t="shared" si="51"/>
        <v>0</v>
      </c>
      <c r="AE501" s="53">
        <f t="shared" si="52"/>
        <v>0</v>
      </c>
      <c r="AF501" s="53">
        <f t="shared" si="53"/>
        <v>0</v>
      </c>
      <c r="AG501" s="53">
        <f t="shared" si="54"/>
        <v>0</v>
      </c>
      <c r="AH501" s="53">
        <f t="shared" si="55"/>
        <v>0</v>
      </c>
      <c r="AI501" s="50"/>
      <c r="AJ501" s="50"/>
      <c r="AK501" s="50"/>
    </row>
    <row r="502" spans="1:37" x14ac:dyDescent="0.2">
      <c r="A502" s="50"/>
      <c r="B502" s="50"/>
      <c r="C502" s="50"/>
      <c r="D502" s="50"/>
      <c r="E502" s="50"/>
      <c r="F502" s="50"/>
      <c r="G502" s="50"/>
      <c r="H502" s="50"/>
      <c r="I502" s="50"/>
      <c r="J502" s="50"/>
      <c r="K502" s="50"/>
      <c r="L502" s="50"/>
      <c r="M502" s="52"/>
      <c r="N502" s="51"/>
      <c r="O502" s="51"/>
      <c r="P502" s="53">
        <f t="shared" si="49"/>
        <v>0</v>
      </c>
      <c r="Q502" s="50"/>
      <c r="R502" s="50"/>
      <c r="S502" s="51"/>
      <c r="T502" s="50"/>
      <c r="U502" s="50"/>
      <c r="V502" s="50"/>
      <c r="W502" s="50"/>
      <c r="X502" s="50"/>
      <c r="Y502" s="50"/>
      <c r="Z502" s="50"/>
      <c r="AA502" s="50"/>
      <c r="AB502" s="50"/>
      <c r="AC502" s="53">
        <f t="shared" si="50"/>
        <v>0</v>
      </c>
      <c r="AD502" s="53">
        <f t="shared" si="51"/>
        <v>0</v>
      </c>
      <c r="AE502" s="53">
        <f t="shared" si="52"/>
        <v>0</v>
      </c>
      <c r="AF502" s="53">
        <f t="shared" si="53"/>
        <v>0</v>
      </c>
      <c r="AG502" s="53">
        <f t="shared" si="54"/>
        <v>0</v>
      </c>
      <c r="AH502" s="53">
        <f t="shared" si="55"/>
        <v>0</v>
      </c>
      <c r="AI502" s="50"/>
      <c r="AJ502" s="50"/>
      <c r="AK502" s="50"/>
    </row>
    <row r="503" spans="1:37" x14ac:dyDescent="0.2">
      <c r="A503" s="50"/>
      <c r="B503" s="50"/>
      <c r="C503" s="50"/>
      <c r="D503" s="50"/>
      <c r="E503" s="50"/>
      <c r="F503" s="50"/>
      <c r="G503" s="50"/>
      <c r="H503" s="50"/>
      <c r="I503" s="50"/>
      <c r="J503" s="50"/>
      <c r="K503" s="50"/>
      <c r="L503" s="50"/>
      <c r="M503" s="52"/>
      <c r="N503" s="51"/>
      <c r="O503" s="51"/>
      <c r="P503" s="53">
        <f t="shared" si="49"/>
        <v>0</v>
      </c>
      <c r="Q503" s="50"/>
      <c r="R503" s="50"/>
      <c r="S503" s="51"/>
      <c r="T503" s="50"/>
      <c r="U503" s="50"/>
      <c r="V503" s="50"/>
      <c r="W503" s="50"/>
      <c r="X503" s="50"/>
      <c r="Y503" s="50"/>
      <c r="Z503" s="50"/>
      <c r="AA503" s="50"/>
      <c r="AB503" s="50"/>
      <c r="AC503" s="53">
        <f t="shared" si="50"/>
        <v>0</v>
      </c>
      <c r="AD503" s="53">
        <f t="shared" si="51"/>
        <v>0</v>
      </c>
      <c r="AE503" s="53">
        <f t="shared" si="52"/>
        <v>0</v>
      </c>
      <c r="AF503" s="53">
        <f t="shared" si="53"/>
        <v>0</v>
      </c>
      <c r="AG503" s="53">
        <f t="shared" si="54"/>
        <v>0</v>
      </c>
      <c r="AH503" s="53">
        <f t="shared" si="55"/>
        <v>0</v>
      </c>
      <c r="AI503" s="50"/>
      <c r="AJ503" s="50"/>
      <c r="AK503" s="50"/>
    </row>
    <row r="504" spans="1:37" x14ac:dyDescent="0.2">
      <c r="A504" s="50"/>
      <c r="B504" s="50"/>
      <c r="C504" s="50"/>
      <c r="D504" s="50"/>
      <c r="E504" s="50"/>
      <c r="F504" s="50"/>
      <c r="G504" s="50"/>
      <c r="H504" s="50"/>
      <c r="I504" s="50"/>
      <c r="J504" s="50"/>
      <c r="K504" s="50"/>
      <c r="L504" s="50"/>
      <c r="M504" s="52"/>
      <c r="N504" s="51"/>
      <c r="O504" s="51"/>
      <c r="P504" s="53">
        <f t="shared" si="49"/>
        <v>0</v>
      </c>
      <c r="Q504" s="50"/>
      <c r="R504" s="50"/>
      <c r="S504" s="51"/>
      <c r="T504" s="50"/>
      <c r="U504" s="50"/>
      <c r="V504" s="50"/>
      <c r="W504" s="50"/>
      <c r="X504" s="50"/>
      <c r="Y504" s="50"/>
      <c r="Z504" s="50"/>
      <c r="AA504" s="50"/>
      <c r="AB504" s="50"/>
      <c r="AC504" s="53">
        <f t="shared" si="50"/>
        <v>0</v>
      </c>
      <c r="AD504" s="53">
        <f t="shared" si="51"/>
        <v>0</v>
      </c>
      <c r="AE504" s="53">
        <f t="shared" si="52"/>
        <v>0</v>
      </c>
      <c r="AF504" s="53">
        <f t="shared" si="53"/>
        <v>0</v>
      </c>
      <c r="AG504" s="53">
        <f t="shared" si="54"/>
        <v>0</v>
      </c>
      <c r="AH504" s="53">
        <f t="shared" si="55"/>
        <v>0</v>
      </c>
      <c r="AI504" s="50"/>
      <c r="AJ504" s="50"/>
      <c r="AK504" s="50"/>
    </row>
  </sheetData>
  <mergeCells count="2">
    <mergeCell ref="A1:AK1"/>
    <mergeCell ref="A2:AK2"/>
  </mergeCells>
  <dataValidations count="8">
    <dataValidation type="list" allowBlank="1" showInputMessage="1" showErrorMessage="1" errorTitle="Invalid entry" error="Select a value from the approved list." promptTitle="Controlled input" prompt="Select from the drop-down list." sqref="C5:C504" xr:uid="{00000000-0002-0000-0600-000000000000}">
      <formula1>Scenario</formula1>
    </dataValidation>
    <dataValidation type="list" allowBlank="1" showInputMessage="1" showErrorMessage="1" errorTitle="Invalid entry" error="Select a value from the approved list." promptTitle="Controlled input" prompt="Select from the drop-down list." sqref="F5:F504" xr:uid="{00000000-0002-0000-0600-000001000000}">
      <formula1>CostClass</formula1>
    </dataValidation>
    <dataValidation type="list" allowBlank="1" showInputMessage="1" showErrorMessage="1" errorTitle="Invalid entry" error="Select a value from the approved list." promptTitle="Controlled input" prompt="Select from the drop-down list." sqref="G5:G504" xr:uid="{00000000-0002-0000-0600-000002000000}">
      <formula1>ChargingBasis</formula1>
    </dataValidation>
    <dataValidation type="list" allowBlank="1" showInputMessage="1" showErrorMessage="1" errorTitle="Invalid entry" error="Select a value from the approved list." promptTitle="Controlled input" prompt="Select from the drop-down list." sqref="J5:J504" xr:uid="{00000000-0002-0000-0600-000003000000}">
      <formula1>Environment</formula1>
    </dataValidation>
    <dataValidation type="list" allowBlank="1" showInputMessage="1" showErrorMessage="1" errorTitle="Invalid entry" error="Select a value from the approved list." promptTitle="Controlled input" prompt="Select from the drop-down list." sqref="Q5:Q504" xr:uid="{00000000-0002-0000-0600-000004000000}">
      <formula1>Frequency</formula1>
    </dataValidation>
    <dataValidation type="list" allowBlank="1" showInputMessage="1" showErrorMessage="1" errorTitle="Invalid entry" error="Select a value from the approved list." promptTitle="Controlled input" prompt="Select from the drop-down list." sqref="T5:T504" xr:uid="{00000000-0002-0000-0600-000005000000}">
      <formula1>Currency</formula1>
    </dataValidation>
    <dataValidation type="list" allowBlank="1" showInputMessage="1" showErrorMessage="1" errorTitle="Invalid entry" error="Select a value from the approved list." promptTitle="Controlled input" prompt="Select from the drop-down list." sqref="W5:W504" xr:uid="{00000000-0002-0000-0600-000006000000}">
      <formula1>Inclusion</formula1>
    </dataValidation>
    <dataValidation type="list" allowBlank="1" showInputMessage="1" showErrorMessage="1" errorTitle="Invalid entry" error="Select a value from the approved list." promptTitle="Controlled input" prompt="Select from the drop-down list." sqref="AJ5:AJ504" xr:uid="{00000000-0002-0000-0600-000007000000}">
      <formula1>InputSource</formula1>
    </dataValidation>
  </dataValidations>
  <pageMargins left="0.75" right="0.75" top="1" bottom="1" header="0.5" footer="0.5"/>
  <pageSetup fitToHeight="0" orientation="portrait"/>
  <tableParts count="1">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M15"/>
  <sheetViews>
    <sheetView showGridLines="0" zoomScaleNormal="100" workbookViewId="0">
      <selection activeCell="B15" sqref="B15"/>
    </sheetView>
  </sheetViews>
  <sheetFormatPr baseColWidth="10" defaultColWidth="8.83203125" defaultRowHeight="15" x14ac:dyDescent="0.2"/>
  <cols>
    <col min="1" max="1" width="55.5" bestFit="1" customWidth="1"/>
    <col min="2" max="2" width="18" customWidth="1"/>
    <col min="3" max="3" width="16" customWidth="1"/>
    <col min="4" max="4" width="24" customWidth="1"/>
    <col min="5" max="5" width="2" customWidth="1"/>
    <col min="6" max="6" width="34" customWidth="1"/>
    <col min="7" max="8" width="18" customWidth="1"/>
    <col min="10" max="13" width="18" customWidth="1"/>
  </cols>
  <sheetData>
    <row r="1" spans="1:13" ht="24" customHeight="1" x14ac:dyDescent="0.2">
      <c r="A1" s="198" t="s">
        <v>207</v>
      </c>
      <c r="B1" s="181"/>
      <c r="C1" s="181"/>
      <c r="D1" s="181"/>
      <c r="E1" s="181"/>
      <c r="F1" s="181"/>
      <c r="G1" s="181"/>
      <c r="H1" s="181"/>
    </row>
    <row r="2" spans="1:13" ht="24" customHeight="1" x14ac:dyDescent="0.2">
      <c r="A2" s="193" t="s">
        <v>328</v>
      </c>
      <c r="B2" s="181"/>
      <c r="C2" s="181"/>
      <c r="D2" s="181"/>
      <c r="E2" s="181"/>
      <c r="F2" s="181"/>
      <c r="G2" s="181"/>
      <c r="H2" s="181"/>
      <c r="J2" s="188" t="s">
        <v>329</v>
      </c>
      <c r="K2" s="181"/>
      <c r="L2" s="181"/>
      <c r="M2" s="181"/>
    </row>
    <row r="3" spans="1:13" x14ac:dyDescent="0.2">
      <c r="J3" s="181"/>
      <c r="K3" s="181"/>
      <c r="L3" s="181"/>
      <c r="M3" s="181"/>
    </row>
    <row r="4" spans="1:13" ht="16" x14ac:dyDescent="0.2">
      <c r="A4" s="1" t="s">
        <v>330</v>
      </c>
      <c r="B4" s="8"/>
      <c r="C4" s="8"/>
      <c r="D4" s="8"/>
      <c r="J4" s="181"/>
      <c r="K4" s="181"/>
      <c r="L4" s="181"/>
      <c r="M4" s="181"/>
    </row>
    <row r="5" spans="1:13" x14ac:dyDescent="0.2">
      <c r="A5" t="s">
        <v>331</v>
      </c>
      <c r="B5" s="76">
        <v>500</v>
      </c>
    </row>
    <row r="6" spans="1:13" x14ac:dyDescent="0.2">
      <c r="A6" t="s">
        <v>332</v>
      </c>
      <c r="B6" s="77">
        <v>0.15</v>
      </c>
    </row>
    <row r="7" spans="1:13" x14ac:dyDescent="0.2">
      <c r="A7" t="s">
        <v>333</v>
      </c>
      <c r="B7" s="78">
        <v>150</v>
      </c>
    </row>
    <row r="8" spans="1:13" x14ac:dyDescent="0.2">
      <c r="A8" t="s">
        <v>334</v>
      </c>
      <c r="B8" s="78">
        <v>700</v>
      </c>
    </row>
    <row r="9" spans="1:13" x14ac:dyDescent="0.2">
      <c r="A9" t="s">
        <v>335</v>
      </c>
      <c r="B9" s="78">
        <v>250</v>
      </c>
    </row>
    <row r="10" spans="1:13" x14ac:dyDescent="0.2">
      <c r="A10" t="s">
        <v>336</v>
      </c>
      <c r="B10" s="78">
        <v>100</v>
      </c>
    </row>
    <row r="11" spans="1:13" x14ac:dyDescent="0.2">
      <c r="A11" t="s">
        <v>337</v>
      </c>
      <c r="B11" s="78">
        <v>800</v>
      </c>
    </row>
    <row r="12" spans="1:13" x14ac:dyDescent="0.2">
      <c r="A12" t="s">
        <v>338</v>
      </c>
      <c r="B12" s="112">
        <v>0.12</v>
      </c>
    </row>
    <row r="14" spans="1:13" ht="16" x14ac:dyDescent="0.2">
      <c r="A14" s="1" t="s">
        <v>339</v>
      </c>
      <c r="B14" s="8"/>
      <c r="C14" s="8"/>
      <c r="D14" s="8"/>
    </row>
    <row r="15" spans="1:13" x14ac:dyDescent="0.2">
      <c r="A15" t="s">
        <v>340</v>
      </c>
      <c r="B15" s="141">
        <f>MAX(Model_Monthly!C52:'Model_Monthly'!T52)</f>
        <v>2</v>
      </c>
    </row>
  </sheetData>
  <mergeCells count="3">
    <mergeCell ref="A2:H2"/>
    <mergeCell ref="J2:M4"/>
    <mergeCell ref="A1:H1"/>
  </mergeCells>
  <pageMargins left="0.7" right="0.7" top="0.75" bottom="0.75" header="0.3" footer="0.3"/>
  <pageSetup fitToHeight="0" orientation="portrait" horizontalDpi="0" verticalDpi="0"/>
  <headerFooter>
    <oddHeader>&amp;CPwC Model For Agent Cost Estimation</oddHeader>
    <oddFooter>&amp;CPwC Model For Agent Cost Estimation</oddFooter>
  </headerFooter>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K15"/>
  <sheetViews>
    <sheetView showGridLines="0" workbookViewId="0">
      <selection activeCell="B7" sqref="B7"/>
    </sheetView>
  </sheetViews>
  <sheetFormatPr baseColWidth="10" defaultColWidth="8.83203125" defaultRowHeight="15" x14ac:dyDescent="0.2"/>
  <cols>
    <col min="1" max="1" width="28" customWidth="1"/>
    <col min="2" max="2" width="14" customWidth="1"/>
    <col min="3" max="3" width="38" customWidth="1"/>
    <col min="4" max="5" width="16" customWidth="1"/>
    <col min="6" max="6" width="18" customWidth="1"/>
    <col min="8" max="11" width="18" customWidth="1"/>
  </cols>
  <sheetData>
    <row r="1" spans="1:11" ht="24" customHeight="1" x14ac:dyDescent="0.2">
      <c r="A1" s="193" t="s">
        <v>341</v>
      </c>
      <c r="B1" s="181"/>
      <c r="C1" s="181"/>
      <c r="D1" s="181"/>
      <c r="E1" s="181"/>
      <c r="F1" s="181"/>
    </row>
    <row r="2" spans="1:11" x14ac:dyDescent="0.2">
      <c r="H2" s="188" t="s">
        <v>342</v>
      </c>
      <c r="I2" s="181"/>
      <c r="J2" s="181"/>
      <c r="K2" s="181"/>
    </row>
    <row r="3" spans="1:11" ht="16" x14ac:dyDescent="0.2">
      <c r="A3" s="1" t="s">
        <v>343</v>
      </c>
      <c r="B3" s="8"/>
      <c r="C3" s="8"/>
      <c r="D3" s="8"/>
      <c r="E3" s="8"/>
      <c r="F3" s="8"/>
      <c r="H3" s="181"/>
      <c r="I3" s="181"/>
      <c r="J3" s="181"/>
      <c r="K3" s="181"/>
    </row>
    <row r="4" spans="1:11" x14ac:dyDescent="0.2">
      <c r="A4" t="s">
        <v>344</v>
      </c>
      <c r="B4" s="113">
        <v>7.5</v>
      </c>
      <c r="H4" s="181"/>
      <c r="I4" s="181"/>
      <c r="J4" s="181"/>
      <c r="K4" s="181"/>
    </row>
    <row r="5" spans="1:11" x14ac:dyDescent="0.2">
      <c r="A5" t="s">
        <v>345</v>
      </c>
      <c r="B5" s="119">
        <v>120000</v>
      </c>
    </row>
    <row r="7" spans="1:11" ht="16" x14ac:dyDescent="0.2">
      <c r="A7" s="5" t="s">
        <v>346</v>
      </c>
      <c r="B7" s="5" t="s">
        <v>347</v>
      </c>
      <c r="C7" s="5" t="s">
        <v>348</v>
      </c>
    </row>
    <row r="8" spans="1:11" ht="32.25" customHeight="1" x14ac:dyDescent="0.2">
      <c r="A8" s="10" t="s">
        <v>349</v>
      </c>
      <c r="B8" s="120">
        <v>2.5</v>
      </c>
      <c r="C8" s="25" t="s">
        <v>350</v>
      </c>
    </row>
    <row r="9" spans="1:11" ht="32.25" customHeight="1" x14ac:dyDescent="0.2">
      <c r="A9" s="10" t="s">
        <v>351</v>
      </c>
      <c r="B9" s="120">
        <v>2</v>
      </c>
      <c r="C9" s="25" t="s">
        <v>352</v>
      </c>
    </row>
    <row r="10" spans="1:11" ht="32.25" customHeight="1" x14ac:dyDescent="0.2">
      <c r="A10" s="10" t="s">
        <v>353</v>
      </c>
      <c r="B10" s="120">
        <v>1.5</v>
      </c>
      <c r="C10" s="25" t="s">
        <v>354</v>
      </c>
    </row>
    <row r="11" spans="1:11" ht="32.25" customHeight="1" x14ac:dyDescent="0.2">
      <c r="A11" s="10" t="s">
        <v>355</v>
      </c>
      <c r="B11" s="120">
        <v>1.5</v>
      </c>
      <c r="C11" s="25" t="s">
        <v>356</v>
      </c>
    </row>
    <row r="12" spans="1:11" ht="16" x14ac:dyDescent="0.2">
      <c r="A12" s="79" t="s">
        <v>357</v>
      </c>
      <c r="B12" s="142">
        <f>SUM(B8:B11)</f>
        <v>7.5</v>
      </c>
    </row>
    <row r="14" spans="1:11" ht="16" x14ac:dyDescent="0.2">
      <c r="A14" s="1" t="s">
        <v>358</v>
      </c>
      <c r="B14" s="8"/>
      <c r="C14" s="8"/>
      <c r="D14" s="8"/>
      <c r="E14" s="8"/>
      <c r="F14" s="8"/>
    </row>
    <row r="15" spans="1:11" x14ac:dyDescent="0.2">
      <c r="A15" t="s">
        <v>359</v>
      </c>
      <c r="B15" s="143">
        <f>$B$4*$B$5/12</f>
        <v>75000</v>
      </c>
    </row>
  </sheetData>
  <mergeCells count="2">
    <mergeCell ref="A1:F1"/>
    <mergeCell ref="H2:K4"/>
  </mergeCells>
  <pageMargins left="0.7" right="0.7" top="0.75" bottom="0.75" header="0.3" footer="0.3"/>
  <pageSetup fitToHeight="0" orientation="portrait"/>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B304"/>
  <sheetViews>
    <sheetView showGridLines="0" topLeftCell="T1" workbookViewId="0">
      <pane ySplit="4" topLeftCell="A5" activePane="bottomLeft" state="frozen"/>
      <selection pane="bottomLeft" activeCell="D7" sqref="D7"/>
    </sheetView>
  </sheetViews>
  <sheetFormatPr baseColWidth="10" defaultColWidth="8.83203125" defaultRowHeight="15" x14ac:dyDescent="0.2"/>
  <cols>
    <col min="1" max="3" width="19.1640625" customWidth="1"/>
    <col min="4" max="4" width="31.83203125" customWidth="1"/>
    <col min="5" max="10" width="20.83203125" customWidth="1"/>
    <col min="11" max="18" width="19.1640625" customWidth="1"/>
    <col min="19" max="24" width="22.6640625" customWidth="1"/>
    <col min="25" max="28" width="43.6640625" customWidth="1"/>
  </cols>
  <sheetData>
    <row r="1" spans="1:28" ht="26.25" customHeight="1" x14ac:dyDescent="0.2">
      <c r="A1" s="180" t="s">
        <v>360</v>
      </c>
      <c r="B1" s="181"/>
      <c r="C1" s="181"/>
      <c r="D1" s="181"/>
      <c r="E1" s="181"/>
      <c r="F1" s="181"/>
      <c r="G1" s="181"/>
      <c r="H1" s="181"/>
      <c r="I1" s="181"/>
      <c r="J1" s="181"/>
      <c r="K1" s="181"/>
      <c r="L1" s="181"/>
      <c r="M1" s="181"/>
      <c r="N1" s="181"/>
      <c r="O1" s="181"/>
      <c r="P1" s="181"/>
      <c r="Q1" s="181"/>
      <c r="R1" s="181"/>
      <c r="S1" s="181"/>
      <c r="T1" s="181"/>
      <c r="U1" s="181"/>
      <c r="V1" s="181"/>
      <c r="W1" s="181"/>
      <c r="X1" s="181"/>
      <c r="Y1" s="181"/>
      <c r="Z1" s="181"/>
      <c r="AA1" s="181"/>
      <c r="AB1" s="181"/>
    </row>
    <row r="2" spans="1:28" x14ac:dyDescent="0.2">
      <c r="A2" s="187" t="s">
        <v>361</v>
      </c>
      <c r="B2" s="181"/>
      <c r="C2" s="181"/>
      <c r="D2" s="181"/>
      <c r="E2" s="181"/>
      <c r="F2" s="181"/>
      <c r="G2" s="181"/>
      <c r="H2" s="181"/>
      <c r="I2" s="181"/>
      <c r="J2" s="181"/>
      <c r="K2" s="181"/>
      <c r="L2" s="181"/>
      <c r="M2" s="181"/>
      <c r="N2" s="181"/>
      <c r="O2" s="181"/>
      <c r="P2" s="181"/>
      <c r="Q2" s="181"/>
      <c r="R2" s="181"/>
      <c r="S2" s="181"/>
      <c r="T2" s="181"/>
      <c r="U2" s="181"/>
      <c r="V2" s="181"/>
      <c r="W2" s="181"/>
      <c r="X2" s="181"/>
      <c r="Y2" s="181"/>
      <c r="Z2" s="181"/>
      <c r="AA2" s="181"/>
      <c r="AB2" s="181"/>
    </row>
    <row r="4" spans="1:28" ht="38.25" customHeight="1" x14ac:dyDescent="0.2">
      <c r="A4" s="62" t="s">
        <v>362</v>
      </c>
      <c r="B4" s="62" t="s">
        <v>137</v>
      </c>
      <c r="C4" s="62" t="s">
        <v>168</v>
      </c>
      <c r="D4" s="62" t="s">
        <v>363</v>
      </c>
      <c r="E4" s="62" t="s">
        <v>364</v>
      </c>
      <c r="F4" s="62" t="s">
        <v>365</v>
      </c>
      <c r="G4" s="62" t="s">
        <v>366</v>
      </c>
      <c r="H4" s="62" t="s">
        <v>367</v>
      </c>
      <c r="I4" s="62" t="s">
        <v>368</v>
      </c>
      <c r="J4" s="62" t="s">
        <v>369</v>
      </c>
      <c r="K4" s="62" t="s">
        <v>370</v>
      </c>
      <c r="L4" s="62" t="s">
        <v>371</v>
      </c>
      <c r="M4" s="62" t="s">
        <v>372</v>
      </c>
      <c r="N4" s="62" t="s">
        <v>373</v>
      </c>
      <c r="O4" s="62" t="s">
        <v>374</v>
      </c>
      <c r="P4" s="62" t="s">
        <v>375</v>
      </c>
      <c r="Q4" s="62" t="s">
        <v>376</v>
      </c>
      <c r="R4" s="62" t="s">
        <v>377</v>
      </c>
      <c r="S4" s="62" t="s">
        <v>378</v>
      </c>
      <c r="T4" s="62" t="s">
        <v>379</v>
      </c>
      <c r="U4" s="62" t="s">
        <v>380</v>
      </c>
      <c r="V4" s="62" t="s">
        <v>311</v>
      </c>
      <c r="W4" s="62" t="s">
        <v>381</v>
      </c>
      <c r="X4" s="62" t="s">
        <v>382</v>
      </c>
      <c r="Y4" s="62" t="s">
        <v>383</v>
      </c>
      <c r="Z4" s="62" t="s">
        <v>384</v>
      </c>
      <c r="AA4" s="62" t="s">
        <v>326</v>
      </c>
      <c r="AB4" s="62" t="s">
        <v>165</v>
      </c>
    </row>
    <row r="5" spans="1:28" ht="64" x14ac:dyDescent="0.2">
      <c r="A5" s="50" t="s">
        <v>862</v>
      </c>
      <c r="B5" s="50" t="s">
        <v>679</v>
      </c>
      <c r="C5" s="50" t="s">
        <v>545</v>
      </c>
      <c r="D5" s="50" t="s">
        <v>863</v>
      </c>
      <c r="E5" s="117">
        <v>18</v>
      </c>
      <c r="F5" s="50" t="s">
        <v>864</v>
      </c>
      <c r="G5" s="50" t="s">
        <v>865</v>
      </c>
      <c r="H5" s="117">
        <v>12</v>
      </c>
      <c r="I5" s="50" t="s">
        <v>864</v>
      </c>
      <c r="J5" s="50" t="s">
        <v>866</v>
      </c>
      <c r="K5" s="118">
        <v>3000</v>
      </c>
      <c r="L5" s="134">
        <f t="shared" ref="L5:L68" si="0">IFERROR(K5*(E5-H5)/60*12,0)</f>
        <v>3600</v>
      </c>
      <c r="M5" s="135">
        <f t="shared" ref="M5:M68" si="1">IFERROR(L5/(8*21*12),0)</f>
        <v>1.7857142857142858</v>
      </c>
      <c r="N5" s="121">
        <v>0</v>
      </c>
      <c r="O5" s="137">
        <f t="shared" ref="O5:O68" si="2">L5*50</f>
        <v>180000</v>
      </c>
      <c r="P5" s="121">
        <v>0</v>
      </c>
      <c r="Q5" s="121">
        <v>0</v>
      </c>
      <c r="R5" s="137">
        <f t="shared" ref="R5:R68" si="3">SUM(N5:P5)</f>
        <v>180000</v>
      </c>
      <c r="S5" s="50" t="s">
        <v>640</v>
      </c>
      <c r="T5" s="50" t="s">
        <v>867</v>
      </c>
      <c r="U5" s="50" t="s">
        <v>868</v>
      </c>
      <c r="V5" s="50" t="s">
        <v>605</v>
      </c>
      <c r="W5" s="50" t="s">
        <v>645</v>
      </c>
      <c r="X5" s="50" t="s">
        <v>869</v>
      </c>
      <c r="Y5" s="50" t="s">
        <v>870</v>
      </c>
      <c r="Z5" s="50" t="s">
        <v>871</v>
      </c>
      <c r="AA5" s="50" t="s">
        <v>872</v>
      </c>
      <c r="AB5" s="50" t="s">
        <v>873</v>
      </c>
    </row>
    <row r="6" spans="1:28" ht="64" x14ac:dyDescent="0.2">
      <c r="A6" s="50" t="s">
        <v>874</v>
      </c>
      <c r="B6" s="50" t="s">
        <v>679</v>
      </c>
      <c r="C6" s="50" t="s">
        <v>555</v>
      </c>
      <c r="D6" s="50" t="s">
        <v>863</v>
      </c>
      <c r="E6" s="117">
        <v>18</v>
      </c>
      <c r="F6" s="50" t="s">
        <v>864</v>
      </c>
      <c r="G6" s="50" t="s">
        <v>865</v>
      </c>
      <c r="H6" s="117">
        <v>12</v>
      </c>
      <c r="I6" s="50" t="s">
        <v>864</v>
      </c>
      <c r="J6" s="50" t="s">
        <v>866</v>
      </c>
      <c r="K6" s="118">
        <v>7200</v>
      </c>
      <c r="L6" s="134">
        <f t="shared" si="0"/>
        <v>8640</v>
      </c>
      <c r="M6" s="135">
        <f t="shared" si="1"/>
        <v>4.2857142857142856</v>
      </c>
      <c r="N6" s="121">
        <v>0</v>
      </c>
      <c r="O6" s="137">
        <f t="shared" si="2"/>
        <v>432000</v>
      </c>
      <c r="P6" s="121">
        <v>0</v>
      </c>
      <c r="Q6" s="121">
        <v>0</v>
      </c>
      <c r="R6" s="137">
        <f t="shared" si="3"/>
        <v>432000</v>
      </c>
      <c r="S6" s="50" t="s">
        <v>640</v>
      </c>
      <c r="T6" s="50" t="s">
        <v>867</v>
      </c>
      <c r="U6" s="50" t="s">
        <v>868</v>
      </c>
      <c r="V6" s="50" t="s">
        <v>605</v>
      </c>
      <c r="W6" s="50" t="s">
        <v>645</v>
      </c>
      <c r="X6" s="50" t="s">
        <v>869</v>
      </c>
      <c r="Y6" s="50" t="s">
        <v>870</v>
      </c>
      <c r="Z6" s="50" t="s">
        <v>871</v>
      </c>
      <c r="AA6" s="50" t="s">
        <v>872</v>
      </c>
      <c r="AB6" s="50" t="s">
        <v>873</v>
      </c>
    </row>
    <row r="7" spans="1:28" ht="64" x14ac:dyDescent="0.2">
      <c r="A7" s="50" t="s">
        <v>875</v>
      </c>
      <c r="B7" s="50" t="s">
        <v>679</v>
      </c>
      <c r="C7" s="50" t="s">
        <v>556</v>
      </c>
      <c r="D7" s="50" t="s">
        <v>863</v>
      </c>
      <c r="E7" s="117">
        <v>18</v>
      </c>
      <c r="F7" s="50" t="s">
        <v>864</v>
      </c>
      <c r="G7" s="50" t="s">
        <v>865</v>
      </c>
      <c r="H7" s="117">
        <v>12</v>
      </c>
      <c r="I7" s="50" t="s">
        <v>864</v>
      </c>
      <c r="J7" s="50" t="s">
        <v>866</v>
      </c>
      <c r="K7" s="118">
        <v>9600</v>
      </c>
      <c r="L7" s="134">
        <f t="shared" si="0"/>
        <v>11520</v>
      </c>
      <c r="M7" s="135">
        <f t="shared" si="1"/>
        <v>5.7142857142857144</v>
      </c>
      <c r="N7" s="121">
        <v>0</v>
      </c>
      <c r="O7" s="137">
        <f t="shared" si="2"/>
        <v>576000</v>
      </c>
      <c r="P7" s="121">
        <v>0</v>
      </c>
      <c r="Q7" s="121">
        <v>0</v>
      </c>
      <c r="R7" s="137">
        <f t="shared" si="3"/>
        <v>576000</v>
      </c>
      <c r="S7" s="50" t="s">
        <v>640</v>
      </c>
      <c r="T7" s="50" t="s">
        <v>867</v>
      </c>
      <c r="U7" s="50" t="s">
        <v>868</v>
      </c>
      <c r="V7" s="50" t="s">
        <v>605</v>
      </c>
      <c r="W7" s="50" t="s">
        <v>645</v>
      </c>
      <c r="X7" s="50" t="s">
        <v>869</v>
      </c>
      <c r="Y7" s="50" t="s">
        <v>870</v>
      </c>
      <c r="Z7" s="50" t="s">
        <v>871</v>
      </c>
      <c r="AA7" s="50" t="s">
        <v>872</v>
      </c>
      <c r="AB7" s="50" t="s">
        <v>873</v>
      </c>
    </row>
    <row r="8" spans="1:28" ht="64" x14ac:dyDescent="0.2">
      <c r="A8" s="50" t="s">
        <v>876</v>
      </c>
      <c r="B8" s="50" t="s">
        <v>679</v>
      </c>
      <c r="C8" s="50" t="s">
        <v>557</v>
      </c>
      <c r="D8" s="50" t="s">
        <v>863</v>
      </c>
      <c r="E8" s="117">
        <v>18</v>
      </c>
      <c r="F8" s="50" t="s">
        <v>864</v>
      </c>
      <c r="G8" s="50" t="s">
        <v>865</v>
      </c>
      <c r="H8" s="117">
        <v>12</v>
      </c>
      <c r="I8" s="50" t="s">
        <v>864</v>
      </c>
      <c r="J8" s="50" t="s">
        <v>866</v>
      </c>
      <c r="K8" s="118">
        <v>10800</v>
      </c>
      <c r="L8" s="134">
        <f t="shared" si="0"/>
        <v>12960</v>
      </c>
      <c r="M8" s="135">
        <f t="shared" si="1"/>
        <v>6.4285714285714288</v>
      </c>
      <c r="N8" s="121">
        <v>0</v>
      </c>
      <c r="O8" s="137">
        <f t="shared" si="2"/>
        <v>648000</v>
      </c>
      <c r="P8" s="121">
        <v>0</v>
      </c>
      <c r="Q8" s="121">
        <v>0</v>
      </c>
      <c r="R8" s="137">
        <f t="shared" si="3"/>
        <v>648000</v>
      </c>
      <c r="S8" s="50" t="s">
        <v>640</v>
      </c>
      <c r="T8" s="50" t="s">
        <v>867</v>
      </c>
      <c r="U8" s="50" t="s">
        <v>868</v>
      </c>
      <c r="V8" s="50" t="s">
        <v>605</v>
      </c>
      <c r="W8" s="50" t="s">
        <v>645</v>
      </c>
      <c r="X8" s="50" t="s">
        <v>869</v>
      </c>
      <c r="Y8" s="50" t="s">
        <v>870</v>
      </c>
      <c r="Z8" s="50" t="s">
        <v>871</v>
      </c>
      <c r="AA8" s="50" t="s">
        <v>872</v>
      </c>
      <c r="AB8" s="50" t="s">
        <v>873</v>
      </c>
    </row>
    <row r="9" spans="1:28" ht="64" x14ac:dyDescent="0.2">
      <c r="A9" s="50" t="s">
        <v>877</v>
      </c>
      <c r="B9" s="50" t="s">
        <v>679</v>
      </c>
      <c r="C9" s="50" t="s">
        <v>558</v>
      </c>
      <c r="D9" s="50" t="s">
        <v>863</v>
      </c>
      <c r="E9" s="117">
        <v>18</v>
      </c>
      <c r="F9" s="50" t="s">
        <v>864</v>
      </c>
      <c r="G9" s="50" t="s">
        <v>865</v>
      </c>
      <c r="H9" s="117">
        <v>12</v>
      </c>
      <c r="I9" s="50" t="s">
        <v>864</v>
      </c>
      <c r="J9" s="50" t="s">
        <v>866</v>
      </c>
      <c r="K9" s="118">
        <v>7800</v>
      </c>
      <c r="L9" s="134">
        <f t="shared" si="0"/>
        <v>9360</v>
      </c>
      <c r="M9" s="135">
        <f t="shared" si="1"/>
        <v>4.6428571428571432</v>
      </c>
      <c r="N9" s="121">
        <v>0</v>
      </c>
      <c r="O9" s="137">
        <f t="shared" si="2"/>
        <v>468000</v>
      </c>
      <c r="P9" s="121">
        <v>0</v>
      </c>
      <c r="Q9" s="121">
        <v>0</v>
      </c>
      <c r="R9" s="137">
        <f t="shared" si="3"/>
        <v>468000</v>
      </c>
      <c r="S9" s="50" t="s">
        <v>640</v>
      </c>
      <c r="T9" s="50" t="s">
        <v>867</v>
      </c>
      <c r="U9" s="50" t="s">
        <v>868</v>
      </c>
      <c r="V9" s="50" t="s">
        <v>605</v>
      </c>
      <c r="W9" s="50" t="s">
        <v>645</v>
      </c>
      <c r="X9" s="50" t="s">
        <v>869</v>
      </c>
      <c r="Y9" s="50" t="s">
        <v>870</v>
      </c>
      <c r="Z9" s="50" t="s">
        <v>871</v>
      </c>
      <c r="AA9" s="50" t="s">
        <v>872</v>
      </c>
      <c r="AB9" s="50" t="s">
        <v>873</v>
      </c>
    </row>
    <row r="10" spans="1:28" ht="64" x14ac:dyDescent="0.2">
      <c r="A10" s="50" t="s">
        <v>878</v>
      </c>
      <c r="B10" s="50" t="s">
        <v>692</v>
      </c>
      <c r="C10" s="50" t="s">
        <v>545</v>
      </c>
      <c r="D10" s="50" t="s">
        <v>879</v>
      </c>
      <c r="E10" s="117">
        <v>55</v>
      </c>
      <c r="F10" s="50" t="s">
        <v>864</v>
      </c>
      <c r="G10" s="50" t="s">
        <v>865</v>
      </c>
      <c r="H10" s="117">
        <v>25</v>
      </c>
      <c r="I10" s="50" t="s">
        <v>864</v>
      </c>
      <c r="J10" s="50" t="s">
        <v>866</v>
      </c>
      <c r="K10" s="118">
        <v>975</v>
      </c>
      <c r="L10" s="134">
        <f t="shared" si="0"/>
        <v>5850</v>
      </c>
      <c r="M10" s="135">
        <f t="shared" si="1"/>
        <v>2.9017857142857144</v>
      </c>
      <c r="N10" s="121">
        <v>0</v>
      </c>
      <c r="O10" s="137">
        <f t="shared" si="2"/>
        <v>292500</v>
      </c>
      <c r="P10" s="121">
        <v>0</v>
      </c>
      <c r="Q10" s="121">
        <v>0</v>
      </c>
      <c r="R10" s="137">
        <f t="shared" si="3"/>
        <v>292500</v>
      </c>
      <c r="S10" s="50" t="s">
        <v>640</v>
      </c>
      <c r="T10" s="50" t="s">
        <v>867</v>
      </c>
      <c r="U10" s="50" t="s">
        <v>868</v>
      </c>
      <c r="V10" s="50" t="s">
        <v>605</v>
      </c>
      <c r="W10" s="50" t="s">
        <v>645</v>
      </c>
      <c r="X10" s="50" t="s">
        <v>880</v>
      </c>
      <c r="Y10" s="50" t="s">
        <v>870</v>
      </c>
      <c r="Z10" s="50" t="s">
        <v>871</v>
      </c>
      <c r="AA10" s="50" t="s">
        <v>872</v>
      </c>
      <c r="AB10" s="50" t="s">
        <v>873</v>
      </c>
    </row>
    <row r="11" spans="1:28" ht="64" x14ac:dyDescent="0.2">
      <c r="A11" s="50" t="s">
        <v>881</v>
      </c>
      <c r="B11" s="50" t="s">
        <v>692</v>
      </c>
      <c r="C11" s="50" t="s">
        <v>555</v>
      </c>
      <c r="D11" s="50" t="s">
        <v>879</v>
      </c>
      <c r="E11" s="117">
        <v>55</v>
      </c>
      <c r="F11" s="50" t="s">
        <v>864</v>
      </c>
      <c r="G11" s="50" t="s">
        <v>865</v>
      </c>
      <c r="H11" s="117">
        <v>25</v>
      </c>
      <c r="I11" s="50" t="s">
        <v>864</v>
      </c>
      <c r="J11" s="50" t="s">
        <v>866</v>
      </c>
      <c r="K11" s="118">
        <v>2340</v>
      </c>
      <c r="L11" s="134">
        <f t="shared" si="0"/>
        <v>14040</v>
      </c>
      <c r="M11" s="135">
        <f t="shared" si="1"/>
        <v>6.9642857142857144</v>
      </c>
      <c r="N11" s="121">
        <v>0</v>
      </c>
      <c r="O11" s="137">
        <f t="shared" si="2"/>
        <v>702000</v>
      </c>
      <c r="P11" s="121">
        <v>0</v>
      </c>
      <c r="Q11" s="121">
        <v>0</v>
      </c>
      <c r="R11" s="137">
        <f t="shared" si="3"/>
        <v>702000</v>
      </c>
      <c r="S11" s="50" t="s">
        <v>640</v>
      </c>
      <c r="T11" s="50" t="s">
        <v>867</v>
      </c>
      <c r="U11" s="50" t="s">
        <v>868</v>
      </c>
      <c r="V11" s="50" t="s">
        <v>605</v>
      </c>
      <c r="W11" s="50" t="s">
        <v>645</v>
      </c>
      <c r="X11" s="50" t="s">
        <v>880</v>
      </c>
      <c r="Y11" s="50" t="s">
        <v>870</v>
      </c>
      <c r="Z11" s="50" t="s">
        <v>871</v>
      </c>
      <c r="AA11" s="50" t="s">
        <v>872</v>
      </c>
      <c r="AB11" s="50" t="s">
        <v>873</v>
      </c>
    </row>
    <row r="12" spans="1:28" ht="64" x14ac:dyDescent="0.2">
      <c r="A12" s="50" t="s">
        <v>882</v>
      </c>
      <c r="B12" s="50" t="s">
        <v>692</v>
      </c>
      <c r="C12" s="50" t="s">
        <v>556</v>
      </c>
      <c r="D12" s="50" t="s">
        <v>879</v>
      </c>
      <c r="E12" s="117">
        <v>55</v>
      </c>
      <c r="F12" s="50" t="s">
        <v>864</v>
      </c>
      <c r="G12" s="50" t="s">
        <v>865</v>
      </c>
      <c r="H12" s="117">
        <v>25</v>
      </c>
      <c r="I12" s="50" t="s">
        <v>864</v>
      </c>
      <c r="J12" s="50" t="s">
        <v>866</v>
      </c>
      <c r="K12" s="118">
        <v>3120</v>
      </c>
      <c r="L12" s="134">
        <f t="shared" si="0"/>
        <v>18720</v>
      </c>
      <c r="M12" s="135">
        <f t="shared" si="1"/>
        <v>9.2857142857142865</v>
      </c>
      <c r="N12" s="121">
        <v>0</v>
      </c>
      <c r="O12" s="137">
        <f t="shared" si="2"/>
        <v>936000</v>
      </c>
      <c r="P12" s="121">
        <v>0</v>
      </c>
      <c r="Q12" s="121">
        <v>0</v>
      </c>
      <c r="R12" s="137">
        <f t="shared" si="3"/>
        <v>936000</v>
      </c>
      <c r="S12" s="50" t="s">
        <v>640</v>
      </c>
      <c r="T12" s="50" t="s">
        <v>867</v>
      </c>
      <c r="U12" s="50" t="s">
        <v>868</v>
      </c>
      <c r="V12" s="50" t="s">
        <v>605</v>
      </c>
      <c r="W12" s="50" t="s">
        <v>645</v>
      </c>
      <c r="X12" s="50" t="s">
        <v>880</v>
      </c>
      <c r="Y12" s="50" t="s">
        <v>870</v>
      </c>
      <c r="Z12" s="50" t="s">
        <v>871</v>
      </c>
      <c r="AA12" s="50" t="s">
        <v>872</v>
      </c>
      <c r="AB12" s="50" t="s">
        <v>873</v>
      </c>
    </row>
    <row r="13" spans="1:28" ht="64" x14ac:dyDescent="0.2">
      <c r="A13" s="50" t="s">
        <v>883</v>
      </c>
      <c r="B13" s="50" t="s">
        <v>692</v>
      </c>
      <c r="C13" s="50" t="s">
        <v>557</v>
      </c>
      <c r="D13" s="50" t="s">
        <v>879</v>
      </c>
      <c r="E13" s="117">
        <v>55</v>
      </c>
      <c r="F13" s="50" t="s">
        <v>864</v>
      </c>
      <c r="G13" s="50" t="s">
        <v>865</v>
      </c>
      <c r="H13" s="117">
        <v>25</v>
      </c>
      <c r="I13" s="50" t="s">
        <v>864</v>
      </c>
      <c r="J13" s="50" t="s">
        <v>866</v>
      </c>
      <c r="K13" s="118">
        <v>3510</v>
      </c>
      <c r="L13" s="134">
        <f t="shared" si="0"/>
        <v>21060</v>
      </c>
      <c r="M13" s="135">
        <f t="shared" si="1"/>
        <v>10.446428571428571</v>
      </c>
      <c r="N13" s="121">
        <v>0</v>
      </c>
      <c r="O13" s="137">
        <f t="shared" si="2"/>
        <v>1053000</v>
      </c>
      <c r="P13" s="121">
        <v>0</v>
      </c>
      <c r="Q13" s="121">
        <v>0</v>
      </c>
      <c r="R13" s="137">
        <f t="shared" si="3"/>
        <v>1053000</v>
      </c>
      <c r="S13" s="50" t="s">
        <v>640</v>
      </c>
      <c r="T13" s="50" t="s">
        <v>867</v>
      </c>
      <c r="U13" s="50" t="s">
        <v>868</v>
      </c>
      <c r="V13" s="50" t="s">
        <v>605</v>
      </c>
      <c r="W13" s="50" t="s">
        <v>645</v>
      </c>
      <c r="X13" s="50" t="s">
        <v>880</v>
      </c>
      <c r="Y13" s="50" t="s">
        <v>870</v>
      </c>
      <c r="Z13" s="50" t="s">
        <v>871</v>
      </c>
      <c r="AA13" s="50" t="s">
        <v>872</v>
      </c>
      <c r="AB13" s="50" t="s">
        <v>873</v>
      </c>
    </row>
    <row r="14" spans="1:28" ht="64" x14ac:dyDescent="0.2">
      <c r="A14" s="50" t="s">
        <v>884</v>
      </c>
      <c r="B14" s="50" t="s">
        <v>692</v>
      </c>
      <c r="C14" s="50" t="s">
        <v>558</v>
      </c>
      <c r="D14" s="50" t="s">
        <v>879</v>
      </c>
      <c r="E14" s="117">
        <v>55</v>
      </c>
      <c r="F14" s="50" t="s">
        <v>864</v>
      </c>
      <c r="G14" s="50" t="s">
        <v>865</v>
      </c>
      <c r="H14" s="117">
        <v>25</v>
      </c>
      <c r="I14" s="50" t="s">
        <v>864</v>
      </c>
      <c r="J14" s="50" t="s">
        <v>866</v>
      </c>
      <c r="K14" s="118">
        <v>2535</v>
      </c>
      <c r="L14" s="134">
        <f t="shared" si="0"/>
        <v>15210</v>
      </c>
      <c r="M14" s="135">
        <f t="shared" si="1"/>
        <v>7.5446428571428568</v>
      </c>
      <c r="N14" s="121">
        <v>0</v>
      </c>
      <c r="O14" s="137">
        <f t="shared" si="2"/>
        <v>760500</v>
      </c>
      <c r="P14" s="121">
        <v>0</v>
      </c>
      <c r="Q14" s="121">
        <v>0</v>
      </c>
      <c r="R14" s="137">
        <f t="shared" si="3"/>
        <v>760500</v>
      </c>
      <c r="S14" s="50" t="s">
        <v>640</v>
      </c>
      <c r="T14" s="50" t="s">
        <v>867</v>
      </c>
      <c r="U14" s="50" t="s">
        <v>868</v>
      </c>
      <c r="V14" s="50" t="s">
        <v>605</v>
      </c>
      <c r="W14" s="50" t="s">
        <v>645</v>
      </c>
      <c r="X14" s="50" t="s">
        <v>880</v>
      </c>
      <c r="Y14" s="50" t="s">
        <v>870</v>
      </c>
      <c r="Z14" s="50" t="s">
        <v>871</v>
      </c>
      <c r="AA14" s="50" t="s">
        <v>872</v>
      </c>
      <c r="AB14" s="50" t="s">
        <v>873</v>
      </c>
    </row>
    <row r="15" spans="1:28" ht="64" x14ac:dyDescent="0.2">
      <c r="A15" s="50" t="s">
        <v>885</v>
      </c>
      <c r="B15" s="50" t="s">
        <v>705</v>
      </c>
      <c r="C15" s="50" t="s">
        <v>545</v>
      </c>
      <c r="D15" s="50" t="s">
        <v>886</v>
      </c>
      <c r="E15" s="117">
        <v>15</v>
      </c>
      <c r="F15" s="50" t="s">
        <v>864</v>
      </c>
      <c r="G15" s="50" t="s">
        <v>865</v>
      </c>
      <c r="H15" s="117">
        <v>7</v>
      </c>
      <c r="I15" s="50" t="s">
        <v>864</v>
      </c>
      <c r="J15" s="50" t="s">
        <v>866</v>
      </c>
      <c r="K15" s="118">
        <v>1800</v>
      </c>
      <c r="L15" s="134">
        <f t="shared" si="0"/>
        <v>2880</v>
      </c>
      <c r="M15" s="135">
        <f t="shared" si="1"/>
        <v>1.4285714285714286</v>
      </c>
      <c r="N15" s="121">
        <v>0</v>
      </c>
      <c r="O15" s="137">
        <f t="shared" si="2"/>
        <v>144000</v>
      </c>
      <c r="P15" s="121">
        <v>0</v>
      </c>
      <c r="Q15" s="121">
        <v>0</v>
      </c>
      <c r="R15" s="137">
        <f t="shared" si="3"/>
        <v>144000</v>
      </c>
      <c r="S15" s="50" t="s">
        <v>640</v>
      </c>
      <c r="T15" s="50" t="s">
        <v>867</v>
      </c>
      <c r="U15" s="50" t="s">
        <v>868</v>
      </c>
      <c r="V15" s="50" t="s">
        <v>605</v>
      </c>
      <c r="W15" s="50" t="s">
        <v>645</v>
      </c>
      <c r="X15" s="50" t="s">
        <v>887</v>
      </c>
      <c r="Y15" s="50" t="s">
        <v>870</v>
      </c>
      <c r="Z15" s="50" t="s">
        <v>871</v>
      </c>
      <c r="AA15" s="50" t="s">
        <v>872</v>
      </c>
      <c r="AB15" s="50" t="s">
        <v>873</v>
      </c>
    </row>
    <row r="16" spans="1:28" ht="64" x14ac:dyDescent="0.2">
      <c r="A16" s="50" t="s">
        <v>888</v>
      </c>
      <c r="B16" s="50" t="s">
        <v>705</v>
      </c>
      <c r="C16" s="50" t="s">
        <v>555</v>
      </c>
      <c r="D16" s="50" t="s">
        <v>886</v>
      </c>
      <c r="E16" s="117">
        <v>15</v>
      </c>
      <c r="F16" s="50" t="s">
        <v>864</v>
      </c>
      <c r="G16" s="50" t="s">
        <v>865</v>
      </c>
      <c r="H16" s="117">
        <v>7</v>
      </c>
      <c r="I16" s="50" t="s">
        <v>864</v>
      </c>
      <c r="J16" s="50" t="s">
        <v>866</v>
      </c>
      <c r="K16" s="118">
        <v>4320</v>
      </c>
      <c r="L16" s="134">
        <f t="shared" si="0"/>
        <v>6912</v>
      </c>
      <c r="M16" s="135">
        <f t="shared" si="1"/>
        <v>3.4285714285714284</v>
      </c>
      <c r="N16" s="121">
        <v>0</v>
      </c>
      <c r="O16" s="137">
        <f t="shared" si="2"/>
        <v>345600</v>
      </c>
      <c r="P16" s="121">
        <v>0</v>
      </c>
      <c r="Q16" s="121">
        <v>0</v>
      </c>
      <c r="R16" s="137">
        <f t="shared" si="3"/>
        <v>345600</v>
      </c>
      <c r="S16" s="50" t="s">
        <v>640</v>
      </c>
      <c r="T16" s="50" t="s">
        <v>867</v>
      </c>
      <c r="U16" s="50" t="s">
        <v>868</v>
      </c>
      <c r="V16" s="50" t="s">
        <v>605</v>
      </c>
      <c r="W16" s="50" t="s">
        <v>645</v>
      </c>
      <c r="X16" s="50" t="s">
        <v>887</v>
      </c>
      <c r="Y16" s="50" t="s">
        <v>870</v>
      </c>
      <c r="Z16" s="50" t="s">
        <v>871</v>
      </c>
      <c r="AA16" s="50" t="s">
        <v>872</v>
      </c>
      <c r="AB16" s="50" t="s">
        <v>873</v>
      </c>
    </row>
    <row r="17" spans="1:28" ht="64" x14ac:dyDescent="0.2">
      <c r="A17" s="50" t="s">
        <v>889</v>
      </c>
      <c r="B17" s="50" t="s">
        <v>705</v>
      </c>
      <c r="C17" s="50" t="s">
        <v>556</v>
      </c>
      <c r="D17" s="50" t="s">
        <v>886</v>
      </c>
      <c r="E17" s="117">
        <v>15</v>
      </c>
      <c r="F17" s="50" t="s">
        <v>864</v>
      </c>
      <c r="G17" s="50" t="s">
        <v>865</v>
      </c>
      <c r="H17" s="117">
        <v>7</v>
      </c>
      <c r="I17" s="50" t="s">
        <v>864</v>
      </c>
      <c r="J17" s="50" t="s">
        <v>866</v>
      </c>
      <c r="K17" s="118">
        <v>5760</v>
      </c>
      <c r="L17" s="134">
        <f t="shared" si="0"/>
        <v>9216</v>
      </c>
      <c r="M17" s="135">
        <f t="shared" si="1"/>
        <v>4.5714285714285712</v>
      </c>
      <c r="N17" s="121">
        <v>0</v>
      </c>
      <c r="O17" s="137">
        <f t="shared" si="2"/>
        <v>460800</v>
      </c>
      <c r="P17" s="121">
        <v>0</v>
      </c>
      <c r="Q17" s="121">
        <v>0</v>
      </c>
      <c r="R17" s="137">
        <f t="shared" si="3"/>
        <v>460800</v>
      </c>
      <c r="S17" s="50" t="s">
        <v>640</v>
      </c>
      <c r="T17" s="50" t="s">
        <v>867</v>
      </c>
      <c r="U17" s="50" t="s">
        <v>868</v>
      </c>
      <c r="V17" s="50" t="s">
        <v>605</v>
      </c>
      <c r="W17" s="50" t="s">
        <v>645</v>
      </c>
      <c r="X17" s="50" t="s">
        <v>887</v>
      </c>
      <c r="Y17" s="50" t="s">
        <v>870</v>
      </c>
      <c r="Z17" s="50" t="s">
        <v>871</v>
      </c>
      <c r="AA17" s="50" t="s">
        <v>872</v>
      </c>
      <c r="AB17" s="50" t="s">
        <v>873</v>
      </c>
    </row>
    <row r="18" spans="1:28" ht="64" x14ac:dyDescent="0.2">
      <c r="A18" s="50" t="s">
        <v>890</v>
      </c>
      <c r="B18" s="50" t="s">
        <v>705</v>
      </c>
      <c r="C18" s="50" t="s">
        <v>557</v>
      </c>
      <c r="D18" s="50" t="s">
        <v>886</v>
      </c>
      <c r="E18" s="117">
        <v>15</v>
      </c>
      <c r="F18" s="50" t="s">
        <v>864</v>
      </c>
      <c r="G18" s="50" t="s">
        <v>865</v>
      </c>
      <c r="H18" s="117">
        <v>7</v>
      </c>
      <c r="I18" s="50" t="s">
        <v>864</v>
      </c>
      <c r="J18" s="50" t="s">
        <v>866</v>
      </c>
      <c r="K18" s="118">
        <v>6480</v>
      </c>
      <c r="L18" s="134">
        <f t="shared" si="0"/>
        <v>10368</v>
      </c>
      <c r="M18" s="135">
        <f t="shared" si="1"/>
        <v>5.1428571428571432</v>
      </c>
      <c r="N18" s="121">
        <v>0</v>
      </c>
      <c r="O18" s="137">
        <f t="shared" si="2"/>
        <v>518400</v>
      </c>
      <c r="P18" s="121">
        <v>0</v>
      </c>
      <c r="Q18" s="121">
        <v>0</v>
      </c>
      <c r="R18" s="137">
        <f t="shared" si="3"/>
        <v>518400</v>
      </c>
      <c r="S18" s="50" t="s">
        <v>640</v>
      </c>
      <c r="T18" s="50" t="s">
        <v>867</v>
      </c>
      <c r="U18" s="50" t="s">
        <v>868</v>
      </c>
      <c r="V18" s="50" t="s">
        <v>605</v>
      </c>
      <c r="W18" s="50" t="s">
        <v>645</v>
      </c>
      <c r="X18" s="50" t="s">
        <v>887</v>
      </c>
      <c r="Y18" s="50" t="s">
        <v>870</v>
      </c>
      <c r="Z18" s="50" t="s">
        <v>871</v>
      </c>
      <c r="AA18" s="50" t="s">
        <v>872</v>
      </c>
      <c r="AB18" s="50" t="s">
        <v>873</v>
      </c>
    </row>
    <row r="19" spans="1:28" ht="64" x14ac:dyDescent="0.2">
      <c r="A19" s="50" t="s">
        <v>891</v>
      </c>
      <c r="B19" s="50" t="s">
        <v>705</v>
      </c>
      <c r="C19" s="50" t="s">
        <v>558</v>
      </c>
      <c r="D19" s="50" t="s">
        <v>886</v>
      </c>
      <c r="E19" s="117">
        <v>15</v>
      </c>
      <c r="F19" s="50" t="s">
        <v>864</v>
      </c>
      <c r="G19" s="50" t="s">
        <v>865</v>
      </c>
      <c r="H19" s="117">
        <v>7</v>
      </c>
      <c r="I19" s="50" t="s">
        <v>864</v>
      </c>
      <c r="J19" s="50" t="s">
        <v>866</v>
      </c>
      <c r="K19" s="118">
        <v>4680</v>
      </c>
      <c r="L19" s="134">
        <f t="shared" si="0"/>
        <v>7488</v>
      </c>
      <c r="M19" s="135">
        <f t="shared" si="1"/>
        <v>3.7142857142857144</v>
      </c>
      <c r="N19" s="121">
        <v>0</v>
      </c>
      <c r="O19" s="137">
        <f t="shared" si="2"/>
        <v>374400</v>
      </c>
      <c r="P19" s="121">
        <v>0</v>
      </c>
      <c r="Q19" s="121">
        <v>0</v>
      </c>
      <c r="R19" s="137">
        <f t="shared" si="3"/>
        <v>374400</v>
      </c>
      <c r="S19" s="50" t="s">
        <v>640</v>
      </c>
      <c r="T19" s="50" t="s">
        <v>867</v>
      </c>
      <c r="U19" s="50" t="s">
        <v>868</v>
      </c>
      <c r="V19" s="50" t="s">
        <v>605</v>
      </c>
      <c r="W19" s="50" t="s">
        <v>645</v>
      </c>
      <c r="X19" s="50" t="s">
        <v>887</v>
      </c>
      <c r="Y19" s="50" t="s">
        <v>870</v>
      </c>
      <c r="Z19" s="50" t="s">
        <v>871</v>
      </c>
      <c r="AA19" s="50" t="s">
        <v>872</v>
      </c>
      <c r="AB19" s="50" t="s">
        <v>873</v>
      </c>
    </row>
    <row r="20" spans="1:28" ht="64" x14ac:dyDescent="0.2">
      <c r="A20" s="50" t="s">
        <v>892</v>
      </c>
      <c r="B20" s="50" t="s">
        <v>714</v>
      </c>
      <c r="C20" s="50" t="s">
        <v>545</v>
      </c>
      <c r="D20" s="50" t="s">
        <v>893</v>
      </c>
      <c r="E20" s="117">
        <v>45</v>
      </c>
      <c r="F20" s="50" t="s">
        <v>864</v>
      </c>
      <c r="G20" s="50" t="s">
        <v>865</v>
      </c>
      <c r="H20" s="117">
        <v>20</v>
      </c>
      <c r="I20" s="50" t="s">
        <v>864</v>
      </c>
      <c r="J20" s="50" t="s">
        <v>866</v>
      </c>
      <c r="K20" s="118">
        <v>1750</v>
      </c>
      <c r="L20" s="134">
        <f t="shared" si="0"/>
        <v>8750</v>
      </c>
      <c r="M20" s="135">
        <f t="shared" si="1"/>
        <v>4.3402777777777777</v>
      </c>
      <c r="N20" s="121">
        <v>0</v>
      </c>
      <c r="O20" s="137">
        <f t="shared" si="2"/>
        <v>437500</v>
      </c>
      <c r="P20" s="121">
        <v>0</v>
      </c>
      <c r="Q20" s="121">
        <v>0</v>
      </c>
      <c r="R20" s="137">
        <f t="shared" si="3"/>
        <v>437500</v>
      </c>
      <c r="S20" s="50" t="s">
        <v>640</v>
      </c>
      <c r="T20" s="50" t="s">
        <v>867</v>
      </c>
      <c r="U20" s="50" t="s">
        <v>868</v>
      </c>
      <c r="V20" s="50" t="s">
        <v>605</v>
      </c>
      <c r="W20" s="50" t="s">
        <v>645</v>
      </c>
      <c r="X20" s="50" t="s">
        <v>894</v>
      </c>
      <c r="Y20" s="50" t="s">
        <v>870</v>
      </c>
      <c r="Z20" s="50" t="s">
        <v>871</v>
      </c>
      <c r="AA20" s="50" t="s">
        <v>872</v>
      </c>
      <c r="AB20" s="50" t="s">
        <v>873</v>
      </c>
    </row>
    <row r="21" spans="1:28" ht="64" x14ac:dyDescent="0.2">
      <c r="A21" s="50" t="s">
        <v>895</v>
      </c>
      <c r="B21" s="50" t="s">
        <v>714</v>
      </c>
      <c r="C21" s="50" t="s">
        <v>555</v>
      </c>
      <c r="D21" s="50" t="s">
        <v>893</v>
      </c>
      <c r="E21" s="117">
        <v>45</v>
      </c>
      <c r="F21" s="50" t="s">
        <v>864</v>
      </c>
      <c r="G21" s="50" t="s">
        <v>865</v>
      </c>
      <c r="H21" s="117">
        <v>20</v>
      </c>
      <c r="I21" s="50" t="s">
        <v>864</v>
      </c>
      <c r="J21" s="50" t="s">
        <v>866</v>
      </c>
      <c r="K21" s="118">
        <v>4200</v>
      </c>
      <c r="L21" s="134">
        <f t="shared" si="0"/>
        <v>21000</v>
      </c>
      <c r="M21" s="135">
        <f t="shared" si="1"/>
        <v>10.416666666666666</v>
      </c>
      <c r="N21" s="121">
        <v>0</v>
      </c>
      <c r="O21" s="137">
        <f t="shared" si="2"/>
        <v>1050000</v>
      </c>
      <c r="P21" s="121">
        <v>0</v>
      </c>
      <c r="Q21" s="121">
        <v>0</v>
      </c>
      <c r="R21" s="137">
        <f t="shared" si="3"/>
        <v>1050000</v>
      </c>
      <c r="S21" s="50" t="s">
        <v>640</v>
      </c>
      <c r="T21" s="50" t="s">
        <v>867</v>
      </c>
      <c r="U21" s="50" t="s">
        <v>868</v>
      </c>
      <c r="V21" s="50" t="s">
        <v>605</v>
      </c>
      <c r="W21" s="50" t="s">
        <v>645</v>
      </c>
      <c r="X21" s="50" t="s">
        <v>894</v>
      </c>
      <c r="Y21" s="50" t="s">
        <v>870</v>
      </c>
      <c r="Z21" s="50" t="s">
        <v>871</v>
      </c>
      <c r="AA21" s="50" t="s">
        <v>872</v>
      </c>
      <c r="AB21" s="50" t="s">
        <v>873</v>
      </c>
    </row>
    <row r="22" spans="1:28" ht="64" x14ac:dyDescent="0.2">
      <c r="A22" s="50" t="s">
        <v>896</v>
      </c>
      <c r="B22" s="50" t="s">
        <v>714</v>
      </c>
      <c r="C22" s="50" t="s">
        <v>556</v>
      </c>
      <c r="D22" s="50" t="s">
        <v>893</v>
      </c>
      <c r="E22" s="117">
        <v>45</v>
      </c>
      <c r="F22" s="50" t="s">
        <v>864</v>
      </c>
      <c r="G22" s="50" t="s">
        <v>865</v>
      </c>
      <c r="H22" s="117">
        <v>20</v>
      </c>
      <c r="I22" s="50" t="s">
        <v>864</v>
      </c>
      <c r="J22" s="50" t="s">
        <v>866</v>
      </c>
      <c r="K22" s="118">
        <v>5600</v>
      </c>
      <c r="L22" s="134">
        <f t="shared" si="0"/>
        <v>28000</v>
      </c>
      <c r="M22" s="135">
        <f t="shared" si="1"/>
        <v>13.888888888888889</v>
      </c>
      <c r="N22" s="121">
        <v>0</v>
      </c>
      <c r="O22" s="137">
        <f t="shared" si="2"/>
        <v>1400000</v>
      </c>
      <c r="P22" s="121">
        <v>0</v>
      </c>
      <c r="Q22" s="121">
        <v>0</v>
      </c>
      <c r="R22" s="137">
        <f t="shared" si="3"/>
        <v>1400000</v>
      </c>
      <c r="S22" s="50" t="s">
        <v>640</v>
      </c>
      <c r="T22" s="50" t="s">
        <v>867</v>
      </c>
      <c r="U22" s="50" t="s">
        <v>868</v>
      </c>
      <c r="V22" s="50" t="s">
        <v>605</v>
      </c>
      <c r="W22" s="50" t="s">
        <v>645</v>
      </c>
      <c r="X22" s="50" t="s">
        <v>894</v>
      </c>
      <c r="Y22" s="50" t="s">
        <v>870</v>
      </c>
      <c r="Z22" s="50" t="s">
        <v>871</v>
      </c>
      <c r="AA22" s="50" t="s">
        <v>872</v>
      </c>
      <c r="AB22" s="50" t="s">
        <v>873</v>
      </c>
    </row>
    <row r="23" spans="1:28" ht="64" x14ac:dyDescent="0.2">
      <c r="A23" s="50" t="s">
        <v>897</v>
      </c>
      <c r="B23" s="50" t="s">
        <v>714</v>
      </c>
      <c r="C23" s="50" t="s">
        <v>557</v>
      </c>
      <c r="D23" s="50" t="s">
        <v>893</v>
      </c>
      <c r="E23" s="117">
        <v>45</v>
      </c>
      <c r="F23" s="50" t="s">
        <v>864</v>
      </c>
      <c r="G23" s="50" t="s">
        <v>865</v>
      </c>
      <c r="H23" s="117">
        <v>20</v>
      </c>
      <c r="I23" s="50" t="s">
        <v>864</v>
      </c>
      <c r="J23" s="50" t="s">
        <v>866</v>
      </c>
      <c r="K23" s="118">
        <v>6300</v>
      </c>
      <c r="L23" s="134">
        <f t="shared" si="0"/>
        <v>31500</v>
      </c>
      <c r="M23" s="135">
        <f t="shared" si="1"/>
        <v>15.625</v>
      </c>
      <c r="N23" s="121">
        <v>0</v>
      </c>
      <c r="O23" s="137">
        <f t="shared" si="2"/>
        <v>1575000</v>
      </c>
      <c r="P23" s="121">
        <v>0</v>
      </c>
      <c r="Q23" s="121">
        <v>0</v>
      </c>
      <c r="R23" s="137">
        <f t="shared" si="3"/>
        <v>1575000</v>
      </c>
      <c r="S23" s="50" t="s">
        <v>640</v>
      </c>
      <c r="T23" s="50" t="s">
        <v>867</v>
      </c>
      <c r="U23" s="50" t="s">
        <v>868</v>
      </c>
      <c r="V23" s="50" t="s">
        <v>605</v>
      </c>
      <c r="W23" s="50" t="s">
        <v>645</v>
      </c>
      <c r="X23" s="50" t="s">
        <v>894</v>
      </c>
      <c r="Y23" s="50" t="s">
        <v>870</v>
      </c>
      <c r="Z23" s="50" t="s">
        <v>871</v>
      </c>
      <c r="AA23" s="50" t="s">
        <v>872</v>
      </c>
      <c r="AB23" s="50" t="s">
        <v>873</v>
      </c>
    </row>
    <row r="24" spans="1:28" ht="64" x14ac:dyDescent="0.2">
      <c r="A24" s="50" t="s">
        <v>898</v>
      </c>
      <c r="B24" s="50" t="s">
        <v>714</v>
      </c>
      <c r="C24" s="50" t="s">
        <v>558</v>
      </c>
      <c r="D24" s="50" t="s">
        <v>893</v>
      </c>
      <c r="E24" s="117">
        <v>45</v>
      </c>
      <c r="F24" s="50" t="s">
        <v>864</v>
      </c>
      <c r="G24" s="50" t="s">
        <v>865</v>
      </c>
      <c r="H24" s="117">
        <v>20</v>
      </c>
      <c r="I24" s="50" t="s">
        <v>864</v>
      </c>
      <c r="J24" s="50" t="s">
        <v>866</v>
      </c>
      <c r="K24" s="118">
        <v>4550</v>
      </c>
      <c r="L24" s="134">
        <f t="shared" si="0"/>
        <v>22750</v>
      </c>
      <c r="M24" s="135">
        <f t="shared" si="1"/>
        <v>11.284722222222221</v>
      </c>
      <c r="N24" s="121">
        <v>0</v>
      </c>
      <c r="O24" s="137">
        <f t="shared" si="2"/>
        <v>1137500</v>
      </c>
      <c r="P24" s="121">
        <v>0</v>
      </c>
      <c r="Q24" s="121">
        <v>0</v>
      </c>
      <c r="R24" s="137">
        <f t="shared" si="3"/>
        <v>1137500</v>
      </c>
      <c r="S24" s="50" t="s">
        <v>640</v>
      </c>
      <c r="T24" s="50" t="s">
        <v>867</v>
      </c>
      <c r="U24" s="50" t="s">
        <v>868</v>
      </c>
      <c r="V24" s="50" t="s">
        <v>605</v>
      </c>
      <c r="W24" s="50" t="s">
        <v>645</v>
      </c>
      <c r="X24" s="50" t="s">
        <v>894</v>
      </c>
      <c r="Y24" s="50" t="s">
        <v>870</v>
      </c>
      <c r="Z24" s="50" t="s">
        <v>871</v>
      </c>
      <c r="AA24" s="50" t="s">
        <v>872</v>
      </c>
      <c r="AB24" s="50" t="s">
        <v>873</v>
      </c>
    </row>
    <row r="25" spans="1:28" ht="64" x14ac:dyDescent="0.2">
      <c r="A25" s="50" t="s">
        <v>899</v>
      </c>
      <c r="B25" s="50" t="s">
        <v>725</v>
      </c>
      <c r="C25" s="50" t="s">
        <v>545</v>
      </c>
      <c r="D25" s="50" t="s">
        <v>900</v>
      </c>
      <c r="E25" s="117">
        <v>240</v>
      </c>
      <c r="F25" s="50" t="s">
        <v>864</v>
      </c>
      <c r="G25" s="50" t="s">
        <v>865</v>
      </c>
      <c r="H25" s="117">
        <v>90</v>
      </c>
      <c r="I25" s="50" t="s">
        <v>864</v>
      </c>
      <c r="J25" s="50" t="s">
        <v>866</v>
      </c>
      <c r="K25" s="118">
        <v>600</v>
      </c>
      <c r="L25" s="134">
        <f t="shared" si="0"/>
        <v>18000</v>
      </c>
      <c r="M25" s="135">
        <f t="shared" si="1"/>
        <v>8.9285714285714288</v>
      </c>
      <c r="N25" s="121">
        <v>0</v>
      </c>
      <c r="O25" s="137">
        <f t="shared" si="2"/>
        <v>900000</v>
      </c>
      <c r="P25" s="121">
        <v>0</v>
      </c>
      <c r="Q25" s="121">
        <v>0</v>
      </c>
      <c r="R25" s="137">
        <f t="shared" si="3"/>
        <v>900000</v>
      </c>
      <c r="S25" s="50" t="s">
        <v>640</v>
      </c>
      <c r="T25" s="50" t="s">
        <v>867</v>
      </c>
      <c r="U25" s="50" t="s">
        <v>868</v>
      </c>
      <c r="V25" s="50" t="s">
        <v>605</v>
      </c>
      <c r="W25" s="50" t="s">
        <v>645</v>
      </c>
      <c r="X25" s="50" t="s">
        <v>901</v>
      </c>
      <c r="Y25" s="50" t="s">
        <v>870</v>
      </c>
      <c r="Z25" s="50" t="s">
        <v>871</v>
      </c>
      <c r="AA25" s="50" t="s">
        <v>872</v>
      </c>
      <c r="AB25" s="50" t="s">
        <v>873</v>
      </c>
    </row>
    <row r="26" spans="1:28" ht="64" x14ac:dyDescent="0.2">
      <c r="A26" s="50" t="s">
        <v>902</v>
      </c>
      <c r="B26" s="50" t="s">
        <v>725</v>
      </c>
      <c r="C26" s="50" t="s">
        <v>555</v>
      </c>
      <c r="D26" s="50" t="s">
        <v>900</v>
      </c>
      <c r="E26" s="117">
        <v>240</v>
      </c>
      <c r="F26" s="50" t="s">
        <v>864</v>
      </c>
      <c r="G26" s="50" t="s">
        <v>865</v>
      </c>
      <c r="H26" s="117">
        <v>90</v>
      </c>
      <c r="I26" s="50" t="s">
        <v>864</v>
      </c>
      <c r="J26" s="50" t="s">
        <v>866</v>
      </c>
      <c r="K26" s="118">
        <v>1440</v>
      </c>
      <c r="L26" s="134">
        <f t="shared" si="0"/>
        <v>43200</v>
      </c>
      <c r="M26" s="135">
        <f t="shared" si="1"/>
        <v>21.428571428571427</v>
      </c>
      <c r="N26" s="121">
        <v>0</v>
      </c>
      <c r="O26" s="137">
        <f t="shared" si="2"/>
        <v>2160000</v>
      </c>
      <c r="P26" s="121">
        <v>0</v>
      </c>
      <c r="Q26" s="121">
        <v>0</v>
      </c>
      <c r="R26" s="137">
        <f t="shared" si="3"/>
        <v>2160000</v>
      </c>
      <c r="S26" s="50" t="s">
        <v>640</v>
      </c>
      <c r="T26" s="50" t="s">
        <v>867</v>
      </c>
      <c r="U26" s="50" t="s">
        <v>868</v>
      </c>
      <c r="V26" s="50" t="s">
        <v>605</v>
      </c>
      <c r="W26" s="50" t="s">
        <v>645</v>
      </c>
      <c r="X26" s="50" t="s">
        <v>901</v>
      </c>
      <c r="Y26" s="50" t="s">
        <v>870</v>
      </c>
      <c r="Z26" s="50" t="s">
        <v>871</v>
      </c>
      <c r="AA26" s="50" t="s">
        <v>872</v>
      </c>
      <c r="AB26" s="50" t="s">
        <v>873</v>
      </c>
    </row>
    <row r="27" spans="1:28" ht="64" x14ac:dyDescent="0.2">
      <c r="A27" s="50" t="s">
        <v>903</v>
      </c>
      <c r="B27" s="50" t="s">
        <v>725</v>
      </c>
      <c r="C27" s="50" t="s">
        <v>556</v>
      </c>
      <c r="D27" s="50" t="s">
        <v>900</v>
      </c>
      <c r="E27" s="117">
        <v>240</v>
      </c>
      <c r="F27" s="50" t="s">
        <v>864</v>
      </c>
      <c r="G27" s="50" t="s">
        <v>865</v>
      </c>
      <c r="H27" s="117">
        <v>90</v>
      </c>
      <c r="I27" s="50" t="s">
        <v>864</v>
      </c>
      <c r="J27" s="50" t="s">
        <v>866</v>
      </c>
      <c r="K27" s="118">
        <v>1920</v>
      </c>
      <c r="L27" s="134">
        <f t="shared" si="0"/>
        <v>57600</v>
      </c>
      <c r="M27" s="135">
        <f t="shared" si="1"/>
        <v>28.571428571428573</v>
      </c>
      <c r="N27" s="121">
        <v>0</v>
      </c>
      <c r="O27" s="137">
        <f t="shared" si="2"/>
        <v>2880000</v>
      </c>
      <c r="P27" s="121">
        <v>0</v>
      </c>
      <c r="Q27" s="121">
        <v>0</v>
      </c>
      <c r="R27" s="137">
        <f t="shared" si="3"/>
        <v>2880000</v>
      </c>
      <c r="S27" s="50" t="s">
        <v>640</v>
      </c>
      <c r="T27" s="50" t="s">
        <v>867</v>
      </c>
      <c r="U27" s="50" t="s">
        <v>868</v>
      </c>
      <c r="V27" s="50" t="s">
        <v>605</v>
      </c>
      <c r="W27" s="50" t="s">
        <v>645</v>
      </c>
      <c r="X27" s="50" t="s">
        <v>901</v>
      </c>
      <c r="Y27" s="50" t="s">
        <v>870</v>
      </c>
      <c r="Z27" s="50" t="s">
        <v>871</v>
      </c>
      <c r="AA27" s="50" t="s">
        <v>872</v>
      </c>
      <c r="AB27" s="50" t="s">
        <v>873</v>
      </c>
    </row>
    <row r="28" spans="1:28" ht="64" x14ac:dyDescent="0.2">
      <c r="A28" s="50" t="s">
        <v>904</v>
      </c>
      <c r="B28" s="50" t="s">
        <v>725</v>
      </c>
      <c r="C28" s="50" t="s">
        <v>557</v>
      </c>
      <c r="D28" s="50" t="s">
        <v>900</v>
      </c>
      <c r="E28" s="117">
        <v>240</v>
      </c>
      <c r="F28" s="50" t="s">
        <v>864</v>
      </c>
      <c r="G28" s="50" t="s">
        <v>865</v>
      </c>
      <c r="H28" s="117">
        <v>90</v>
      </c>
      <c r="I28" s="50" t="s">
        <v>864</v>
      </c>
      <c r="J28" s="50" t="s">
        <v>866</v>
      </c>
      <c r="K28" s="118">
        <v>2160</v>
      </c>
      <c r="L28" s="134">
        <f t="shared" si="0"/>
        <v>64800</v>
      </c>
      <c r="M28" s="135">
        <f t="shared" si="1"/>
        <v>32.142857142857146</v>
      </c>
      <c r="N28" s="121">
        <v>0</v>
      </c>
      <c r="O28" s="137">
        <f t="shared" si="2"/>
        <v>3240000</v>
      </c>
      <c r="P28" s="121">
        <v>0</v>
      </c>
      <c r="Q28" s="121">
        <v>0</v>
      </c>
      <c r="R28" s="137">
        <f t="shared" si="3"/>
        <v>3240000</v>
      </c>
      <c r="S28" s="50" t="s">
        <v>640</v>
      </c>
      <c r="T28" s="50" t="s">
        <v>867</v>
      </c>
      <c r="U28" s="50" t="s">
        <v>868</v>
      </c>
      <c r="V28" s="50" t="s">
        <v>605</v>
      </c>
      <c r="W28" s="50" t="s">
        <v>645</v>
      </c>
      <c r="X28" s="50" t="s">
        <v>901</v>
      </c>
      <c r="Y28" s="50" t="s">
        <v>870</v>
      </c>
      <c r="Z28" s="50" t="s">
        <v>871</v>
      </c>
      <c r="AA28" s="50" t="s">
        <v>872</v>
      </c>
      <c r="AB28" s="50" t="s">
        <v>873</v>
      </c>
    </row>
    <row r="29" spans="1:28" ht="64" x14ac:dyDescent="0.2">
      <c r="A29" s="50" t="s">
        <v>905</v>
      </c>
      <c r="B29" s="50" t="s">
        <v>725</v>
      </c>
      <c r="C29" s="50" t="s">
        <v>558</v>
      </c>
      <c r="D29" s="50" t="s">
        <v>900</v>
      </c>
      <c r="E29" s="117">
        <v>240</v>
      </c>
      <c r="F29" s="50" t="s">
        <v>864</v>
      </c>
      <c r="G29" s="50" t="s">
        <v>865</v>
      </c>
      <c r="H29" s="117">
        <v>90</v>
      </c>
      <c r="I29" s="50" t="s">
        <v>864</v>
      </c>
      <c r="J29" s="50" t="s">
        <v>866</v>
      </c>
      <c r="K29" s="118">
        <v>1560</v>
      </c>
      <c r="L29" s="134">
        <f t="shared" si="0"/>
        <v>46800</v>
      </c>
      <c r="M29" s="135">
        <f t="shared" si="1"/>
        <v>23.214285714285715</v>
      </c>
      <c r="N29" s="121">
        <v>0</v>
      </c>
      <c r="O29" s="137">
        <f t="shared" si="2"/>
        <v>2340000</v>
      </c>
      <c r="P29" s="121">
        <v>0</v>
      </c>
      <c r="Q29" s="121">
        <v>0</v>
      </c>
      <c r="R29" s="137">
        <f t="shared" si="3"/>
        <v>2340000</v>
      </c>
      <c r="S29" s="50" t="s">
        <v>640</v>
      </c>
      <c r="T29" s="50" t="s">
        <v>867</v>
      </c>
      <c r="U29" s="50" t="s">
        <v>868</v>
      </c>
      <c r="V29" s="50" t="s">
        <v>605</v>
      </c>
      <c r="W29" s="50" t="s">
        <v>645</v>
      </c>
      <c r="X29" s="50" t="s">
        <v>901</v>
      </c>
      <c r="Y29" s="50" t="s">
        <v>870</v>
      </c>
      <c r="Z29" s="50" t="s">
        <v>871</v>
      </c>
      <c r="AA29" s="50" t="s">
        <v>872</v>
      </c>
      <c r="AB29" s="50" t="s">
        <v>873</v>
      </c>
    </row>
    <row r="30" spans="1:28" ht="64" x14ac:dyDescent="0.2">
      <c r="A30" s="50" t="s">
        <v>906</v>
      </c>
      <c r="B30" s="50" t="s">
        <v>735</v>
      </c>
      <c r="C30" s="50" t="s">
        <v>545</v>
      </c>
      <c r="D30" s="50" t="s">
        <v>907</v>
      </c>
      <c r="E30" s="117">
        <v>120</v>
      </c>
      <c r="F30" s="50" t="s">
        <v>864</v>
      </c>
      <c r="G30" s="50" t="s">
        <v>865</v>
      </c>
      <c r="H30" s="117">
        <v>60</v>
      </c>
      <c r="I30" s="50" t="s">
        <v>864</v>
      </c>
      <c r="J30" s="50" t="s">
        <v>866</v>
      </c>
      <c r="K30" s="118">
        <v>300</v>
      </c>
      <c r="L30" s="134">
        <f t="shared" si="0"/>
        <v>3600</v>
      </c>
      <c r="M30" s="135">
        <f t="shared" si="1"/>
        <v>1.7857142857142858</v>
      </c>
      <c r="N30" s="121">
        <v>0</v>
      </c>
      <c r="O30" s="137">
        <f t="shared" si="2"/>
        <v>180000</v>
      </c>
      <c r="P30" s="121">
        <v>0</v>
      </c>
      <c r="Q30" s="121">
        <v>0</v>
      </c>
      <c r="R30" s="137">
        <f t="shared" si="3"/>
        <v>180000</v>
      </c>
      <c r="S30" s="50" t="s">
        <v>640</v>
      </c>
      <c r="T30" s="50" t="s">
        <v>867</v>
      </c>
      <c r="U30" s="50" t="s">
        <v>868</v>
      </c>
      <c r="V30" s="50" t="s">
        <v>605</v>
      </c>
      <c r="W30" s="50" t="s">
        <v>645</v>
      </c>
      <c r="X30" s="50" t="s">
        <v>908</v>
      </c>
      <c r="Y30" s="50" t="s">
        <v>870</v>
      </c>
      <c r="Z30" s="50" t="s">
        <v>871</v>
      </c>
      <c r="AA30" s="50" t="s">
        <v>872</v>
      </c>
      <c r="AB30" s="50" t="s">
        <v>873</v>
      </c>
    </row>
    <row r="31" spans="1:28" ht="64" x14ac:dyDescent="0.2">
      <c r="A31" s="50" t="s">
        <v>909</v>
      </c>
      <c r="B31" s="50" t="s">
        <v>735</v>
      </c>
      <c r="C31" s="50" t="s">
        <v>555</v>
      </c>
      <c r="D31" s="50" t="s">
        <v>907</v>
      </c>
      <c r="E31" s="117">
        <v>120</v>
      </c>
      <c r="F31" s="50" t="s">
        <v>864</v>
      </c>
      <c r="G31" s="50" t="s">
        <v>865</v>
      </c>
      <c r="H31" s="117">
        <v>60</v>
      </c>
      <c r="I31" s="50" t="s">
        <v>864</v>
      </c>
      <c r="J31" s="50" t="s">
        <v>866</v>
      </c>
      <c r="K31" s="118">
        <v>720</v>
      </c>
      <c r="L31" s="134">
        <f t="shared" si="0"/>
        <v>8640</v>
      </c>
      <c r="M31" s="135">
        <f t="shared" si="1"/>
        <v>4.2857142857142856</v>
      </c>
      <c r="N31" s="121">
        <v>0</v>
      </c>
      <c r="O31" s="137">
        <f t="shared" si="2"/>
        <v>432000</v>
      </c>
      <c r="P31" s="121">
        <v>0</v>
      </c>
      <c r="Q31" s="121">
        <v>0</v>
      </c>
      <c r="R31" s="137">
        <f t="shared" si="3"/>
        <v>432000</v>
      </c>
      <c r="S31" s="50" t="s">
        <v>640</v>
      </c>
      <c r="T31" s="50" t="s">
        <v>867</v>
      </c>
      <c r="U31" s="50" t="s">
        <v>868</v>
      </c>
      <c r="V31" s="50" t="s">
        <v>605</v>
      </c>
      <c r="W31" s="50" t="s">
        <v>645</v>
      </c>
      <c r="X31" s="50" t="s">
        <v>908</v>
      </c>
      <c r="Y31" s="50" t="s">
        <v>870</v>
      </c>
      <c r="Z31" s="50" t="s">
        <v>871</v>
      </c>
      <c r="AA31" s="50" t="s">
        <v>872</v>
      </c>
      <c r="AB31" s="50" t="s">
        <v>873</v>
      </c>
    </row>
    <row r="32" spans="1:28" ht="64" x14ac:dyDescent="0.2">
      <c r="A32" s="50" t="s">
        <v>910</v>
      </c>
      <c r="B32" s="50" t="s">
        <v>735</v>
      </c>
      <c r="C32" s="50" t="s">
        <v>556</v>
      </c>
      <c r="D32" s="50" t="s">
        <v>907</v>
      </c>
      <c r="E32" s="117">
        <v>120</v>
      </c>
      <c r="F32" s="50" t="s">
        <v>864</v>
      </c>
      <c r="G32" s="50" t="s">
        <v>865</v>
      </c>
      <c r="H32" s="117">
        <v>60</v>
      </c>
      <c r="I32" s="50" t="s">
        <v>864</v>
      </c>
      <c r="J32" s="50" t="s">
        <v>866</v>
      </c>
      <c r="K32" s="118">
        <v>960</v>
      </c>
      <c r="L32" s="134">
        <f t="shared" si="0"/>
        <v>11520</v>
      </c>
      <c r="M32" s="135">
        <f t="shared" si="1"/>
        <v>5.7142857142857144</v>
      </c>
      <c r="N32" s="121">
        <v>0</v>
      </c>
      <c r="O32" s="137">
        <f t="shared" si="2"/>
        <v>576000</v>
      </c>
      <c r="P32" s="121">
        <v>0</v>
      </c>
      <c r="Q32" s="121">
        <v>0</v>
      </c>
      <c r="R32" s="137">
        <f t="shared" si="3"/>
        <v>576000</v>
      </c>
      <c r="S32" s="50" t="s">
        <v>640</v>
      </c>
      <c r="T32" s="50" t="s">
        <v>867</v>
      </c>
      <c r="U32" s="50" t="s">
        <v>868</v>
      </c>
      <c r="V32" s="50" t="s">
        <v>605</v>
      </c>
      <c r="W32" s="50" t="s">
        <v>645</v>
      </c>
      <c r="X32" s="50" t="s">
        <v>908</v>
      </c>
      <c r="Y32" s="50" t="s">
        <v>870</v>
      </c>
      <c r="Z32" s="50" t="s">
        <v>871</v>
      </c>
      <c r="AA32" s="50" t="s">
        <v>872</v>
      </c>
      <c r="AB32" s="50" t="s">
        <v>873</v>
      </c>
    </row>
    <row r="33" spans="1:28" ht="64" x14ac:dyDescent="0.2">
      <c r="A33" s="50" t="s">
        <v>911</v>
      </c>
      <c r="B33" s="50" t="s">
        <v>735</v>
      </c>
      <c r="C33" s="50" t="s">
        <v>557</v>
      </c>
      <c r="D33" s="50" t="s">
        <v>907</v>
      </c>
      <c r="E33" s="117">
        <v>120</v>
      </c>
      <c r="F33" s="50" t="s">
        <v>864</v>
      </c>
      <c r="G33" s="50" t="s">
        <v>865</v>
      </c>
      <c r="H33" s="117">
        <v>60</v>
      </c>
      <c r="I33" s="50" t="s">
        <v>864</v>
      </c>
      <c r="J33" s="50" t="s">
        <v>866</v>
      </c>
      <c r="K33" s="118">
        <v>1080</v>
      </c>
      <c r="L33" s="134">
        <f t="shared" si="0"/>
        <v>12960</v>
      </c>
      <c r="M33" s="135">
        <f t="shared" si="1"/>
        <v>6.4285714285714288</v>
      </c>
      <c r="N33" s="121">
        <v>0</v>
      </c>
      <c r="O33" s="137">
        <f t="shared" si="2"/>
        <v>648000</v>
      </c>
      <c r="P33" s="121">
        <v>0</v>
      </c>
      <c r="Q33" s="121">
        <v>0</v>
      </c>
      <c r="R33" s="137">
        <f t="shared" si="3"/>
        <v>648000</v>
      </c>
      <c r="S33" s="50" t="s">
        <v>640</v>
      </c>
      <c r="T33" s="50" t="s">
        <v>867</v>
      </c>
      <c r="U33" s="50" t="s">
        <v>868</v>
      </c>
      <c r="V33" s="50" t="s">
        <v>605</v>
      </c>
      <c r="W33" s="50" t="s">
        <v>645</v>
      </c>
      <c r="X33" s="50" t="s">
        <v>908</v>
      </c>
      <c r="Y33" s="50" t="s">
        <v>870</v>
      </c>
      <c r="Z33" s="50" t="s">
        <v>871</v>
      </c>
      <c r="AA33" s="50" t="s">
        <v>872</v>
      </c>
      <c r="AB33" s="50" t="s">
        <v>873</v>
      </c>
    </row>
    <row r="34" spans="1:28" ht="64" x14ac:dyDescent="0.2">
      <c r="A34" s="50" t="s">
        <v>912</v>
      </c>
      <c r="B34" s="50" t="s">
        <v>735</v>
      </c>
      <c r="C34" s="50" t="s">
        <v>558</v>
      </c>
      <c r="D34" s="50" t="s">
        <v>907</v>
      </c>
      <c r="E34" s="117">
        <v>120</v>
      </c>
      <c r="F34" s="50" t="s">
        <v>864</v>
      </c>
      <c r="G34" s="50" t="s">
        <v>865</v>
      </c>
      <c r="H34" s="117">
        <v>60</v>
      </c>
      <c r="I34" s="50" t="s">
        <v>864</v>
      </c>
      <c r="J34" s="50" t="s">
        <v>866</v>
      </c>
      <c r="K34" s="118">
        <v>780</v>
      </c>
      <c r="L34" s="134">
        <f t="shared" si="0"/>
        <v>9360</v>
      </c>
      <c r="M34" s="135">
        <f t="shared" si="1"/>
        <v>4.6428571428571432</v>
      </c>
      <c r="N34" s="121">
        <v>0</v>
      </c>
      <c r="O34" s="137">
        <f t="shared" si="2"/>
        <v>468000</v>
      </c>
      <c r="P34" s="121">
        <v>0</v>
      </c>
      <c r="Q34" s="121">
        <v>0</v>
      </c>
      <c r="R34" s="137">
        <f t="shared" si="3"/>
        <v>468000</v>
      </c>
      <c r="S34" s="50" t="s">
        <v>640</v>
      </c>
      <c r="T34" s="50" t="s">
        <v>867</v>
      </c>
      <c r="U34" s="50" t="s">
        <v>868</v>
      </c>
      <c r="V34" s="50" t="s">
        <v>605</v>
      </c>
      <c r="W34" s="50" t="s">
        <v>645</v>
      </c>
      <c r="X34" s="50" t="s">
        <v>908</v>
      </c>
      <c r="Y34" s="50" t="s">
        <v>870</v>
      </c>
      <c r="Z34" s="50" t="s">
        <v>871</v>
      </c>
      <c r="AA34" s="50" t="s">
        <v>872</v>
      </c>
      <c r="AB34" s="50" t="s">
        <v>873</v>
      </c>
    </row>
    <row r="35" spans="1:28" ht="64" x14ac:dyDescent="0.2">
      <c r="A35" s="50" t="s">
        <v>913</v>
      </c>
      <c r="B35" s="50" t="s">
        <v>745</v>
      </c>
      <c r="C35" s="50" t="s">
        <v>545</v>
      </c>
      <c r="D35" s="50" t="s">
        <v>914</v>
      </c>
      <c r="E35" s="117">
        <v>180</v>
      </c>
      <c r="F35" s="50" t="s">
        <v>864</v>
      </c>
      <c r="G35" s="50" t="s">
        <v>865</v>
      </c>
      <c r="H35" s="117">
        <v>90</v>
      </c>
      <c r="I35" s="50" t="s">
        <v>864</v>
      </c>
      <c r="J35" s="50" t="s">
        <v>866</v>
      </c>
      <c r="K35" s="118">
        <v>468.75</v>
      </c>
      <c r="L35" s="134">
        <f t="shared" si="0"/>
        <v>8437.5</v>
      </c>
      <c r="M35" s="135">
        <f t="shared" si="1"/>
        <v>4.1852678571428568</v>
      </c>
      <c r="N35" s="121">
        <v>0</v>
      </c>
      <c r="O35" s="137">
        <f t="shared" si="2"/>
        <v>421875</v>
      </c>
      <c r="P35" s="121">
        <v>0</v>
      </c>
      <c r="Q35" s="121">
        <v>0</v>
      </c>
      <c r="R35" s="137">
        <f t="shared" si="3"/>
        <v>421875</v>
      </c>
      <c r="S35" s="50" t="s">
        <v>640</v>
      </c>
      <c r="T35" s="50" t="s">
        <v>867</v>
      </c>
      <c r="U35" s="50" t="s">
        <v>868</v>
      </c>
      <c r="V35" s="50" t="s">
        <v>605</v>
      </c>
      <c r="W35" s="50" t="s">
        <v>645</v>
      </c>
      <c r="X35" s="50" t="s">
        <v>901</v>
      </c>
      <c r="Y35" s="50" t="s">
        <v>870</v>
      </c>
      <c r="Z35" s="50" t="s">
        <v>871</v>
      </c>
      <c r="AA35" s="50" t="s">
        <v>872</v>
      </c>
      <c r="AB35" s="50" t="s">
        <v>873</v>
      </c>
    </row>
    <row r="36" spans="1:28" ht="64" x14ac:dyDescent="0.2">
      <c r="A36" s="50" t="s">
        <v>915</v>
      </c>
      <c r="B36" s="50" t="s">
        <v>745</v>
      </c>
      <c r="C36" s="50" t="s">
        <v>555</v>
      </c>
      <c r="D36" s="50" t="s">
        <v>914</v>
      </c>
      <c r="E36" s="117">
        <v>180</v>
      </c>
      <c r="F36" s="50" t="s">
        <v>864</v>
      </c>
      <c r="G36" s="50" t="s">
        <v>865</v>
      </c>
      <c r="H36" s="117">
        <v>90</v>
      </c>
      <c r="I36" s="50" t="s">
        <v>864</v>
      </c>
      <c r="J36" s="50" t="s">
        <v>866</v>
      </c>
      <c r="K36" s="118">
        <v>1125</v>
      </c>
      <c r="L36" s="134">
        <f t="shared" si="0"/>
        <v>20250</v>
      </c>
      <c r="M36" s="135">
        <f t="shared" si="1"/>
        <v>10.044642857142858</v>
      </c>
      <c r="N36" s="121">
        <v>0</v>
      </c>
      <c r="O36" s="137">
        <f t="shared" si="2"/>
        <v>1012500</v>
      </c>
      <c r="P36" s="121">
        <v>0</v>
      </c>
      <c r="Q36" s="121">
        <v>0</v>
      </c>
      <c r="R36" s="137">
        <f t="shared" si="3"/>
        <v>1012500</v>
      </c>
      <c r="S36" s="50" t="s">
        <v>640</v>
      </c>
      <c r="T36" s="50" t="s">
        <v>867</v>
      </c>
      <c r="U36" s="50" t="s">
        <v>868</v>
      </c>
      <c r="V36" s="50" t="s">
        <v>605</v>
      </c>
      <c r="W36" s="50" t="s">
        <v>645</v>
      </c>
      <c r="X36" s="50" t="s">
        <v>901</v>
      </c>
      <c r="Y36" s="50" t="s">
        <v>870</v>
      </c>
      <c r="Z36" s="50" t="s">
        <v>871</v>
      </c>
      <c r="AA36" s="50" t="s">
        <v>872</v>
      </c>
      <c r="AB36" s="50" t="s">
        <v>873</v>
      </c>
    </row>
    <row r="37" spans="1:28" ht="64" x14ac:dyDescent="0.2">
      <c r="A37" s="50" t="s">
        <v>916</v>
      </c>
      <c r="B37" s="50" t="s">
        <v>745</v>
      </c>
      <c r="C37" s="50" t="s">
        <v>556</v>
      </c>
      <c r="D37" s="50" t="s">
        <v>914</v>
      </c>
      <c r="E37" s="117">
        <v>180</v>
      </c>
      <c r="F37" s="50" t="s">
        <v>864</v>
      </c>
      <c r="G37" s="50" t="s">
        <v>865</v>
      </c>
      <c r="H37" s="117">
        <v>90</v>
      </c>
      <c r="I37" s="50" t="s">
        <v>864</v>
      </c>
      <c r="J37" s="50" t="s">
        <v>866</v>
      </c>
      <c r="K37" s="118">
        <v>1500</v>
      </c>
      <c r="L37" s="134">
        <f t="shared" si="0"/>
        <v>27000</v>
      </c>
      <c r="M37" s="135">
        <f t="shared" si="1"/>
        <v>13.392857142857142</v>
      </c>
      <c r="N37" s="121">
        <v>0</v>
      </c>
      <c r="O37" s="137">
        <f t="shared" si="2"/>
        <v>1350000</v>
      </c>
      <c r="P37" s="121">
        <v>0</v>
      </c>
      <c r="Q37" s="121">
        <v>0</v>
      </c>
      <c r="R37" s="137">
        <f t="shared" si="3"/>
        <v>1350000</v>
      </c>
      <c r="S37" s="50" t="s">
        <v>640</v>
      </c>
      <c r="T37" s="50" t="s">
        <v>867</v>
      </c>
      <c r="U37" s="50" t="s">
        <v>868</v>
      </c>
      <c r="V37" s="50" t="s">
        <v>605</v>
      </c>
      <c r="W37" s="50" t="s">
        <v>645</v>
      </c>
      <c r="X37" s="50" t="s">
        <v>901</v>
      </c>
      <c r="Y37" s="50" t="s">
        <v>870</v>
      </c>
      <c r="Z37" s="50" t="s">
        <v>871</v>
      </c>
      <c r="AA37" s="50" t="s">
        <v>872</v>
      </c>
      <c r="AB37" s="50" t="s">
        <v>873</v>
      </c>
    </row>
    <row r="38" spans="1:28" ht="64" x14ac:dyDescent="0.2">
      <c r="A38" s="50" t="s">
        <v>917</v>
      </c>
      <c r="B38" s="50" t="s">
        <v>745</v>
      </c>
      <c r="C38" s="50" t="s">
        <v>557</v>
      </c>
      <c r="D38" s="50" t="s">
        <v>914</v>
      </c>
      <c r="E38" s="117">
        <v>180</v>
      </c>
      <c r="F38" s="50" t="s">
        <v>864</v>
      </c>
      <c r="G38" s="50" t="s">
        <v>865</v>
      </c>
      <c r="H38" s="117">
        <v>90</v>
      </c>
      <c r="I38" s="50" t="s">
        <v>864</v>
      </c>
      <c r="J38" s="50" t="s">
        <v>866</v>
      </c>
      <c r="K38" s="118">
        <v>1687.5</v>
      </c>
      <c r="L38" s="134">
        <f t="shared" si="0"/>
        <v>30375</v>
      </c>
      <c r="M38" s="135">
        <f t="shared" si="1"/>
        <v>15.066964285714286</v>
      </c>
      <c r="N38" s="121">
        <v>0</v>
      </c>
      <c r="O38" s="137">
        <f t="shared" si="2"/>
        <v>1518750</v>
      </c>
      <c r="P38" s="121">
        <v>0</v>
      </c>
      <c r="Q38" s="121">
        <v>0</v>
      </c>
      <c r="R38" s="137">
        <f t="shared" si="3"/>
        <v>1518750</v>
      </c>
      <c r="S38" s="50" t="s">
        <v>640</v>
      </c>
      <c r="T38" s="50" t="s">
        <v>867</v>
      </c>
      <c r="U38" s="50" t="s">
        <v>868</v>
      </c>
      <c r="V38" s="50" t="s">
        <v>605</v>
      </c>
      <c r="W38" s="50" t="s">
        <v>645</v>
      </c>
      <c r="X38" s="50" t="s">
        <v>901</v>
      </c>
      <c r="Y38" s="50" t="s">
        <v>870</v>
      </c>
      <c r="Z38" s="50" t="s">
        <v>871</v>
      </c>
      <c r="AA38" s="50" t="s">
        <v>872</v>
      </c>
      <c r="AB38" s="50" t="s">
        <v>873</v>
      </c>
    </row>
    <row r="39" spans="1:28" ht="64" x14ac:dyDescent="0.2">
      <c r="A39" s="50" t="s">
        <v>918</v>
      </c>
      <c r="B39" s="50" t="s">
        <v>745</v>
      </c>
      <c r="C39" s="50" t="s">
        <v>558</v>
      </c>
      <c r="D39" s="50" t="s">
        <v>914</v>
      </c>
      <c r="E39" s="117">
        <v>180</v>
      </c>
      <c r="F39" s="50" t="s">
        <v>864</v>
      </c>
      <c r="G39" s="50" t="s">
        <v>865</v>
      </c>
      <c r="H39" s="117">
        <v>90</v>
      </c>
      <c r="I39" s="50" t="s">
        <v>864</v>
      </c>
      <c r="J39" s="50" t="s">
        <v>866</v>
      </c>
      <c r="K39" s="118">
        <v>1218.75</v>
      </c>
      <c r="L39" s="134">
        <f t="shared" si="0"/>
        <v>21937.5</v>
      </c>
      <c r="M39" s="135">
        <f t="shared" si="1"/>
        <v>10.881696428571429</v>
      </c>
      <c r="N39" s="121">
        <v>0</v>
      </c>
      <c r="O39" s="137">
        <f t="shared" si="2"/>
        <v>1096875</v>
      </c>
      <c r="P39" s="121">
        <v>0</v>
      </c>
      <c r="Q39" s="121">
        <v>0</v>
      </c>
      <c r="R39" s="137">
        <f t="shared" si="3"/>
        <v>1096875</v>
      </c>
      <c r="S39" s="50" t="s">
        <v>640</v>
      </c>
      <c r="T39" s="50" t="s">
        <v>867</v>
      </c>
      <c r="U39" s="50" t="s">
        <v>868</v>
      </c>
      <c r="V39" s="50" t="s">
        <v>605</v>
      </c>
      <c r="W39" s="50" t="s">
        <v>645</v>
      </c>
      <c r="X39" s="50" t="s">
        <v>901</v>
      </c>
      <c r="Y39" s="50" t="s">
        <v>870</v>
      </c>
      <c r="Z39" s="50" t="s">
        <v>871</v>
      </c>
      <c r="AA39" s="50" t="s">
        <v>872</v>
      </c>
      <c r="AB39" s="50" t="s">
        <v>873</v>
      </c>
    </row>
    <row r="40" spans="1:28" ht="64" x14ac:dyDescent="0.2">
      <c r="A40" s="50" t="s">
        <v>919</v>
      </c>
      <c r="B40" s="50" t="s">
        <v>757</v>
      </c>
      <c r="C40" s="50" t="s">
        <v>545</v>
      </c>
      <c r="D40" s="50" t="s">
        <v>920</v>
      </c>
      <c r="E40" s="117">
        <v>240</v>
      </c>
      <c r="F40" s="50" t="s">
        <v>864</v>
      </c>
      <c r="G40" s="50" t="s">
        <v>865</v>
      </c>
      <c r="H40" s="117">
        <v>120</v>
      </c>
      <c r="I40" s="50" t="s">
        <v>864</v>
      </c>
      <c r="J40" s="50" t="s">
        <v>866</v>
      </c>
      <c r="K40" s="118">
        <v>200</v>
      </c>
      <c r="L40" s="134">
        <f t="shared" si="0"/>
        <v>4800</v>
      </c>
      <c r="M40" s="135">
        <f t="shared" si="1"/>
        <v>2.3809523809523809</v>
      </c>
      <c r="N40" s="121">
        <v>0</v>
      </c>
      <c r="O40" s="137">
        <f t="shared" si="2"/>
        <v>240000</v>
      </c>
      <c r="P40" s="121">
        <v>0</v>
      </c>
      <c r="Q40" s="121">
        <v>0</v>
      </c>
      <c r="R40" s="137">
        <f t="shared" si="3"/>
        <v>240000</v>
      </c>
      <c r="S40" s="50" t="s">
        <v>640</v>
      </c>
      <c r="T40" s="50" t="s">
        <v>867</v>
      </c>
      <c r="U40" s="50" t="s">
        <v>868</v>
      </c>
      <c r="V40" s="50" t="s">
        <v>605</v>
      </c>
      <c r="W40" s="50" t="s">
        <v>645</v>
      </c>
      <c r="X40" s="50" t="s">
        <v>921</v>
      </c>
      <c r="Y40" s="50" t="s">
        <v>870</v>
      </c>
      <c r="Z40" s="50" t="s">
        <v>871</v>
      </c>
      <c r="AA40" s="50" t="s">
        <v>872</v>
      </c>
      <c r="AB40" s="50" t="s">
        <v>873</v>
      </c>
    </row>
    <row r="41" spans="1:28" ht="64" x14ac:dyDescent="0.2">
      <c r="A41" s="50" t="s">
        <v>922</v>
      </c>
      <c r="B41" s="50" t="s">
        <v>757</v>
      </c>
      <c r="C41" s="50" t="s">
        <v>555</v>
      </c>
      <c r="D41" s="50" t="s">
        <v>920</v>
      </c>
      <c r="E41" s="117">
        <v>240</v>
      </c>
      <c r="F41" s="50" t="s">
        <v>864</v>
      </c>
      <c r="G41" s="50" t="s">
        <v>865</v>
      </c>
      <c r="H41" s="117">
        <v>120</v>
      </c>
      <c r="I41" s="50" t="s">
        <v>864</v>
      </c>
      <c r="J41" s="50" t="s">
        <v>866</v>
      </c>
      <c r="K41" s="118">
        <v>480</v>
      </c>
      <c r="L41" s="134">
        <f t="shared" si="0"/>
        <v>11520</v>
      </c>
      <c r="M41" s="135">
        <f t="shared" si="1"/>
        <v>5.7142857142857144</v>
      </c>
      <c r="N41" s="121">
        <v>0</v>
      </c>
      <c r="O41" s="137">
        <f t="shared" si="2"/>
        <v>576000</v>
      </c>
      <c r="P41" s="121">
        <v>0</v>
      </c>
      <c r="Q41" s="121">
        <v>0</v>
      </c>
      <c r="R41" s="137">
        <f t="shared" si="3"/>
        <v>576000</v>
      </c>
      <c r="S41" s="50" t="s">
        <v>640</v>
      </c>
      <c r="T41" s="50" t="s">
        <v>867</v>
      </c>
      <c r="U41" s="50" t="s">
        <v>868</v>
      </c>
      <c r="V41" s="50" t="s">
        <v>605</v>
      </c>
      <c r="W41" s="50" t="s">
        <v>645</v>
      </c>
      <c r="X41" s="50" t="s">
        <v>921</v>
      </c>
      <c r="Y41" s="50" t="s">
        <v>870</v>
      </c>
      <c r="Z41" s="50" t="s">
        <v>871</v>
      </c>
      <c r="AA41" s="50" t="s">
        <v>872</v>
      </c>
      <c r="AB41" s="50" t="s">
        <v>873</v>
      </c>
    </row>
    <row r="42" spans="1:28" ht="64" x14ac:dyDescent="0.2">
      <c r="A42" s="50" t="s">
        <v>923</v>
      </c>
      <c r="B42" s="50" t="s">
        <v>757</v>
      </c>
      <c r="C42" s="50" t="s">
        <v>556</v>
      </c>
      <c r="D42" s="50" t="s">
        <v>920</v>
      </c>
      <c r="E42" s="117">
        <v>240</v>
      </c>
      <c r="F42" s="50" t="s">
        <v>864</v>
      </c>
      <c r="G42" s="50" t="s">
        <v>865</v>
      </c>
      <c r="H42" s="117">
        <v>120</v>
      </c>
      <c r="I42" s="50" t="s">
        <v>864</v>
      </c>
      <c r="J42" s="50" t="s">
        <v>866</v>
      </c>
      <c r="K42" s="118">
        <v>640</v>
      </c>
      <c r="L42" s="134">
        <f t="shared" si="0"/>
        <v>15360</v>
      </c>
      <c r="M42" s="135">
        <f t="shared" si="1"/>
        <v>7.6190476190476186</v>
      </c>
      <c r="N42" s="121">
        <v>0</v>
      </c>
      <c r="O42" s="137">
        <f t="shared" si="2"/>
        <v>768000</v>
      </c>
      <c r="P42" s="121">
        <v>0</v>
      </c>
      <c r="Q42" s="121">
        <v>0</v>
      </c>
      <c r="R42" s="137">
        <f t="shared" si="3"/>
        <v>768000</v>
      </c>
      <c r="S42" s="50" t="s">
        <v>640</v>
      </c>
      <c r="T42" s="50" t="s">
        <v>867</v>
      </c>
      <c r="U42" s="50" t="s">
        <v>868</v>
      </c>
      <c r="V42" s="50" t="s">
        <v>605</v>
      </c>
      <c r="W42" s="50" t="s">
        <v>645</v>
      </c>
      <c r="X42" s="50" t="s">
        <v>921</v>
      </c>
      <c r="Y42" s="50" t="s">
        <v>870</v>
      </c>
      <c r="Z42" s="50" t="s">
        <v>871</v>
      </c>
      <c r="AA42" s="50" t="s">
        <v>872</v>
      </c>
      <c r="AB42" s="50" t="s">
        <v>873</v>
      </c>
    </row>
    <row r="43" spans="1:28" ht="64" x14ac:dyDescent="0.2">
      <c r="A43" s="50" t="s">
        <v>924</v>
      </c>
      <c r="B43" s="50" t="s">
        <v>757</v>
      </c>
      <c r="C43" s="50" t="s">
        <v>557</v>
      </c>
      <c r="D43" s="50" t="s">
        <v>920</v>
      </c>
      <c r="E43" s="117">
        <v>240</v>
      </c>
      <c r="F43" s="50" t="s">
        <v>864</v>
      </c>
      <c r="G43" s="50" t="s">
        <v>865</v>
      </c>
      <c r="H43" s="117">
        <v>120</v>
      </c>
      <c r="I43" s="50" t="s">
        <v>864</v>
      </c>
      <c r="J43" s="50" t="s">
        <v>866</v>
      </c>
      <c r="K43" s="118">
        <v>720</v>
      </c>
      <c r="L43" s="134">
        <f t="shared" si="0"/>
        <v>17280</v>
      </c>
      <c r="M43" s="135">
        <f t="shared" si="1"/>
        <v>8.5714285714285712</v>
      </c>
      <c r="N43" s="121">
        <v>0</v>
      </c>
      <c r="O43" s="137">
        <f t="shared" si="2"/>
        <v>864000</v>
      </c>
      <c r="P43" s="121">
        <v>0</v>
      </c>
      <c r="Q43" s="121">
        <v>0</v>
      </c>
      <c r="R43" s="137">
        <f t="shared" si="3"/>
        <v>864000</v>
      </c>
      <c r="S43" s="50" t="s">
        <v>640</v>
      </c>
      <c r="T43" s="50" t="s">
        <v>867</v>
      </c>
      <c r="U43" s="50" t="s">
        <v>868</v>
      </c>
      <c r="V43" s="50" t="s">
        <v>605</v>
      </c>
      <c r="W43" s="50" t="s">
        <v>645</v>
      </c>
      <c r="X43" s="50" t="s">
        <v>921</v>
      </c>
      <c r="Y43" s="50" t="s">
        <v>870</v>
      </c>
      <c r="Z43" s="50" t="s">
        <v>871</v>
      </c>
      <c r="AA43" s="50" t="s">
        <v>872</v>
      </c>
      <c r="AB43" s="50" t="s">
        <v>873</v>
      </c>
    </row>
    <row r="44" spans="1:28" ht="64" x14ac:dyDescent="0.2">
      <c r="A44" s="50" t="s">
        <v>925</v>
      </c>
      <c r="B44" s="50" t="s">
        <v>757</v>
      </c>
      <c r="C44" s="50" t="s">
        <v>558</v>
      </c>
      <c r="D44" s="50" t="s">
        <v>920</v>
      </c>
      <c r="E44" s="117">
        <v>240</v>
      </c>
      <c r="F44" s="50" t="s">
        <v>864</v>
      </c>
      <c r="G44" s="50" t="s">
        <v>865</v>
      </c>
      <c r="H44" s="117">
        <v>120</v>
      </c>
      <c r="I44" s="50" t="s">
        <v>864</v>
      </c>
      <c r="J44" s="50" t="s">
        <v>866</v>
      </c>
      <c r="K44" s="118">
        <v>520</v>
      </c>
      <c r="L44" s="134">
        <f t="shared" si="0"/>
        <v>12480</v>
      </c>
      <c r="M44" s="135">
        <f t="shared" si="1"/>
        <v>6.1904761904761907</v>
      </c>
      <c r="N44" s="121">
        <v>0</v>
      </c>
      <c r="O44" s="137">
        <f t="shared" si="2"/>
        <v>624000</v>
      </c>
      <c r="P44" s="121">
        <v>0</v>
      </c>
      <c r="Q44" s="121">
        <v>0</v>
      </c>
      <c r="R44" s="137">
        <f t="shared" si="3"/>
        <v>624000</v>
      </c>
      <c r="S44" s="50" t="s">
        <v>640</v>
      </c>
      <c r="T44" s="50" t="s">
        <v>867</v>
      </c>
      <c r="U44" s="50" t="s">
        <v>868</v>
      </c>
      <c r="V44" s="50" t="s">
        <v>605</v>
      </c>
      <c r="W44" s="50" t="s">
        <v>645</v>
      </c>
      <c r="X44" s="50" t="s">
        <v>921</v>
      </c>
      <c r="Y44" s="50" t="s">
        <v>870</v>
      </c>
      <c r="Z44" s="50" t="s">
        <v>871</v>
      </c>
      <c r="AA44" s="50" t="s">
        <v>872</v>
      </c>
      <c r="AB44" s="50" t="s">
        <v>873</v>
      </c>
    </row>
    <row r="45" spans="1:28" ht="64" x14ac:dyDescent="0.2">
      <c r="A45" s="50" t="s">
        <v>926</v>
      </c>
      <c r="B45" s="50" t="s">
        <v>766</v>
      </c>
      <c r="C45" s="50" t="s">
        <v>545</v>
      </c>
      <c r="D45" s="50" t="s">
        <v>927</v>
      </c>
      <c r="E45" s="117">
        <v>8</v>
      </c>
      <c r="F45" s="50" t="s">
        <v>864</v>
      </c>
      <c r="G45" s="50" t="s">
        <v>865</v>
      </c>
      <c r="H45" s="117">
        <v>3</v>
      </c>
      <c r="I45" s="50" t="s">
        <v>864</v>
      </c>
      <c r="J45" s="50" t="s">
        <v>866</v>
      </c>
      <c r="K45" s="118">
        <v>4250</v>
      </c>
      <c r="L45" s="134">
        <f t="shared" si="0"/>
        <v>4250</v>
      </c>
      <c r="M45" s="135">
        <f t="shared" si="1"/>
        <v>2.1081349206349205</v>
      </c>
      <c r="N45" s="121">
        <v>0</v>
      </c>
      <c r="O45" s="137">
        <f t="shared" si="2"/>
        <v>212500</v>
      </c>
      <c r="P45" s="121">
        <v>0</v>
      </c>
      <c r="Q45" s="121">
        <v>0</v>
      </c>
      <c r="R45" s="137">
        <f t="shared" si="3"/>
        <v>212500</v>
      </c>
      <c r="S45" s="50" t="s">
        <v>640</v>
      </c>
      <c r="T45" s="50" t="s">
        <v>867</v>
      </c>
      <c r="U45" s="50" t="s">
        <v>868</v>
      </c>
      <c r="V45" s="50" t="s">
        <v>605</v>
      </c>
      <c r="W45" s="50" t="s">
        <v>645</v>
      </c>
      <c r="X45" s="50" t="s">
        <v>928</v>
      </c>
      <c r="Y45" s="50" t="s">
        <v>870</v>
      </c>
      <c r="Z45" s="50" t="s">
        <v>871</v>
      </c>
      <c r="AA45" s="50" t="s">
        <v>872</v>
      </c>
      <c r="AB45" s="50" t="s">
        <v>873</v>
      </c>
    </row>
    <row r="46" spans="1:28" ht="64" x14ac:dyDescent="0.2">
      <c r="A46" s="50" t="s">
        <v>929</v>
      </c>
      <c r="B46" s="50" t="s">
        <v>766</v>
      </c>
      <c r="C46" s="50" t="s">
        <v>555</v>
      </c>
      <c r="D46" s="50" t="s">
        <v>927</v>
      </c>
      <c r="E46" s="117">
        <v>8</v>
      </c>
      <c r="F46" s="50" t="s">
        <v>864</v>
      </c>
      <c r="G46" s="50" t="s">
        <v>865</v>
      </c>
      <c r="H46" s="117">
        <v>3</v>
      </c>
      <c r="I46" s="50" t="s">
        <v>864</v>
      </c>
      <c r="J46" s="50" t="s">
        <v>866</v>
      </c>
      <c r="K46" s="118">
        <v>10200</v>
      </c>
      <c r="L46" s="134">
        <f t="shared" si="0"/>
        <v>10200</v>
      </c>
      <c r="M46" s="135">
        <f t="shared" si="1"/>
        <v>5.0595238095238093</v>
      </c>
      <c r="N46" s="121">
        <v>0</v>
      </c>
      <c r="O46" s="137">
        <f t="shared" si="2"/>
        <v>510000</v>
      </c>
      <c r="P46" s="121">
        <v>0</v>
      </c>
      <c r="Q46" s="121">
        <v>0</v>
      </c>
      <c r="R46" s="137">
        <f t="shared" si="3"/>
        <v>510000</v>
      </c>
      <c r="S46" s="50" t="s">
        <v>640</v>
      </c>
      <c r="T46" s="50" t="s">
        <v>867</v>
      </c>
      <c r="U46" s="50" t="s">
        <v>868</v>
      </c>
      <c r="V46" s="50" t="s">
        <v>605</v>
      </c>
      <c r="W46" s="50" t="s">
        <v>645</v>
      </c>
      <c r="X46" s="50" t="s">
        <v>928</v>
      </c>
      <c r="Y46" s="50" t="s">
        <v>870</v>
      </c>
      <c r="Z46" s="50" t="s">
        <v>871</v>
      </c>
      <c r="AA46" s="50" t="s">
        <v>872</v>
      </c>
      <c r="AB46" s="50" t="s">
        <v>873</v>
      </c>
    </row>
    <row r="47" spans="1:28" ht="64" x14ac:dyDescent="0.2">
      <c r="A47" s="50" t="s">
        <v>930</v>
      </c>
      <c r="B47" s="50" t="s">
        <v>766</v>
      </c>
      <c r="C47" s="50" t="s">
        <v>556</v>
      </c>
      <c r="D47" s="50" t="s">
        <v>927</v>
      </c>
      <c r="E47" s="117">
        <v>8</v>
      </c>
      <c r="F47" s="50" t="s">
        <v>864</v>
      </c>
      <c r="G47" s="50" t="s">
        <v>865</v>
      </c>
      <c r="H47" s="117">
        <v>3</v>
      </c>
      <c r="I47" s="50" t="s">
        <v>864</v>
      </c>
      <c r="J47" s="50" t="s">
        <v>866</v>
      </c>
      <c r="K47" s="118">
        <v>13600</v>
      </c>
      <c r="L47" s="134">
        <f t="shared" si="0"/>
        <v>13600</v>
      </c>
      <c r="M47" s="135">
        <f t="shared" si="1"/>
        <v>6.746031746031746</v>
      </c>
      <c r="N47" s="121">
        <v>0</v>
      </c>
      <c r="O47" s="137">
        <f t="shared" si="2"/>
        <v>680000</v>
      </c>
      <c r="P47" s="121">
        <v>0</v>
      </c>
      <c r="Q47" s="121">
        <v>0</v>
      </c>
      <c r="R47" s="137">
        <f t="shared" si="3"/>
        <v>680000</v>
      </c>
      <c r="S47" s="50" t="s">
        <v>640</v>
      </c>
      <c r="T47" s="50" t="s">
        <v>867</v>
      </c>
      <c r="U47" s="50" t="s">
        <v>868</v>
      </c>
      <c r="V47" s="50" t="s">
        <v>605</v>
      </c>
      <c r="W47" s="50" t="s">
        <v>645</v>
      </c>
      <c r="X47" s="50" t="s">
        <v>928</v>
      </c>
      <c r="Y47" s="50" t="s">
        <v>870</v>
      </c>
      <c r="Z47" s="50" t="s">
        <v>871</v>
      </c>
      <c r="AA47" s="50" t="s">
        <v>872</v>
      </c>
      <c r="AB47" s="50" t="s">
        <v>873</v>
      </c>
    </row>
    <row r="48" spans="1:28" ht="64" x14ac:dyDescent="0.2">
      <c r="A48" s="50" t="s">
        <v>931</v>
      </c>
      <c r="B48" s="50" t="s">
        <v>766</v>
      </c>
      <c r="C48" s="50" t="s">
        <v>557</v>
      </c>
      <c r="D48" s="50" t="s">
        <v>927</v>
      </c>
      <c r="E48" s="117">
        <v>8</v>
      </c>
      <c r="F48" s="50" t="s">
        <v>864</v>
      </c>
      <c r="G48" s="50" t="s">
        <v>865</v>
      </c>
      <c r="H48" s="117">
        <v>3</v>
      </c>
      <c r="I48" s="50" t="s">
        <v>864</v>
      </c>
      <c r="J48" s="50" t="s">
        <v>866</v>
      </c>
      <c r="K48" s="118">
        <v>15300</v>
      </c>
      <c r="L48" s="134">
        <f t="shared" si="0"/>
        <v>15300</v>
      </c>
      <c r="M48" s="135">
        <f t="shared" si="1"/>
        <v>7.5892857142857144</v>
      </c>
      <c r="N48" s="121">
        <v>0</v>
      </c>
      <c r="O48" s="137">
        <f t="shared" si="2"/>
        <v>765000</v>
      </c>
      <c r="P48" s="121">
        <v>0</v>
      </c>
      <c r="Q48" s="121">
        <v>0</v>
      </c>
      <c r="R48" s="137">
        <f t="shared" si="3"/>
        <v>765000</v>
      </c>
      <c r="S48" s="50" t="s">
        <v>640</v>
      </c>
      <c r="T48" s="50" t="s">
        <v>867</v>
      </c>
      <c r="U48" s="50" t="s">
        <v>868</v>
      </c>
      <c r="V48" s="50" t="s">
        <v>605</v>
      </c>
      <c r="W48" s="50" t="s">
        <v>645</v>
      </c>
      <c r="X48" s="50" t="s">
        <v>928</v>
      </c>
      <c r="Y48" s="50" t="s">
        <v>870</v>
      </c>
      <c r="Z48" s="50" t="s">
        <v>871</v>
      </c>
      <c r="AA48" s="50" t="s">
        <v>872</v>
      </c>
      <c r="AB48" s="50" t="s">
        <v>873</v>
      </c>
    </row>
    <row r="49" spans="1:28" ht="64" x14ac:dyDescent="0.2">
      <c r="A49" s="50" t="s">
        <v>932</v>
      </c>
      <c r="B49" s="50" t="s">
        <v>766</v>
      </c>
      <c r="C49" s="50" t="s">
        <v>558</v>
      </c>
      <c r="D49" s="50" t="s">
        <v>927</v>
      </c>
      <c r="E49" s="117">
        <v>8</v>
      </c>
      <c r="F49" s="50" t="s">
        <v>864</v>
      </c>
      <c r="G49" s="50" t="s">
        <v>865</v>
      </c>
      <c r="H49" s="117">
        <v>3</v>
      </c>
      <c r="I49" s="50" t="s">
        <v>864</v>
      </c>
      <c r="J49" s="50" t="s">
        <v>866</v>
      </c>
      <c r="K49" s="118">
        <v>11050</v>
      </c>
      <c r="L49" s="134">
        <f t="shared" si="0"/>
        <v>11050</v>
      </c>
      <c r="M49" s="135">
        <f t="shared" si="1"/>
        <v>5.4811507936507935</v>
      </c>
      <c r="N49" s="121">
        <v>0</v>
      </c>
      <c r="O49" s="137">
        <f t="shared" si="2"/>
        <v>552500</v>
      </c>
      <c r="P49" s="121">
        <v>0</v>
      </c>
      <c r="Q49" s="121">
        <v>0</v>
      </c>
      <c r="R49" s="137">
        <f t="shared" si="3"/>
        <v>552500</v>
      </c>
      <c r="S49" s="50" t="s">
        <v>640</v>
      </c>
      <c r="T49" s="50" t="s">
        <v>867</v>
      </c>
      <c r="U49" s="50" t="s">
        <v>868</v>
      </c>
      <c r="V49" s="50" t="s">
        <v>605</v>
      </c>
      <c r="W49" s="50" t="s">
        <v>645</v>
      </c>
      <c r="X49" s="50" t="s">
        <v>928</v>
      </c>
      <c r="Y49" s="50" t="s">
        <v>870</v>
      </c>
      <c r="Z49" s="50" t="s">
        <v>871</v>
      </c>
      <c r="AA49" s="50" t="s">
        <v>872</v>
      </c>
      <c r="AB49" s="50" t="s">
        <v>873</v>
      </c>
    </row>
    <row r="50" spans="1:28" ht="64" x14ac:dyDescent="0.2">
      <c r="A50" s="50" t="s">
        <v>933</v>
      </c>
      <c r="B50" s="50" t="s">
        <v>776</v>
      </c>
      <c r="C50" s="50" t="s">
        <v>545</v>
      </c>
      <c r="D50" s="50" t="s">
        <v>934</v>
      </c>
      <c r="E50" s="117">
        <v>30</v>
      </c>
      <c r="F50" s="50" t="s">
        <v>864</v>
      </c>
      <c r="G50" s="50" t="s">
        <v>865</v>
      </c>
      <c r="H50" s="117">
        <v>15</v>
      </c>
      <c r="I50" s="50" t="s">
        <v>864</v>
      </c>
      <c r="J50" s="50" t="s">
        <v>866</v>
      </c>
      <c r="K50" s="118">
        <v>1000</v>
      </c>
      <c r="L50" s="134">
        <f t="shared" si="0"/>
        <v>3000</v>
      </c>
      <c r="M50" s="135">
        <f t="shared" si="1"/>
        <v>1.4880952380952381</v>
      </c>
      <c r="N50" s="121">
        <v>0</v>
      </c>
      <c r="O50" s="137">
        <f t="shared" si="2"/>
        <v>150000</v>
      </c>
      <c r="P50" s="121">
        <v>0</v>
      </c>
      <c r="Q50" s="121">
        <v>0</v>
      </c>
      <c r="R50" s="137">
        <f t="shared" si="3"/>
        <v>150000</v>
      </c>
      <c r="S50" s="50" t="s">
        <v>640</v>
      </c>
      <c r="T50" s="50" t="s">
        <v>867</v>
      </c>
      <c r="U50" s="50" t="s">
        <v>868</v>
      </c>
      <c r="V50" s="50" t="s">
        <v>605</v>
      </c>
      <c r="W50" s="50" t="s">
        <v>645</v>
      </c>
      <c r="X50" s="50" t="s">
        <v>935</v>
      </c>
      <c r="Y50" s="50" t="s">
        <v>870</v>
      </c>
      <c r="Z50" s="50" t="s">
        <v>871</v>
      </c>
      <c r="AA50" s="50" t="s">
        <v>872</v>
      </c>
      <c r="AB50" s="50" t="s">
        <v>873</v>
      </c>
    </row>
    <row r="51" spans="1:28" ht="64" x14ac:dyDescent="0.2">
      <c r="A51" s="50" t="s">
        <v>936</v>
      </c>
      <c r="B51" s="50" t="s">
        <v>776</v>
      </c>
      <c r="C51" s="50" t="s">
        <v>555</v>
      </c>
      <c r="D51" s="50" t="s">
        <v>934</v>
      </c>
      <c r="E51" s="117">
        <v>30</v>
      </c>
      <c r="F51" s="50" t="s">
        <v>864</v>
      </c>
      <c r="G51" s="50" t="s">
        <v>865</v>
      </c>
      <c r="H51" s="117">
        <v>15</v>
      </c>
      <c r="I51" s="50" t="s">
        <v>864</v>
      </c>
      <c r="J51" s="50" t="s">
        <v>866</v>
      </c>
      <c r="K51" s="118">
        <v>2400</v>
      </c>
      <c r="L51" s="134">
        <f t="shared" si="0"/>
        <v>7200</v>
      </c>
      <c r="M51" s="135">
        <f t="shared" si="1"/>
        <v>3.5714285714285716</v>
      </c>
      <c r="N51" s="121">
        <v>0</v>
      </c>
      <c r="O51" s="137">
        <f t="shared" si="2"/>
        <v>360000</v>
      </c>
      <c r="P51" s="121">
        <v>0</v>
      </c>
      <c r="Q51" s="121">
        <v>0</v>
      </c>
      <c r="R51" s="137">
        <f t="shared" si="3"/>
        <v>360000</v>
      </c>
      <c r="S51" s="50" t="s">
        <v>640</v>
      </c>
      <c r="T51" s="50" t="s">
        <v>867</v>
      </c>
      <c r="U51" s="50" t="s">
        <v>868</v>
      </c>
      <c r="V51" s="50" t="s">
        <v>605</v>
      </c>
      <c r="W51" s="50" t="s">
        <v>645</v>
      </c>
      <c r="X51" s="50" t="s">
        <v>935</v>
      </c>
      <c r="Y51" s="50" t="s">
        <v>870</v>
      </c>
      <c r="Z51" s="50" t="s">
        <v>871</v>
      </c>
      <c r="AA51" s="50" t="s">
        <v>872</v>
      </c>
      <c r="AB51" s="50" t="s">
        <v>873</v>
      </c>
    </row>
    <row r="52" spans="1:28" ht="64" x14ac:dyDescent="0.2">
      <c r="A52" s="50" t="s">
        <v>937</v>
      </c>
      <c r="B52" s="50" t="s">
        <v>776</v>
      </c>
      <c r="C52" s="50" t="s">
        <v>556</v>
      </c>
      <c r="D52" s="50" t="s">
        <v>934</v>
      </c>
      <c r="E52" s="117">
        <v>30</v>
      </c>
      <c r="F52" s="50" t="s">
        <v>864</v>
      </c>
      <c r="G52" s="50" t="s">
        <v>865</v>
      </c>
      <c r="H52" s="117">
        <v>15</v>
      </c>
      <c r="I52" s="50" t="s">
        <v>864</v>
      </c>
      <c r="J52" s="50" t="s">
        <v>866</v>
      </c>
      <c r="K52" s="118">
        <v>3200</v>
      </c>
      <c r="L52" s="134">
        <f t="shared" si="0"/>
        <v>9600</v>
      </c>
      <c r="M52" s="135">
        <f t="shared" si="1"/>
        <v>4.7619047619047619</v>
      </c>
      <c r="N52" s="121">
        <v>0</v>
      </c>
      <c r="O52" s="137">
        <f t="shared" si="2"/>
        <v>480000</v>
      </c>
      <c r="P52" s="121">
        <v>0</v>
      </c>
      <c r="Q52" s="121">
        <v>0</v>
      </c>
      <c r="R52" s="137">
        <f t="shared" si="3"/>
        <v>480000</v>
      </c>
      <c r="S52" s="50" t="s">
        <v>640</v>
      </c>
      <c r="T52" s="50" t="s">
        <v>867</v>
      </c>
      <c r="U52" s="50" t="s">
        <v>868</v>
      </c>
      <c r="V52" s="50" t="s">
        <v>605</v>
      </c>
      <c r="W52" s="50" t="s">
        <v>645</v>
      </c>
      <c r="X52" s="50" t="s">
        <v>935</v>
      </c>
      <c r="Y52" s="50" t="s">
        <v>870</v>
      </c>
      <c r="Z52" s="50" t="s">
        <v>871</v>
      </c>
      <c r="AA52" s="50" t="s">
        <v>872</v>
      </c>
      <c r="AB52" s="50" t="s">
        <v>873</v>
      </c>
    </row>
    <row r="53" spans="1:28" ht="64" x14ac:dyDescent="0.2">
      <c r="A53" s="50" t="s">
        <v>938</v>
      </c>
      <c r="B53" s="50" t="s">
        <v>776</v>
      </c>
      <c r="C53" s="50" t="s">
        <v>557</v>
      </c>
      <c r="D53" s="50" t="s">
        <v>934</v>
      </c>
      <c r="E53" s="117">
        <v>30</v>
      </c>
      <c r="F53" s="50" t="s">
        <v>864</v>
      </c>
      <c r="G53" s="50" t="s">
        <v>865</v>
      </c>
      <c r="H53" s="117">
        <v>15</v>
      </c>
      <c r="I53" s="50" t="s">
        <v>864</v>
      </c>
      <c r="J53" s="50" t="s">
        <v>866</v>
      </c>
      <c r="K53" s="118">
        <v>3600</v>
      </c>
      <c r="L53" s="134">
        <f t="shared" si="0"/>
        <v>10800</v>
      </c>
      <c r="M53" s="135">
        <f t="shared" si="1"/>
        <v>5.3571428571428568</v>
      </c>
      <c r="N53" s="121">
        <v>0</v>
      </c>
      <c r="O53" s="137">
        <f t="shared" si="2"/>
        <v>540000</v>
      </c>
      <c r="P53" s="121">
        <v>0</v>
      </c>
      <c r="Q53" s="121">
        <v>0</v>
      </c>
      <c r="R53" s="137">
        <f t="shared" si="3"/>
        <v>540000</v>
      </c>
      <c r="S53" s="50" t="s">
        <v>640</v>
      </c>
      <c r="T53" s="50" t="s">
        <v>867</v>
      </c>
      <c r="U53" s="50" t="s">
        <v>868</v>
      </c>
      <c r="V53" s="50" t="s">
        <v>605</v>
      </c>
      <c r="W53" s="50" t="s">
        <v>645</v>
      </c>
      <c r="X53" s="50" t="s">
        <v>935</v>
      </c>
      <c r="Y53" s="50" t="s">
        <v>870</v>
      </c>
      <c r="Z53" s="50" t="s">
        <v>871</v>
      </c>
      <c r="AA53" s="50" t="s">
        <v>872</v>
      </c>
      <c r="AB53" s="50" t="s">
        <v>873</v>
      </c>
    </row>
    <row r="54" spans="1:28" ht="64" x14ac:dyDescent="0.2">
      <c r="A54" s="50" t="s">
        <v>939</v>
      </c>
      <c r="B54" s="50" t="s">
        <v>776</v>
      </c>
      <c r="C54" s="50" t="s">
        <v>558</v>
      </c>
      <c r="D54" s="50" t="s">
        <v>934</v>
      </c>
      <c r="E54" s="117">
        <v>30</v>
      </c>
      <c r="F54" s="50" t="s">
        <v>864</v>
      </c>
      <c r="G54" s="50" t="s">
        <v>865</v>
      </c>
      <c r="H54" s="117">
        <v>15</v>
      </c>
      <c r="I54" s="50" t="s">
        <v>864</v>
      </c>
      <c r="J54" s="50" t="s">
        <v>866</v>
      </c>
      <c r="K54" s="118">
        <v>2600</v>
      </c>
      <c r="L54" s="134">
        <f t="shared" si="0"/>
        <v>7800</v>
      </c>
      <c r="M54" s="135">
        <f t="shared" si="1"/>
        <v>3.8690476190476191</v>
      </c>
      <c r="N54" s="121">
        <v>0</v>
      </c>
      <c r="O54" s="137">
        <f t="shared" si="2"/>
        <v>390000</v>
      </c>
      <c r="P54" s="121">
        <v>0</v>
      </c>
      <c r="Q54" s="121">
        <v>0</v>
      </c>
      <c r="R54" s="137">
        <f t="shared" si="3"/>
        <v>390000</v>
      </c>
      <c r="S54" s="50" t="s">
        <v>640</v>
      </c>
      <c r="T54" s="50" t="s">
        <v>867</v>
      </c>
      <c r="U54" s="50" t="s">
        <v>868</v>
      </c>
      <c r="V54" s="50" t="s">
        <v>605</v>
      </c>
      <c r="W54" s="50" t="s">
        <v>645</v>
      </c>
      <c r="X54" s="50" t="s">
        <v>935</v>
      </c>
      <c r="Y54" s="50" t="s">
        <v>870</v>
      </c>
      <c r="Z54" s="50" t="s">
        <v>871</v>
      </c>
      <c r="AA54" s="50" t="s">
        <v>872</v>
      </c>
      <c r="AB54" s="50" t="s">
        <v>873</v>
      </c>
    </row>
    <row r="55" spans="1:28" x14ac:dyDescent="0.2">
      <c r="A55" s="50"/>
      <c r="B55" s="50"/>
      <c r="C55" s="50"/>
      <c r="D55" s="50"/>
      <c r="E55" s="50"/>
      <c r="F55" s="50"/>
      <c r="G55" s="50"/>
      <c r="H55" s="50"/>
      <c r="I55" s="50"/>
      <c r="J55" s="50"/>
      <c r="K55" s="50"/>
      <c r="L55" s="136">
        <f t="shared" si="0"/>
        <v>0</v>
      </c>
      <c r="M55" s="136">
        <f t="shared" si="1"/>
        <v>0</v>
      </c>
      <c r="N55" s="54"/>
      <c r="O55" s="138">
        <f t="shared" si="2"/>
        <v>0</v>
      </c>
      <c r="P55" s="54"/>
      <c r="Q55" s="54"/>
      <c r="R55" s="138">
        <f t="shared" si="3"/>
        <v>0</v>
      </c>
      <c r="S55" s="50"/>
      <c r="T55" s="50"/>
      <c r="U55" s="50"/>
      <c r="V55" s="50"/>
      <c r="W55" s="50"/>
      <c r="X55" s="50"/>
      <c r="Y55" s="50"/>
      <c r="Z55" s="50"/>
      <c r="AA55" s="50"/>
      <c r="AB55" s="50"/>
    </row>
    <row r="56" spans="1:28" x14ac:dyDescent="0.2">
      <c r="A56" s="50"/>
      <c r="B56" s="50"/>
      <c r="C56" s="50"/>
      <c r="D56" s="50"/>
      <c r="E56" s="50"/>
      <c r="F56" s="50"/>
      <c r="G56" s="50"/>
      <c r="H56" s="50"/>
      <c r="I56" s="50"/>
      <c r="J56" s="50"/>
      <c r="K56" s="50"/>
      <c r="L56" s="136">
        <f t="shared" si="0"/>
        <v>0</v>
      </c>
      <c r="M56" s="136">
        <f t="shared" si="1"/>
        <v>0</v>
      </c>
      <c r="N56" s="54"/>
      <c r="O56" s="138">
        <f t="shared" si="2"/>
        <v>0</v>
      </c>
      <c r="P56" s="54"/>
      <c r="Q56" s="54"/>
      <c r="R56" s="138">
        <f t="shared" si="3"/>
        <v>0</v>
      </c>
      <c r="S56" s="50"/>
      <c r="T56" s="50"/>
      <c r="U56" s="50"/>
      <c r="V56" s="50"/>
      <c r="W56" s="50"/>
      <c r="X56" s="50"/>
      <c r="Y56" s="50"/>
      <c r="Z56" s="50"/>
      <c r="AA56" s="50"/>
      <c r="AB56" s="50"/>
    </row>
    <row r="57" spans="1:28" x14ac:dyDescent="0.2">
      <c r="A57" s="50"/>
      <c r="B57" s="50"/>
      <c r="C57" s="50"/>
      <c r="D57" s="50"/>
      <c r="E57" s="50"/>
      <c r="F57" s="50"/>
      <c r="G57" s="50"/>
      <c r="H57" s="50"/>
      <c r="I57" s="50"/>
      <c r="J57" s="50"/>
      <c r="K57" s="50"/>
      <c r="L57" s="136">
        <f t="shared" si="0"/>
        <v>0</v>
      </c>
      <c r="M57" s="136">
        <f t="shared" si="1"/>
        <v>0</v>
      </c>
      <c r="N57" s="54"/>
      <c r="O57" s="138">
        <f t="shared" si="2"/>
        <v>0</v>
      </c>
      <c r="P57" s="54"/>
      <c r="Q57" s="54"/>
      <c r="R57" s="138">
        <f t="shared" si="3"/>
        <v>0</v>
      </c>
      <c r="S57" s="50"/>
      <c r="T57" s="50"/>
      <c r="U57" s="50"/>
      <c r="V57" s="50"/>
      <c r="W57" s="50"/>
      <c r="X57" s="50"/>
      <c r="Y57" s="50"/>
      <c r="Z57" s="50"/>
      <c r="AA57" s="50"/>
      <c r="AB57" s="50"/>
    </row>
    <row r="58" spans="1:28" x14ac:dyDescent="0.2">
      <c r="A58" s="50"/>
      <c r="B58" s="50"/>
      <c r="C58" s="50"/>
      <c r="D58" s="50"/>
      <c r="E58" s="50"/>
      <c r="F58" s="50"/>
      <c r="G58" s="50"/>
      <c r="H58" s="50"/>
      <c r="I58" s="50"/>
      <c r="J58" s="50"/>
      <c r="K58" s="50"/>
      <c r="L58" s="136">
        <f t="shared" si="0"/>
        <v>0</v>
      </c>
      <c r="M58" s="136">
        <f t="shared" si="1"/>
        <v>0</v>
      </c>
      <c r="N58" s="54"/>
      <c r="O58" s="138">
        <f t="shared" si="2"/>
        <v>0</v>
      </c>
      <c r="P58" s="54"/>
      <c r="Q58" s="54"/>
      <c r="R58" s="138">
        <f t="shared" si="3"/>
        <v>0</v>
      </c>
      <c r="S58" s="50"/>
      <c r="T58" s="50"/>
      <c r="U58" s="50"/>
      <c r="V58" s="50"/>
      <c r="W58" s="50"/>
      <c r="X58" s="50"/>
      <c r="Y58" s="50"/>
      <c r="Z58" s="50"/>
      <c r="AA58" s="50"/>
      <c r="AB58" s="50"/>
    </row>
    <row r="59" spans="1:28" x14ac:dyDescent="0.2">
      <c r="A59" s="50"/>
      <c r="B59" s="50"/>
      <c r="C59" s="50"/>
      <c r="D59" s="50"/>
      <c r="E59" s="50"/>
      <c r="F59" s="50"/>
      <c r="G59" s="50"/>
      <c r="H59" s="50"/>
      <c r="I59" s="50"/>
      <c r="J59" s="50"/>
      <c r="K59" s="50"/>
      <c r="L59" s="136">
        <f t="shared" si="0"/>
        <v>0</v>
      </c>
      <c r="M59" s="136">
        <f t="shared" si="1"/>
        <v>0</v>
      </c>
      <c r="N59" s="54"/>
      <c r="O59" s="138">
        <f t="shared" si="2"/>
        <v>0</v>
      </c>
      <c r="P59" s="54"/>
      <c r="Q59" s="54"/>
      <c r="R59" s="138">
        <f t="shared" si="3"/>
        <v>0</v>
      </c>
      <c r="S59" s="50"/>
      <c r="T59" s="50"/>
      <c r="U59" s="50"/>
      <c r="V59" s="50"/>
      <c r="W59" s="50"/>
      <c r="X59" s="50"/>
      <c r="Y59" s="50"/>
      <c r="Z59" s="50"/>
      <c r="AA59" s="50"/>
      <c r="AB59" s="50"/>
    </row>
    <row r="60" spans="1:28" x14ac:dyDescent="0.2">
      <c r="A60" s="50"/>
      <c r="B60" s="50"/>
      <c r="C60" s="50"/>
      <c r="D60" s="50"/>
      <c r="E60" s="50"/>
      <c r="F60" s="50"/>
      <c r="G60" s="50"/>
      <c r="H60" s="50"/>
      <c r="I60" s="50"/>
      <c r="J60" s="50"/>
      <c r="K60" s="50"/>
      <c r="L60" s="136">
        <f t="shared" si="0"/>
        <v>0</v>
      </c>
      <c r="M60" s="136">
        <f t="shared" si="1"/>
        <v>0</v>
      </c>
      <c r="N60" s="54"/>
      <c r="O60" s="138">
        <f t="shared" si="2"/>
        <v>0</v>
      </c>
      <c r="P60" s="54"/>
      <c r="Q60" s="54"/>
      <c r="R60" s="138">
        <f t="shared" si="3"/>
        <v>0</v>
      </c>
      <c r="S60" s="50"/>
      <c r="T60" s="50"/>
      <c r="U60" s="50"/>
      <c r="V60" s="50"/>
      <c r="W60" s="50"/>
      <c r="X60" s="50"/>
      <c r="Y60" s="50"/>
      <c r="Z60" s="50"/>
      <c r="AA60" s="50"/>
      <c r="AB60" s="50"/>
    </row>
    <row r="61" spans="1:28" x14ac:dyDescent="0.2">
      <c r="A61" s="50"/>
      <c r="B61" s="50"/>
      <c r="C61" s="50"/>
      <c r="D61" s="50"/>
      <c r="E61" s="50"/>
      <c r="F61" s="50"/>
      <c r="G61" s="50"/>
      <c r="H61" s="50"/>
      <c r="I61" s="50"/>
      <c r="J61" s="50"/>
      <c r="K61" s="50"/>
      <c r="L61" s="136">
        <f t="shared" si="0"/>
        <v>0</v>
      </c>
      <c r="M61" s="136">
        <f t="shared" si="1"/>
        <v>0</v>
      </c>
      <c r="N61" s="54"/>
      <c r="O61" s="138">
        <f t="shared" si="2"/>
        <v>0</v>
      </c>
      <c r="P61" s="54"/>
      <c r="Q61" s="54"/>
      <c r="R61" s="138">
        <f t="shared" si="3"/>
        <v>0</v>
      </c>
      <c r="S61" s="50"/>
      <c r="T61" s="50"/>
      <c r="U61" s="50"/>
      <c r="V61" s="50"/>
      <c r="W61" s="50"/>
      <c r="X61" s="50"/>
      <c r="Y61" s="50"/>
      <c r="Z61" s="50"/>
      <c r="AA61" s="50"/>
      <c r="AB61" s="50"/>
    </row>
    <row r="62" spans="1:28" x14ac:dyDescent="0.2">
      <c r="A62" s="50"/>
      <c r="B62" s="50"/>
      <c r="C62" s="50"/>
      <c r="D62" s="50"/>
      <c r="E62" s="50"/>
      <c r="F62" s="50"/>
      <c r="G62" s="50"/>
      <c r="H62" s="50"/>
      <c r="I62" s="50"/>
      <c r="J62" s="50"/>
      <c r="K62" s="50"/>
      <c r="L62" s="136">
        <f t="shared" si="0"/>
        <v>0</v>
      </c>
      <c r="M62" s="136">
        <f t="shared" si="1"/>
        <v>0</v>
      </c>
      <c r="N62" s="54"/>
      <c r="O62" s="138">
        <f t="shared" si="2"/>
        <v>0</v>
      </c>
      <c r="P62" s="54"/>
      <c r="Q62" s="54"/>
      <c r="R62" s="138">
        <f t="shared" si="3"/>
        <v>0</v>
      </c>
      <c r="S62" s="50"/>
      <c r="T62" s="50"/>
      <c r="U62" s="50"/>
      <c r="V62" s="50"/>
      <c r="W62" s="50"/>
      <c r="X62" s="50"/>
      <c r="Y62" s="50"/>
      <c r="Z62" s="50"/>
      <c r="AA62" s="50"/>
      <c r="AB62" s="50"/>
    </row>
    <row r="63" spans="1:28" x14ac:dyDescent="0.2">
      <c r="A63" s="50"/>
      <c r="B63" s="50"/>
      <c r="C63" s="50"/>
      <c r="D63" s="50"/>
      <c r="E63" s="50"/>
      <c r="F63" s="50"/>
      <c r="G63" s="50"/>
      <c r="H63" s="50"/>
      <c r="I63" s="50"/>
      <c r="J63" s="50"/>
      <c r="K63" s="50"/>
      <c r="L63" s="136">
        <f t="shared" si="0"/>
        <v>0</v>
      </c>
      <c r="M63" s="136">
        <f t="shared" si="1"/>
        <v>0</v>
      </c>
      <c r="N63" s="54"/>
      <c r="O63" s="138">
        <f t="shared" si="2"/>
        <v>0</v>
      </c>
      <c r="P63" s="54"/>
      <c r="Q63" s="54"/>
      <c r="R63" s="138">
        <f t="shared" si="3"/>
        <v>0</v>
      </c>
      <c r="S63" s="50"/>
      <c r="T63" s="50"/>
      <c r="U63" s="50"/>
      <c r="V63" s="50"/>
      <c r="W63" s="50"/>
      <c r="X63" s="50"/>
      <c r="Y63" s="50"/>
      <c r="Z63" s="50"/>
      <c r="AA63" s="50"/>
      <c r="AB63" s="50"/>
    </row>
    <row r="64" spans="1:28" x14ac:dyDescent="0.2">
      <c r="A64" s="50"/>
      <c r="B64" s="50"/>
      <c r="C64" s="50"/>
      <c r="D64" s="50"/>
      <c r="E64" s="50"/>
      <c r="F64" s="50"/>
      <c r="G64" s="50"/>
      <c r="H64" s="50"/>
      <c r="I64" s="50"/>
      <c r="J64" s="50"/>
      <c r="K64" s="50"/>
      <c r="L64" s="136">
        <f t="shared" si="0"/>
        <v>0</v>
      </c>
      <c r="M64" s="136">
        <f t="shared" si="1"/>
        <v>0</v>
      </c>
      <c r="N64" s="54"/>
      <c r="O64" s="138">
        <f t="shared" si="2"/>
        <v>0</v>
      </c>
      <c r="P64" s="54"/>
      <c r="Q64" s="54"/>
      <c r="R64" s="138">
        <f t="shared" si="3"/>
        <v>0</v>
      </c>
      <c r="S64" s="50"/>
      <c r="T64" s="50"/>
      <c r="U64" s="50"/>
      <c r="V64" s="50"/>
      <c r="W64" s="50"/>
      <c r="X64" s="50"/>
      <c r="Y64" s="50"/>
      <c r="Z64" s="50"/>
      <c r="AA64" s="50"/>
      <c r="AB64" s="50"/>
    </row>
    <row r="65" spans="1:28" x14ac:dyDescent="0.2">
      <c r="A65" s="50"/>
      <c r="B65" s="50"/>
      <c r="C65" s="50"/>
      <c r="D65" s="50"/>
      <c r="E65" s="50"/>
      <c r="F65" s="50"/>
      <c r="G65" s="50"/>
      <c r="H65" s="50"/>
      <c r="I65" s="50"/>
      <c r="J65" s="50"/>
      <c r="K65" s="50"/>
      <c r="L65" s="136">
        <f t="shared" si="0"/>
        <v>0</v>
      </c>
      <c r="M65" s="136">
        <f t="shared" si="1"/>
        <v>0</v>
      </c>
      <c r="N65" s="54"/>
      <c r="O65" s="138">
        <f t="shared" si="2"/>
        <v>0</v>
      </c>
      <c r="P65" s="54"/>
      <c r="Q65" s="54"/>
      <c r="R65" s="138">
        <f t="shared" si="3"/>
        <v>0</v>
      </c>
      <c r="S65" s="50"/>
      <c r="T65" s="50"/>
      <c r="U65" s="50"/>
      <c r="V65" s="50"/>
      <c r="W65" s="50"/>
      <c r="X65" s="50"/>
      <c r="Y65" s="50"/>
      <c r="Z65" s="50"/>
      <c r="AA65" s="50"/>
      <c r="AB65" s="50"/>
    </row>
    <row r="66" spans="1:28" x14ac:dyDescent="0.2">
      <c r="A66" s="50"/>
      <c r="B66" s="50"/>
      <c r="C66" s="50"/>
      <c r="D66" s="50"/>
      <c r="E66" s="50"/>
      <c r="F66" s="50"/>
      <c r="G66" s="50"/>
      <c r="H66" s="50"/>
      <c r="I66" s="50"/>
      <c r="J66" s="50"/>
      <c r="K66" s="50"/>
      <c r="L66" s="136">
        <f t="shared" si="0"/>
        <v>0</v>
      </c>
      <c r="M66" s="136">
        <f t="shared" si="1"/>
        <v>0</v>
      </c>
      <c r="N66" s="54"/>
      <c r="O66" s="138">
        <f t="shared" si="2"/>
        <v>0</v>
      </c>
      <c r="P66" s="54"/>
      <c r="Q66" s="54"/>
      <c r="R66" s="138">
        <f t="shared" si="3"/>
        <v>0</v>
      </c>
      <c r="S66" s="50"/>
      <c r="T66" s="50"/>
      <c r="U66" s="50"/>
      <c r="V66" s="50"/>
      <c r="W66" s="50"/>
      <c r="X66" s="50"/>
      <c r="Y66" s="50"/>
      <c r="Z66" s="50"/>
      <c r="AA66" s="50"/>
      <c r="AB66" s="50"/>
    </row>
    <row r="67" spans="1:28" x14ac:dyDescent="0.2">
      <c r="A67" s="50"/>
      <c r="B67" s="50"/>
      <c r="C67" s="50"/>
      <c r="D67" s="50"/>
      <c r="E67" s="50"/>
      <c r="F67" s="50"/>
      <c r="G67" s="50"/>
      <c r="H67" s="50"/>
      <c r="I67" s="50"/>
      <c r="J67" s="50"/>
      <c r="K67" s="50"/>
      <c r="L67" s="136">
        <f t="shared" si="0"/>
        <v>0</v>
      </c>
      <c r="M67" s="136">
        <f t="shared" si="1"/>
        <v>0</v>
      </c>
      <c r="N67" s="54"/>
      <c r="O67" s="138">
        <f t="shared" si="2"/>
        <v>0</v>
      </c>
      <c r="P67" s="54"/>
      <c r="Q67" s="54"/>
      <c r="R67" s="138">
        <f t="shared" si="3"/>
        <v>0</v>
      </c>
      <c r="S67" s="50"/>
      <c r="T67" s="50"/>
      <c r="U67" s="50"/>
      <c r="V67" s="50"/>
      <c r="W67" s="50"/>
      <c r="X67" s="50"/>
      <c r="Y67" s="50"/>
      <c r="Z67" s="50"/>
      <c r="AA67" s="50"/>
      <c r="AB67" s="50"/>
    </row>
    <row r="68" spans="1:28" x14ac:dyDescent="0.2">
      <c r="A68" s="50"/>
      <c r="B68" s="50"/>
      <c r="C68" s="50"/>
      <c r="D68" s="50"/>
      <c r="E68" s="50"/>
      <c r="F68" s="50"/>
      <c r="G68" s="50"/>
      <c r="H68" s="50"/>
      <c r="I68" s="50"/>
      <c r="J68" s="50"/>
      <c r="K68" s="50"/>
      <c r="L68" s="136">
        <f t="shared" si="0"/>
        <v>0</v>
      </c>
      <c r="M68" s="136">
        <f t="shared" si="1"/>
        <v>0</v>
      </c>
      <c r="N68" s="54"/>
      <c r="O68" s="138">
        <f t="shared" si="2"/>
        <v>0</v>
      </c>
      <c r="P68" s="54"/>
      <c r="Q68" s="54"/>
      <c r="R68" s="138">
        <f t="shared" si="3"/>
        <v>0</v>
      </c>
      <c r="S68" s="50"/>
      <c r="T68" s="50"/>
      <c r="U68" s="50"/>
      <c r="V68" s="50"/>
      <c r="W68" s="50"/>
      <c r="X68" s="50"/>
      <c r="Y68" s="50"/>
      <c r="Z68" s="50"/>
      <c r="AA68" s="50"/>
      <c r="AB68" s="50"/>
    </row>
    <row r="69" spans="1:28" x14ac:dyDescent="0.2">
      <c r="A69" s="50"/>
      <c r="B69" s="50"/>
      <c r="C69" s="50"/>
      <c r="D69" s="50"/>
      <c r="E69" s="50"/>
      <c r="F69" s="50"/>
      <c r="G69" s="50"/>
      <c r="H69" s="50"/>
      <c r="I69" s="50"/>
      <c r="J69" s="50"/>
      <c r="K69" s="50"/>
      <c r="L69" s="136">
        <f t="shared" ref="L69:L132" si="4">IFERROR(K69*(E69-H69)/60*12,0)</f>
        <v>0</v>
      </c>
      <c r="M69" s="136">
        <f t="shared" ref="M69:M132" si="5">IFERROR(L69/(8*21*12),0)</f>
        <v>0</v>
      </c>
      <c r="N69" s="54"/>
      <c r="O69" s="138">
        <f t="shared" ref="O69:O132" si="6">L69*50</f>
        <v>0</v>
      </c>
      <c r="P69" s="54"/>
      <c r="Q69" s="54"/>
      <c r="R69" s="138">
        <f t="shared" ref="R69:R132" si="7">SUM(N69:P69)</f>
        <v>0</v>
      </c>
      <c r="S69" s="50"/>
      <c r="T69" s="50"/>
      <c r="U69" s="50"/>
      <c r="V69" s="50"/>
      <c r="W69" s="50"/>
      <c r="X69" s="50"/>
      <c r="Y69" s="50"/>
      <c r="Z69" s="50"/>
      <c r="AA69" s="50"/>
      <c r="AB69" s="50"/>
    </row>
    <row r="70" spans="1:28" x14ac:dyDescent="0.2">
      <c r="A70" s="50"/>
      <c r="B70" s="50"/>
      <c r="C70" s="50"/>
      <c r="D70" s="50"/>
      <c r="E70" s="50"/>
      <c r="F70" s="50"/>
      <c r="G70" s="50"/>
      <c r="H70" s="50"/>
      <c r="I70" s="50"/>
      <c r="J70" s="50"/>
      <c r="K70" s="50"/>
      <c r="L70" s="136">
        <f t="shared" si="4"/>
        <v>0</v>
      </c>
      <c r="M70" s="136">
        <f t="shared" si="5"/>
        <v>0</v>
      </c>
      <c r="N70" s="54"/>
      <c r="O70" s="138">
        <f t="shared" si="6"/>
        <v>0</v>
      </c>
      <c r="P70" s="54"/>
      <c r="Q70" s="54"/>
      <c r="R70" s="138">
        <f t="shared" si="7"/>
        <v>0</v>
      </c>
      <c r="S70" s="50"/>
      <c r="T70" s="50"/>
      <c r="U70" s="50"/>
      <c r="V70" s="50"/>
      <c r="W70" s="50"/>
      <c r="X70" s="50"/>
      <c r="Y70" s="50"/>
      <c r="Z70" s="50"/>
      <c r="AA70" s="50"/>
      <c r="AB70" s="50"/>
    </row>
    <row r="71" spans="1:28" x14ac:dyDescent="0.2">
      <c r="A71" s="50"/>
      <c r="B71" s="50"/>
      <c r="C71" s="50"/>
      <c r="D71" s="50"/>
      <c r="E71" s="50"/>
      <c r="F71" s="50"/>
      <c r="G71" s="50"/>
      <c r="H71" s="50"/>
      <c r="I71" s="50"/>
      <c r="J71" s="50"/>
      <c r="K71" s="50"/>
      <c r="L71" s="136">
        <f t="shared" si="4"/>
        <v>0</v>
      </c>
      <c r="M71" s="136">
        <f t="shared" si="5"/>
        <v>0</v>
      </c>
      <c r="N71" s="54"/>
      <c r="O71" s="138">
        <f t="shared" si="6"/>
        <v>0</v>
      </c>
      <c r="P71" s="54"/>
      <c r="Q71" s="54"/>
      <c r="R71" s="138">
        <f t="shared" si="7"/>
        <v>0</v>
      </c>
      <c r="S71" s="50"/>
      <c r="T71" s="50"/>
      <c r="U71" s="50"/>
      <c r="V71" s="50"/>
      <c r="W71" s="50"/>
      <c r="X71" s="50"/>
      <c r="Y71" s="50"/>
      <c r="Z71" s="50"/>
      <c r="AA71" s="50"/>
      <c r="AB71" s="50"/>
    </row>
    <row r="72" spans="1:28" x14ac:dyDescent="0.2">
      <c r="A72" s="50"/>
      <c r="B72" s="50"/>
      <c r="C72" s="50"/>
      <c r="D72" s="50"/>
      <c r="E72" s="50"/>
      <c r="F72" s="50"/>
      <c r="G72" s="50"/>
      <c r="H72" s="50"/>
      <c r="I72" s="50"/>
      <c r="J72" s="50"/>
      <c r="K72" s="50"/>
      <c r="L72" s="136">
        <f t="shared" si="4"/>
        <v>0</v>
      </c>
      <c r="M72" s="136">
        <f t="shared" si="5"/>
        <v>0</v>
      </c>
      <c r="N72" s="54"/>
      <c r="O72" s="138">
        <f t="shared" si="6"/>
        <v>0</v>
      </c>
      <c r="P72" s="54"/>
      <c r="Q72" s="54"/>
      <c r="R72" s="138">
        <f t="shared" si="7"/>
        <v>0</v>
      </c>
      <c r="S72" s="50"/>
      <c r="T72" s="50"/>
      <c r="U72" s="50"/>
      <c r="V72" s="50"/>
      <c r="W72" s="50"/>
      <c r="X72" s="50"/>
      <c r="Y72" s="50"/>
      <c r="Z72" s="50"/>
      <c r="AA72" s="50"/>
      <c r="AB72" s="50"/>
    </row>
    <row r="73" spans="1:28" x14ac:dyDescent="0.2">
      <c r="A73" s="50"/>
      <c r="B73" s="50"/>
      <c r="C73" s="50"/>
      <c r="D73" s="50"/>
      <c r="E73" s="50"/>
      <c r="F73" s="50"/>
      <c r="G73" s="50"/>
      <c r="H73" s="50"/>
      <c r="I73" s="50"/>
      <c r="J73" s="50"/>
      <c r="K73" s="50"/>
      <c r="L73" s="136">
        <f t="shared" si="4"/>
        <v>0</v>
      </c>
      <c r="M73" s="136">
        <f t="shared" si="5"/>
        <v>0</v>
      </c>
      <c r="N73" s="54"/>
      <c r="O73" s="138">
        <f t="shared" si="6"/>
        <v>0</v>
      </c>
      <c r="P73" s="54"/>
      <c r="Q73" s="54"/>
      <c r="R73" s="138">
        <f t="shared" si="7"/>
        <v>0</v>
      </c>
      <c r="S73" s="50"/>
      <c r="T73" s="50"/>
      <c r="U73" s="50"/>
      <c r="V73" s="50"/>
      <c r="W73" s="50"/>
      <c r="X73" s="50"/>
      <c r="Y73" s="50"/>
      <c r="Z73" s="50"/>
      <c r="AA73" s="50"/>
      <c r="AB73" s="50"/>
    </row>
    <row r="74" spans="1:28" x14ac:dyDescent="0.2">
      <c r="A74" s="50"/>
      <c r="B74" s="50"/>
      <c r="C74" s="50"/>
      <c r="D74" s="50"/>
      <c r="E74" s="50"/>
      <c r="F74" s="50"/>
      <c r="G74" s="50"/>
      <c r="H74" s="50"/>
      <c r="I74" s="50"/>
      <c r="J74" s="50"/>
      <c r="K74" s="50"/>
      <c r="L74" s="136">
        <f t="shared" si="4"/>
        <v>0</v>
      </c>
      <c r="M74" s="136">
        <f t="shared" si="5"/>
        <v>0</v>
      </c>
      <c r="N74" s="54"/>
      <c r="O74" s="138">
        <f t="shared" si="6"/>
        <v>0</v>
      </c>
      <c r="P74" s="54"/>
      <c r="Q74" s="54"/>
      <c r="R74" s="138">
        <f t="shared" si="7"/>
        <v>0</v>
      </c>
      <c r="S74" s="50"/>
      <c r="T74" s="50"/>
      <c r="U74" s="50"/>
      <c r="V74" s="50"/>
      <c r="W74" s="50"/>
      <c r="X74" s="50"/>
      <c r="Y74" s="50"/>
      <c r="Z74" s="50"/>
      <c r="AA74" s="50"/>
      <c r="AB74" s="50"/>
    </row>
    <row r="75" spans="1:28" x14ac:dyDescent="0.2">
      <c r="A75" s="50"/>
      <c r="B75" s="50"/>
      <c r="C75" s="50"/>
      <c r="D75" s="50"/>
      <c r="E75" s="50"/>
      <c r="F75" s="50"/>
      <c r="G75" s="50"/>
      <c r="H75" s="50"/>
      <c r="I75" s="50"/>
      <c r="J75" s="50"/>
      <c r="K75" s="50"/>
      <c r="L75" s="136">
        <f t="shared" si="4"/>
        <v>0</v>
      </c>
      <c r="M75" s="136">
        <f t="shared" si="5"/>
        <v>0</v>
      </c>
      <c r="N75" s="54"/>
      <c r="O75" s="138">
        <f t="shared" si="6"/>
        <v>0</v>
      </c>
      <c r="P75" s="54"/>
      <c r="Q75" s="54"/>
      <c r="R75" s="138">
        <f t="shared" si="7"/>
        <v>0</v>
      </c>
      <c r="S75" s="50"/>
      <c r="T75" s="50"/>
      <c r="U75" s="50"/>
      <c r="V75" s="50"/>
      <c r="W75" s="50"/>
      <c r="X75" s="50"/>
      <c r="Y75" s="50"/>
      <c r="Z75" s="50"/>
      <c r="AA75" s="50"/>
      <c r="AB75" s="50"/>
    </row>
    <row r="76" spans="1:28" x14ac:dyDescent="0.2">
      <c r="A76" s="50"/>
      <c r="B76" s="50"/>
      <c r="C76" s="50"/>
      <c r="D76" s="50"/>
      <c r="E76" s="50"/>
      <c r="F76" s="50"/>
      <c r="G76" s="50"/>
      <c r="H76" s="50"/>
      <c r="I76" s="50"/>
      <c r="J76" s="50"/>
      <c r="K76" s="50"/>
      <c r="L76" s="136">
        <f t="shared" si="4"/>
        <v>0</v>
      </c>
      <c r="M76" s="136">
        <f t="shared" si="5"/>
        <v>0</v>
      </c>
      <c r="N76" s="54"/>
      <c r="O76" s="138">
        <f t="shared" si="6"/>
        <v>0</v>
      </c>
      <c r="P76" s="54"/>
      <c r="Q76" s="54"/>
      <c r="R76" s="138">
        <f t="shared" si="7"/>
        <v>0</v>
      </c>
      <c r="S76" s="50"/>
      <c r="T76" s="50"/>
      <c r="U76" s="50"/>
      <c r="V76" s="50"/>
      <c r="W76" s="50"/>
      <c r="X76" s="50"/>
      <c r="Y76" s="50"/>
      <c r="Z76" s="50"/>
      <c r="AA76" s="50"/>
      <c r="AB76" s="50"/>
    </row>
    <row r="77" spans="1:28" x14ac:dyDescent="0.2">
      <c r="A77" s="50"/>
      <c r="B77" s="50"/>
      <c r="C77" s="50"/>
      <c r="D77" s="50"/>
      <c r="E77" s="50"/>
      <c r="F77" s="50"/>
      <c r="G77" s="50"/>
      <c r="H77" s="50"/>
      <c r="I77" s="50"/>
      <c r="J77" s="50"/>
      <c r="K77" s="50"/>
      <c r="L77" s="136">
        <f t="shared" si="4"/>
        <v>0</v>
      </c>
      <c r="M77" s="136">
        <f t="shared" si="5"/>
        <v>0</v>
      </c>
      <c r="N77" s="54"/>
      <c r="O77" s="138">
        <f t="shared" si="6"/>
        <v>0</v>
      </c>
      <c r="P77" s="54"/>
      <c r="Q77" s="54"/>
      <c r="R77" s="138">
        <f t="shared" si="7"/>
        <v>0</v>
      </c>
      <c r="S77" s="50"/>
      <c r="T77" s="50"/>
      <c r="U77" s="50"/>
      <c r="V77" s="50"/>
      <c r="W77" s="50"/>
      <c r="X77" s="50"/>
      <c r="Y77" s="50"/>
      <c r="Z77" s="50"/>
      <c r="AA77" s="50"/>
      <c r="AB77" s="50"/>
    </row>
    <row r="78" spans="1:28" x14ac:dyDescent="0.2">
      <c r="A78" s="50"/>
      <c r="B78" s="50"/>
      <c r="C78" s="50"/>
      <c r="D78" s="50"/>
      <c r="E78" s="50"/>
      <c r="F78" s="50"/>
      <c r="G78" s="50"/>
      <c r="H78" s="50"/>
      <c r="I78" s="50"/>
      <c r="J78" s="50"/>
      <c r="K78" s="50"/>
      <c r="L78" s="136">
        <f t="shared" si="4"/>
        <v>0</v>
      </c>
      <c r="M78" s="136">
        <f t="shared" si="5"/>
        <v>0</v>
      </c>
      <c r="N78" s="54"/>
      <c r="O78" s="138">
        <f t="shared" si="6"/>
        <v>0</v>
      </c>
      <c r="P78" s="54"/>
      <c r="Q78" s="54"/>
      <c r="R78" s="138">
        <f t="shared" si="7"/>
        <v>0</v>
      </c>
      <c r="S78" s="50"/>
      <c r="T78" s="50"/>
      <c r="U78" s="50"/>
      <c r="V78" s="50"/>
      <c r="W78" s="50"/>
      <c r="X78" s="50"/>
      <c r="Y78" s="50"/>
      <c r="Z78" s="50"/>
      <c r="AA78" s="50"/>
      <c r="AB78" s="50"/>
    </row>
    <row r="79" spans="1:28" x14ac:dyDescent="0.2">
      <c r="A79" s="50"/>
      <c r="B79" s="50"/>
      <c r="C79" s="50"/>
      <c r="D79" s="50"/>
      <c r="E79" s="50"/>
      <c r="F79" s="50"/>
      <c r="G79" s="50"/>
      <c r="H79" s="50"/>
      <c r="I79" s="50"/>
      <c r="J79" s="50"/>
      <c r="K79" s="50"/>
      <c r="L79" s="136">
        <f t="shared" si="4"/>
        <v>0</v>
      </c>
      <c r="M79" s="136">
        <f t="shared" si="5"/>
        <v>0</v>
      </c>
      <c r="N79" s="54"/>
      <c r="O79" s="138">
        <f t="shared" si="6"/>
        <v>0</v>
      </c>
      <c r="P79" s="54"/>
      <c r="Q79" s="54"/>
      <c r="R79" s="138">
        <f t="shared" si="7"/>
        <v>0</v>
      </c>
      <c r="S79" s="50"/>
      <c r="T79" s="50"/>
      <c r="U79" s="50"/>
      <c r="V79" s="50"/>
      <c r="W79" s="50"/>
      <c r="X79" s="50"/>
      <c r="Y79" s="50"/>
      <c r="Z79" s="50"/>
      <c r="AA79" s="50"/>
      <c r="AB79" s="50"/>
    </row>
    <row r="80" spans="1:28" x14ac:dyDescent="0.2">
      <c r="A80" s="50"/>
      <c r="B80" s="50"/>
      <c r="C80" s="50"/>
      <c r="D80" s="50"/>
      <c r="E80" s="50"/>
      <c r="F80" s="50"/>
      <c r="G80" s="50"/>
      <c r="H80" s="50"/>
      <c r="I80" s="50"/>
      <c r="J80" s="50"/>
      <c r="K80" s="50"/>
      <c r="L80" s="136">
        <f t="shared" si="4"/>
        <v>0</v>
      </c>
      <c r="M80" s="136">
        <f t="shared" si="5"/>
        <v>0</v>
      </c>
      <c r="N80" s="54"/>
      <c r="O80" s="138">
        <f t="shared" si="6"/>
        <v>0</v>
      </c>
      <c r="P80" s="54"/>
      <c r="Q80" s="54"/>
      <c r="R80" s="138">
        <f t="shared" si="7"/>
        <v>0</v>
      </c>
      <c r="S80" s="50"/>
      <c r="T80" s="50"/>
      <c r="U80" s="50"/>
      <c r="V80" s="50"/>
      <c r="W80" s="50"/>
      <c r="X80" s="50"/>
      <c r="Y80" s="50"/>
      <c r="Z80" s="50"/>
      <c r="AA80" s="50"/>
      <c r="AB80" s="50"/>
    </row>
    <row r="81" spans="1:28" x14ac:dyDescent="0.2">
      <c r="A81" s="50"/>
      <c r="B81" s="50"/>
      <c r="C81" s="50"/>
      <c r="D81" s="50"/>
      <c r="E81" s="50"/>
      <c r="F81" s="50"/>
      <c r="G81" s="50"/>
      <c r="H81" s="50"/>
      <c r="I81" s="50"/>
      <c r="J81" s="50"/>
      <c r="K81" s="50"/>
      <c r="L81" s="136">
        <f t="shared" si="4"/>
        <v>0</v>
      </c>
      <c r="M81" s="136">
        <f t="shared" si="5"/>
        <v>0</v>
      </c>
      <c r="N81" s="54"/>
      <c r="O81" s="138">
        <f t="shared" si="6"/>
        <v>0</v>
      </c>
      <c r="P81" s="54"/>
      <c r="Q81" s="54"/>
      <c r="R81" s="138">
        <f t="shared" si="7"/>
        <v>0</v>
      </c>
      <c r="S81" s="50"/>
      <c r="T81" s="50"/>
      <c r="U81" s="50"/>
      <c r="V81" s="50"/>
      <c r="W81" s="50"/>
      <c r="X81" s="50"/>
      <c r="Y81" s="50"/>
      <c r="Z81" s="50"/>
      <c r="AA81" s="50"/>
      <c r="AB81" s="50"/>
    </row>
    <row r="82" spans="1:28" x14ac:dyDescent="0.2">
      <c r="A82" s="50"/>
      <c r="B82" s="50"/>
      <c r="C82" s="50"/>
      <c r="D82" s="50"/>
      <c r="E82" s="50"/>
      <c r="F82" s="50"/>
      <c r="G82" s="50"/>
      <c r="H82" s="50"/>
      <c r="I82" s="50"/>
      <c r="J82" s="50"/>
      <c r="K82" s="50"/>
      <c r="L82" s="136">
        <f t="shared" si="4"/>
        <v>0</v>
      </c>
      <c r="M82" s="136">
        <f t="shared" si="5"/>
        <v>0</v>
      </c>
      <c r="N82" s="54"/>
      <c r="O82" s="138">
        <f t="shared" si="6"/>
        <v>0</v>
      </c>
      <c r="P82" s="54"/>
      <c r="Q82" s="54"/>
      <c r="R82" s="138">
        <f t="shared" si="7"/>
        <v>0</v>
      </c>
      <c r="S82" s="50"/>
      <c r="T82" s="50"/>
      <c r="U82" s="50"/>
      <c r="V82" s="50"/>
      <c r="W82" s="50"/>
      <c r="X82" s="50"/>
      <c r="Y82" s="50"/>
      <c r="Z82" s="50"/>
      <c r="AA82" s="50"/>
      <c r="AB82" s="50"/>
    </row>
    <row r="83" spans="1:28" x14ac:dyDescent="0.2">
      <c r="A83" s="50"/>
      <c r="B83" s="50"/>
      <c r="C83" s="50"/>
      <c r="D83" s="50"/>
      <c r="E83" s="50"/>
      <c r="F83" s="50"/>
      <c r="G83" s="50"/>
      <c r="H83" s="50"/>
      <c r="I83" s="50"/>
      <c r="J83" s="50"/>
      <c r="K83" s="50"/>
      <c r="L83" s="136">
        <f t="shared" si="4"/>
        <v>0</v>
      </c>
      <c r="M83" s="136">
        <f t="shared" si="5"/>
        <v>0</v>
      </c>
      <c r="N83" s="54"/>
      <c r="O83" s="138">
        <f t="shared" si="6"/>
        <v>0</v>
      </c>
      <c r="P83" s="54"/>
      <c r="Q83" s="54"/>
      <c r="R83" s="138">
        <f t="shared" si="7"/>
        <v>0</v>
      </c>
      <c r="S83" s="50"/>
      <c r="T83" s="50"/>
      <c r="U83" s="50"/>
      <c r="V83" s="50"/>
      <c r="W83" s="50"/>
      <c r="X83" s="50"/>
      <c r="Y83" s="50"/>
      <c r="Z83" s="50"/>
      <c r="AA83" s="50"/>
      <c r="AB83" s="50"/>
    </row>
    <row r="84" spans="1:28" x14ac:dyDescent="0.2">
      <c r="A84" s="50"/>
      <c r="B84" s="50"/>
      <c r="C84" s="50"/>
      <c r="D84" s="50"/>
      <c r="E84" s="50"/>
      <c r="F84" s="50"/>
      <c r="G84" s="50"/>
      <c r="H84" s="50"/>
      <c r="I84" s="50"/>
      <c r="J84" s="50"/>
      <c r="K84" s="50"/>
      <c r="L84" s="136">
        <f t="shared" si="4"/>
        <v>0</v>
      </c>
      <c r="M84" s="136">
        <f t="shared" si="5"/>
        <v>0</v>
      </c>
      <c r="N84" s="54"/>
      <c r="O84" s="138">
        <f t="shared" si="6"/>
        <v>0</v>
      </c>
      <c r="P84" s="54"/>
      <c r="Q84" s="54"/>
      <c r="R84" s="138">
        <f t="shared" si="7"/>
        <v>0</v>
      </c>
      <c r="S84" s="50"/>
      <c r="T84" s="50"/>
      <c r="U84" s="50"/>
      <c r="V84" s="50"/>
      <c r="W84" s="50"/>
      <c r="X84" s="50"/>
      <c r="Y84" s="50"/>
      <c r="Z84" s="50"/>
      <c r="AA84" s="50"/>
      <c r="AB84" s="50"/>
    </row>
    <row r="85" spans="1:28" x14ac:dyDescent="0.2">
      <c r="A85" s="50"/>
      <c r="B85" s="50"/>
      <c r="C85" s="50"/>
      <c r="D85" s="50"/>
      <c r="E85" s="50"/>
      <c r="F85" s="50"/>
      <c r="G85" s="50"/>
      <c r="H85" s="50"/>
      <c r="I85" s="50"/>
      <c r="J85" s="50"/>
      <c r="K85" s="50"/>
      <c r="L85" s="136">
        <f t="shared" si="4"/>
        <v>0</v>
      </c>
      <c r="M85" s="136">
        <f t="shared" si="5"/>
        <v>0</v>
      </c>
      <c r="N85" s="54"/>
      <c r="O85" s="138">
        <f t="shared" si="6"/>
        <v>0</v>
      </c>
      <c r="P85" s="54"/>
      <c r="Q85" s="54"/>
      <c r="R85" s="138">
        <f t="shared" si="7"/>
        <v>0</v>
      </c>
      <c r="S85" s="50"/>
      <c r="T85" s="50"/>
      <c r="U85" s="50"/>
      <c r="V85" s="50"/>
      <c r="W85" s="50"/>
      <c r="X85" s="50"/>
      <c r="Y85" s="50"/>
      <c r="Z85" s="50"/>
      <c r="AA85" s="50"/>
      <c r="AB85" s="50"/>
    </row>
    <row r="86" spans="1:28" x14ac:dyDescent="0.2">
      <c r="A86" s="50"/>
      <c r="B86" s="50"/>
      <c r="C86" s="50"/>
      <c r="D86" s="50"/>
      <c r="E86" s="50"/>
      <c r="F86" s="50"/>
      <c r="G86" s="50"/>
      <c r="H86" s="50"/>
      <c r="I86" s="50"/>
      <c r="J86" s="50"/>
      <c r="K86" s="50"/>
      <c r="L86" s="136">
        <f t="shared" si="4"/>
        <v>0</v>
      </c>
      <c r="M86" s="136">
        <f t="shared" si="5"/>
        <v>0</v>
      </c>
      <c r="N86" s="54"/>
      <c r="O86" s="138">
        <f t="shared" si="6"/>
        <v>0</v>
      </c>
      <c r="P86" s="54"/>
      <c r="Q86" s="54"/>
      <c r="R86" s="138">
        <f t="shared" si="7"/>
        <v>0</v>
      </c>
      <c r="S86" s="50"/>
      <c r="T86" s="50"/>
      <c r="U86" s="50"/>
      <c r="V86" s="50"/>
      <c r="W86" s="50"/>
      <c r="X86" s="50"/>
      <c r="Y86" s="50"/>
      <c r="Z86" s="50"/>
      <c r="AA86" s="50"/>
      <c r="AB86" s="50"/>
    </row>
    <row r="87" spans="1:28" x14ac:dyDescent="0.2">
      <c r="A87" s="50"/>
      <c r="B87" s="50"/>
      <c r="C87" s="50"/>
      <c r="D87" s="50"/>
      <c r="E87" s="50"/>
      <c r="F87" s="50"/>
      <c r="G87" s="50"/>
      <c r="H87" s="50"/>
      <c r="I87" s="50"/>
      <c r="J87" s="50"/>
      <c r="K87" s="50"/>
      <c r="L87" s="136">
        <f t="shared" si="4"/>
        <v>0</v>
      </c>
      <c r="M87" s="136">
        <f t="shared" si="5"/>
        <v>0</v>
      </c>
      <c r="N87" s="54"/>
      <c r="O87" s="138">
        <f t="shared" si="6"/>
        <v>0</v>
      </c>
      <c r="P87" s="54"/>
      <c r="Q87" s="54"/>
      <c r="R87" s="138">
        <f t="shared" si="7"/>
        <v>0</v>
      </c>
      <c r="S87" s="50"/>
      <c r="T87" s="50"/>
      <c r="U87" s="50"/>
      <c r="V87" s="50"/>
      <c r="W87" s="50"/>
      <c r="X87" s="50"/>
      <c r="Y87" s="50"/>
      <c r="Z87" s="50"/>
      <c r="AA87" s="50"/>
      <c r="AB87" s="50"/>
    </row>
    <row r="88" spans="1:28" x14ac:dyDescent="0.2">
      <c r="A88" s="50"/>
      <c r="B88" s="50"/>
      <c r="C88" s="50"/>
      <c r="D88" s="50"/>
      <c r="E88" s="50"/>
      <c r="F88" s="50"/>
      <c r="G88" s="50"/>
      <c r="H88" s="50"/>
      <c r="I88" s="50"/>
      <c r="J88" s="50"/>
      <c r="K88" s="50"/>
      <c r="L88" s="136">
        <f t="shared" si="4"/>
        <v>0</v>
      </c>
      <c r="M88" s="136">
        <f t="shared" si="5"/>
        <v>0</v>
      </c>
      <c r="N88" s="54"/>
      <c r="O88" s="138">
        <f t="shared" si="6"/>
        <v>0</v>
      </c>
      <c r="P88" s="54"/>
      <c r="Q88" s="54"/>
      <c r="R88" s="138">
        <f t="shared" si="7"/>
        <v>0</v>
      </c>
      <c r="S88" s="50"/>
      <c r="T88" s="50"/>
      <c r="U88" s="50"/>
      <c r="V88" s="50"/>
      <c r="W88" s="50"/>
      <c r="X88" s="50"/>
      <c r="Y88" s="50"/>
      <c r="Z88" s="50"/>
      <c r="AA88" s="50"/>
      <c r="AB88" s="50"/>
    </row>
    <row r="89" spans="1:28" x14ac:dyDescent="0.2">
      <c r="A89" s="50"/>
      <c r="B89" s="50"/>
      <c r="C89" s="50"/>
      <c r="D89" s="50"/>
      <c r="E89" s="50"/>
      <c r="F89" s="50"/>
      <c r="G89" s="50"/>
      <c r="H89" s="50"/>
      <c r="I89" s="50"/>
      <c r="J89" s="50"/>
      <c r="K89" s="50"/>
      <c r="L89" s="136">
        <f t="shared" si="4"/>
        <v>0</v>
      </c>
      <c r="M89" s="136">
        <f t="shared" si="5"/>
        <v>0</v>
      </c>
      <c r="N89" s="54"/>
      <c r="O89" s="138">
        <f t="shared" si="6"/>
        <v>0</v>
      </c>
      <c r="P89" s="54"/>
      <c r="Q89" s="54"/>
      <c r="R89" s="138">
        <f t="shared" si="7"/>
        <v>0</v>
      </c>
      <c r="S89" s="50"/>
      <c r="T89" s="50"/>
      <c r="U89" s="50"/>
      <c r="V89" s="50"/>
      <c r="W89" s="50"/>
      <c r="X89" s="50"/>
      <c r="Y89" s="50"/>
      <c r="Z89" s="50"/>
      <c r="AA89" s="50"/>
      <c r="AB89" s="50"/>
    </row>
    <row r="90" spans="1:28" x14ac:dyDescent="0.2">
      <c r="A90" s="50"/>
      <c r="B90" s="50"/>
      <c r="C90" s="50"/>
      <c r="D90" s="50"/>
      <c r="E90" s="50"/>
      <c r="F90" s="50"/>
      <c r="G90" s="50"/>
      <c r="H90" s="50"/>
      <c r="I90" s="50"/>
      <c r="J90" s="50"/>
      <c r="K90" s="50"/>
      <c r="L90" s="136">
        <f t="shared" si="4"/>
        <v>0</v>
      </c>
      <c r="M90" s="136">
        <f t="shared" si="5"/>
        <v>0</v>
      </c>
      <c r="N90" s="54"/>
      <c r="O90" s="138">
        <f t="shared" si="6"/>
        <v>0</v>
      </c>
      <c r="P90" s="54"/>
      <c r="Q90" s="54"/>
      <c r="R90" s="138">
        <f t="shared" si="7"/>
        <v>0</v>
      </c>
      <c r="S90" s="50"/>
      <c r="T90" s="50"/>
      <c r="U90" s="50"/>
      <c r="V90" s="50"/>
      <c r="W90" s="50"/>
      <c r="X90" s="50"/>
      <c r="Y90" s="50"/>
      <c r="Z90" s="50"/>
      <c r="AA90" s="50"/>
      <c r="AB90" s="50"/>
    </row>
    <row r="91" spans="1:28" x14ac:dyDescent="0.2">
      <c r="A91" s="50"/>
      <c r="B91" s="50"/>
      <c r="C91" s="50"/>
      <c r="D91" s="50"/>
      <c r="E91" s="50"/>
      <c r="F91" s="50"/>
      <c r="G91" s="50"/>
      <c r="H91" s="50"/>
      <c r="I91" s="50"/>
      <c r="J91" s="50"/>
      <c r="K91" s="50"/>
      <c r="L91" s="136">
        <f t="shared" si="4"/>
        <v>0</v>
      </c>
      <c r="M91" s="136">
        <f t="shared" si="5"/>
        <v>0</v>
      </c>
      <c r="N91" s="54"/>
      <c r="O91" s="138">
        <f t="shared" si="6"/>
        <v>0</v>
      </c>
      <c r="P91" s="54"/>
      <c r="Q91" s="54"/>
      <c r="R91" s="138">
        <f t="shared" si="7"/>
        <v>0</v>
      </c>
      <c r="S91" s="50"/>
      <c r="T91" s="50"/>
      <c r="U91" s="50"/>
      <c r="V91" s="50"/>
      <c r="W91" s="50"/>
      <c r="X91" s="50"/>
      <c r="Y91" s="50"/>
      <c r="Z91" s="50"/>
      <c r="AA91" s="50"/>
      <c r="AB91" s="50"/>
    </row>
    <row r="92" spans="1:28" x14ac:dyDescent="0.2">
      <c r="A92" s="50"/>
      <c r="B92" s="50"/>
      <c r="C92" s="50"/>
      <c r="D92" s="50"/>
      <c r="E92" s="50"/>
      <c r="F92" s="50"/>
      <c r="G92" s="50"/>
      <c r="H92" s="50"/>
      <c r="I92" s="50"/>
      <c r="J92" s="50"/>
      <c r="K92" s="50"/>
      <c r="L92" s="136">
        <f t="shared" si="4"/>
        <v>0</v>
      </c>
      <c r="M92" s="136">
        <f t="shared" si="5"/>
        <v>0</v>
      </c>
      <c r="N92" s="54"/>
      <c r="O92" s="138">
        <f t="shared" si="6"/>
        <v>0</v>
      </c>
      <c r="P92" s="54"/>
      <c r="Q92" s="54"/>
      <c r="R92" s="138">
        <f t="shared" si="7"/>
        <v>0</v>
      </c>
      <c r="S92" s="50"/>
      <c r="T92" s="50"/>
      <c r="U92" s="50"/>
      <c r="V92" s="50"/>
      <c r="W92" s="50"/>
      <c r="X92" s="50"/>
      <c r="Y92" s="50"/>
      <c r="Z92" s="50"/>
      <c r="AA92" s="50"/>
      <c r="AB92" s="50"/>
    </row>
    <row r="93" spans="1:28" x14ac:dyDescent="0.2">
      <c r="A93" s="50"/>
      <c r="B93" s="50"/>
      <c r="C93" s="50"/>
      <c r="D93" s="50"/>
      <c r="E93" s="50"/>
      <c r="F93" s="50"/>
      <c r="G93" s="50"/>
      <c r="H93" s="50"/>
      <c r="I93" s="50"/>
      <c r="J93" s="50"/>
      <c r="K93" s="50"/>
      <c r="L93" s="136">
        <f t="shared" si="4"/>
        <v>0</v>
      </c>
      <c r="M93" s="136">
        <f t="shared" si="5"/>
        <v>0</v>
      </c>
      <c r="N93" s="54"/>
      <c r="O93" s="138">
        <f t="shared" si="6"/>
        <v>0</v>
      </c>
      <c r="P93" s="54"/>
      <c r="Q93" s="54"/>
      <c r="R93" s="138">
        <f t="shared" si="7"/>
        <v>0</v>
      </c>
      <c r="S93" s="50"/>
      <c r="T93" s="50"/>
      <c r="U93" s="50"/>
      <c r="V93" s="50"/>
      <c r="W93" s="50"/>
      <c r="X93" s="50"/>
      <c r="Y93" s="50"/>
      <c r="Z93" s="50"/>
      <c r="AA93" s="50"/>
      <c r="AB93" s="50"/>
    </row>
    <row r="94" spans="1:28" x14ac:dyDescent="0.2">
      <c r="A94" s="50"/>
      <c r="B94" s="50"/>
      <c r="C94" s="50"/>
      <c r="D94" s="50"/>
      <c r="E94" s="50"/>
      <c r="F94" s="50"/>
      <c r="G94" s="50"/>
      <c r="H94" s="50"/>
      <c r="I94" s="50"/>
      <c r="J94" s="50"/>
      <c r="K94" s="50"/>
      <c r="L94" s="136">
        <f t="shared" si="4"/>
        <v>0</v>
      </c>
      <c r="M94" s="136">
        <f t="shared" si="5"/>
        <v>0</v>
      </c>
      <c r="N94" s="54"/>
      <c r="O94" s="138">
        <f t="shared" si="6"/>
        <v>0</v>
      </c>
      <c r="P94" s="54"/>
      <c r="Q94" s="54"/>
      <c r="R94" s="138">
        <f t="shared" si="7"/>
        <v>0</v>
      </c>
      <c r="S94" s="50"/>
      <c r="T94" s="50"/>
      <c r="U94" s="50"/>
      <c r="V94" s="50"/>
      <c r="W94" s="50"/>
      <c r="X94" s="50"/>
      <c r="Y94" s="50"/>
      <c r="Z94" s="50"/>
      <c r="AA94" s="50"/>
      <c r="AB94" s="50"/>
    </row>
    <row r="95" spans="1:28" x14ac:dyDescent="0.2">
      <c r="A95" s="50"/>
      <c r="B95" s="50"/>
      <c r="C95" s="50"/>
      <c r="D95" s="50"/>
      <c r="E95" s="50"/>
      <c r="F95" s="50"/>
      <c r="G95" s="50"/>
      <c r="H95" s="50"/>
      <c r="I95" s="50"/>
      <c r="J95" s="50"/>
      <c r="K95" s="50"/>
      <c r="L95" s="136">
        <f t="shared" si="4"/>
        <v>0</v>
      </c>
      <c r="M95" s="136">
        <f t="shared" si="5"/>
        <v>0</v>
      </c>
      <c r="N95" s="54"/>
      <c r="O95" s="138">
        <f t="shared" si="6"/>
        <v>0</v>
      </c>
      <c r="P95" s="54"/>
      <c r="Q95" s="54"/>
      <c r="R95" s="138">
        <f t="shared" si="7"/>
        <v>0</v>
      </c>
      <c r="S95" s="50"/>
      <c r="T95" s="50"/>
      <c r="U95" s="50"/>
      <c r="V95" s="50"/>
      <c r="W95" s="50"/>
      <c r="X95" s="50"/>
      <c r="Y95" s="50"/>
      <c r="Z95" s="50"/>
      <c r="AA95" s="50"/>
      <c r="AB95" s="50"/>
    </row>
    <row r="96" spans="1:28" x14ac:dyDescent="0.2">
      <c r="A96" s="50"/>
      <c r="B96" s="50"/>
      <c r="C96" s="50"/>
      <c r="D96" s="50"/>
      <c r="E96" s="50"/>
      <c r="F96" s="50"/>
      <c r="G96" s="50"/>
      <c r="H96" s="50"/>
      <c r="I96" s="50"/>
      <c r="J96" s="50"/>
      <c r="K96" s="50"/>
      <c r="L96" s="136">
        <f t="shared" si="4"/>
        <v>0</v>
      </c>
      <c r="M96" s="136">
        <f t="shared" si="5"/>
        <v>0</v>
      </c>
      <c r="N96" s="54"/>
      <c r="O96" s="138">
        <f t="shared" si="6"/>
        <v>0</v>
      </c>
      <c r="P96" s="54"/>
      <c r="Q96" s="54"/>
      <c r="R96" s="138">
        <f t="shared" si="7"/>
        <v>0</v>
      </c>
      <c r="S96" s="50"/>
      <c r="T96" s="50"/>
      <c r="U96" s="50"/>
      <c r="V96" s="50"/>
      <c r="W96" s="50"/>
      <c r="X96" s="50"/>
      <c r="Y96" s="50"/>
      <c r="Z96" s="50"/>
      <c r="AA96" s="50"/>
      <c r="AB96" s="50"/>
    </row>
    <row r="97" spans="1:28" x14ac:dyDescent="0.2">
      <c r="A97" s="50"/>
      <c r="B97" s="50"/>
      <c r="C97" s="50"/>
      <c r="D97" s="50"/>
      <c r="E97" s="50"/>
      <c r="F97" s="50"/>
      <c r="G97" s="50"/>
      <c r="H97" s="50"/>
      <c r="I97" s="50"/>
      <c r="J97" s="50"/>
      <c r="K97" s="50"/>
      <c r="L97" s="136">
        <f t="shared" si="4"/>
        <v>0</v>
      </c>
      <c r="M97" s="136">
        <f t="shared" si="5"/>
        <v>0</v>
      </c>
      <c r="N97" s="54"/>
      <c r="O97" s="138">
        <f t="shared" si="6"/>
        <v>0</v>
      </c>
      <c r="P97" s="54"/>
      <c r="Q97" s="54"/>
      <c r="R97" s="138">
        <f t="shared" si="7"/>
        <v>0</v>
      </c>
      <c r="S97" s="50"/>
      <c r="T97" s="50"/>
      <c r="U97" s="50"/>
      <c r="V97" s="50"/>
      <c r="W97" s="50"/>
      <c r="X97" s="50"/>
      <c r="Y97" s="50"/>
      <c r="Z97" s="50"/>
      <c r="AA97" s="50"/>
      <c r="AB97" s="50"/>
    </row>
    <row r="98" spans="1:28" x14ac:dyDescent="0.2">
      <c r="A98" s="50"/>
      <c r="B98" s="50"/>
      <c r="C98" s="50"/>
      <c r="D98" s="50"/>
      <c r="E98" s="50"/>
      <c r="F98" s="50"/>
      <c r="G98" s="50"/>
      <c r="H98" s="50"/>
      <c r="I98" s="50"/>
      <c r="J98" s="50"/>
      <c r="K98" s="50"/>
      <c r="L98" s="136">
        <f t="shared" si="4"/>
        <v>0</v>
      </c>
      <c r="M98" s="136">
        <f t="shared" si="5"/>
        <v>0</v>
      </c>
      <c r="N98" s="54"/>
      <c r="O98" s="138">
        <f t="shared" si="6"/>
        <v>0</v>
      </c>
      <c r="P98" s="54"/>
      <c r="Q98" s="54"/>
      <c r="R98" s="138">
        <f t="shared" si="7"/>
        <v>0</v>
      </c>
      <c r="S98" s="50"/>
      <c r="T98" s="50"/>
      <c r="U98" s="50"/>
      <c r="V98" s="50"/>
      <c r="W98" s="50"/>
      <c r="X98" s="50"/>
      <c r="Y98" s="50"/>
      <c r="Z98" s="50"/>
      <c r="AA98" s="50"/>
      <c r="AB98" s="50"/>
    </row>
    <row r="99" spans="1:28" x14ac:dyDescent="0.2">
      <c r="A99" s="50"/>
      <c r="B99" s="50"/>
      <c r="C99" s="50"/>
      <c r="D99" s="50"/>
      <c r="E99" s="50"/>
      <c r="F99" s="50"/>
      <c r="G99" s="50"/>
      <c r="H99" s="50"/>
      <c r="I99" s="50"/>
      <c r="J99" s="50"/>
      <c r="K99" s="50"/>
      <c r="L99" s="136">
        <f t="shared" si="4"/>
        <v>0</v>
      </c>
      <c r="M99" s="136">
        <f t="shared" si="5"/>
        <v>0</v>
      </c>
      <c r="N99" s="54"/>
      <c r="O99" s="138">
        <f t="shared" si="6"/>
        <v>0</v>
      </c>
      <c r="P99" s="54"/>
      <c r="Q99" s="54"/>
      <c r="R99" s="138">
        <f t="shared" si="7"/>
        <v>0</v>
      </c>
      <c r="S99" s="50"/>
      <c r="T99" s="50"/>
      <c r="U99" s="50"/>
      <c r="V99" s="50"/>
      <c r="W99" s="50"/>
      <c r="X99" s="50"/>
      <c r="Y99" s="50"/>
      <c r="Z99" s="50"/>
      <c r="AA99" s="50"/>
      <c r="AB99" s="50"/>
    </row>
    <row r="100" spans="1:28" x14ac:dyDescent="0.2">
      <c r="A100" s="50"/>
      <c r="B100" s="50"/>
      <c r="C100" s="50"/>
      <c r="D100" s="50"/>
      <c r="E100" s="50"/>
      <c r="F100" s="50"/>
      <c r="G100" s="50"/>
      <c r="H100" s="50"/>
      <c r="I100" s="50"/>
      <c r="J100" s="50"/>
      <c r="K100" s="50"/>
      <c r="L100" s="136">
        <f t="shared" si="4"/>
        <v>0</v>
      </c>
      <c r="M100" s="136">
        <f t="shared" si="5"/>
        <v>0</v>
      </c>
      <c r="N100" s="54"/>
      <c r="O100" s="138">
        <f t="shared" si="6"/>
        <v>0</v>
      </c>
      <c r="P100" s="54"/>
      <c r="Q100" s="54"/>
      <c r="R100" s="138">
        <f t="shared" si="7"/>
        <v>0</v>
      </c>
      <c r="S100" s="50"/>
      <c r="T100" s="50"/>
      <c r="U100" s="50"/>
      <c r="V100" s="50"/>
      <c r="W100" s="50"/>
      <c r="X100" s="50"/>
      <c r="Y100" s="50"/>
      <c r="Z100" s="50"/>
      <c r="AA100" s="50"/>
      <c r="AB100" s="50"/>
    </row>
    <row r="101" spans="1:28" x14ac:dyDescent="0.2">
      <c r="A101" s="50"/>
      <c r="B101" s="50"/>
      <c r="C101" s="50"/>
      <c r="D101" s="50"/>
      <c r="E101" s="50"/>
      <c r="F101" s="50"/>
      <c r="G101" s="50"/>
      <c r="H101" s="50"/>
      <c r="I101" s="50"/>
      <c r="J101" s="50"/>
      <c r="K101" s="50"/>
      <c r="L101" s="136">
        <f t="shared" si="4"/>
        <v>0</v>
      </c>
      <c r="M101" s="136">
        <f t="shared" si="5"/>
        <v>0</v>
      </c>
      <c r="N101" s="54"/>
      <c r="O101" s="138">
        <f t="shared" si="6"/>
        <v>0</v>
      </c>
      <c r="P101" s="54"/>
      <c r="Q101" s="54"/>
      <c r="R101" s="138">
        <f t="shared" si="7"/>
        <v>0</v>
      </c>
      <c r="S101" s="50"/>
      <c r="T101" s="50"/>
      <c r="U101" s="50"/>
      <c r="V101" s="50"/>
      <c r="W101" s="50"/>
      <c r="X101" s="50"/>
      <c r="Y101" s="50"/>
      <c r="Z101" s="50"/>
      <c r="AA101" s="50"/>
      <c r="AB101" s="50"/>
    </row>
    <row r="102" spans="1:28" x14ac:dyDescent="0.2">
      <c r="A102" s="50"/>
      <c r="B102" s="50"/>
      <c r="C102" s="50"/>
      <c r="D102" s="50"/>
      <c r="E102" s="50"/>
      <c r="F102" s="50"/>
      <c r="G102" s="50"/>
      <c r="H102" s="50"/>
      <c r="I102" s="50"/>
      <c r="J102" s="50"/>
      <c r="K102" s="50"/>
      <c r="L102" s="136">
        <f t="shared" si="4"/>
        <v>0</v>
      </c>
      <c r="M102" s="136">
        <f t="shared" si="5"/>
        <v>0</v>
      </c>
      <c r="N102" s="54"/>
      <c r="O102" s="138">
        <f t="shared" si="6"/>
        <v>0</v>
      </c>
      <c r="P102" s="54"/>
      <c r="Q102" s="54"/>
      <c r="R102" s="138">
        <f t="shared" si="7"/>
        <v>0</v>
      </c>
      <c r="S102" s="50"/>
      <c r="T102" s="50"/>
      <c r="U102" s="50"/>
      <c r="V102" s="50"/>
      <c r="W102" s="50"/>
      <c r="X102" s="50"/>
      <c r="Y102" s="50"/>
      <c r="Z102" s="50"/>
      <c r="AA102" s="50"/>
      <c r="AB102" s="50"/>
    </row>
    <row r="103" spans="1:28" x14ac:dyDescent="0.2">
      <c r="A103" s="50"/>
      <c r="B103" s="50"/>
      <c r="C103" s="50"/>
      <c r="D103" s="50"/>
      <c r="E103" s="50"/>
      <c r="F103" s="50"/>
      <c r="G103" s="50"/>
      <c r="H103" s="50"/>
      <c r="I103" s="50"/>
      <c r="J103" s="50"/>
      <c r="K103" s="50"/>
      <c r="L103" s="136">
        <f t="shared" si="4"/>
        <v>0</v>
      </c>
      <c r="M103" s="136">
        <f t="shared" si="5"/>
        <v>0</v>
      </c>
      <c r="N103" s="54"/>
      <c r="O103" s="138">
        <f t="shared" si="6"/>
        <v>0</v>
      </c>
      <c r="P103" s="54"/>
      <c r="Q103" s="54"/>
      <c r="R103" s="138">
        <f t="shared" si="7"/>
        <v>0</v>
      </c>
      <c r="S103" s="50"/>
      <c r="T103" s="50"/>
      <c r="U103" s="50"/>
      <c r="V103" s="50"/>
      <c r="W103" s="50"/>
      <c r="X103" s="50"/>
      <c r="Y103" s="50"/>
      <c r="Z103" s="50"/>
      <c r="AA103" s="50"/>
      <c r="AB103" s="50"/>
    </row>
    <row r="104" spans="1:28" x14ac:dyDescent="0.2">
      <c r="A104" s="50"/>
      <c r="B104" s="50"/>
      <c r="C104" s="50"/>
      <c r="D104" s="50"/>
      <c r="E104" s="50"/>
      <c r="F104" s="50"/>
      <c r="G104" s="50"/>
      <c r="H104" s="50"/>
      <c r="I104" s="50"/>
      <c r="J104" s="50"/>
      <c r="K104" s="50"/>
      <c r="L104" s="136">
        <f t="shared" si="4"/>
        <v>0</v>
      </c>
      <c r="M104" s="136">
        <f t="shared" si="5"/>
        <v>0</v>
      </c>
      <c r="N104" s="54"/>
      <c r="O104" s="138">
        <f t="shared" si="6"/>
        <v>0</v>
      </c>
      <c r="P104" s="54"/>
      <c r="Q104" s="54"/>
      <c r="R104" s="138">
        <f t="shared" si="7"/>
        <v>0</v>
      </c>
      <c r="S104" s="50"/>
      <c r="T104" s="50"/>
      <c r="U104" s="50"/>
      <c r="V104" s="50"/>
      <c r="W104" s="50"/>
      <c r="X104" s="50"/>
      <c r="Y104" s="50"/>
      <c r="Z104" s="50"/>
      <c r="AA104" s="50"/>
      <c r="AB104" s="50"/>
    </row>
    <row r="105" spans="1:28" x14ac:dyDescent="0.2">
      <c r="A105" s="50"/>
      <c r="B105" s="50"/>
      <c r="C105" s="50"/>
      <c r="D105" s="50"/>
      <c r="E105" s="50"/>
      <c r="F105" s="50"/>
      <c r="G105" s="50"/>
      <c r="H105" s="50"/>
      <c r="I105" s="50"/>
      <c r="J105" s="50"/>
      <c r="K105" s="50"/>
      <c r="L105" s="136">
        <f t="shared" si="4"/>
        <v>0</v>
      </c>
      <c r="M105" s="136">
        <f t="shared" si="5"/>
        <v>0</v>
      </c>
      <c r="N105" s="54"/>
      <c r="O105" s="138">
        <f t="shared" si="6"/>
        <v>0</v>
      </c>
      <c r="P105" s="54"/>
      <c r="Q105" s="54"/>
      <c r="R105" s="138">
        <f t="shared" si="7"/>
        <v>0</v>
      </c>
      <c r="S105" s="50"/>
      <c r="T105" s="50"/>
      <c r="U105" s="50"/>
      <c r="V105" s="50"/>
      <c r="W105" s="50"/>
      <c r="X105" s="50"/>
      <c r="Y105" s="50"/>
      <c r="Z105" s="50"/>
      <c r="AA105" s="50"/>
      <c r="AB105" s="50"/>
    </row>
    <row r="106" spans="1:28" x14ac:dyDescent="0.2">
      <c r="A106" s="50"/>
      <c r="B106" s="50"/>
      <c r="C106" s="50"/>
      <c r="D106" s="50"/>
      <c r="E106" s="50"/>
      <c r="F106" s="50"/>
      <c r="G106" s="50"/>
      <c r="H106" s="50"/>
      <c r="I106" s="50"/>
      <c r="J106" s="50"/>
      <c r="K106" s="50"/>
      <c r="L106" s="136">
        <f t="shared" si="4"/>
        <v>0</v>
      </c>
      <c r="M106" s="136">
        <f t="shared" si="5"/>
        <v>0</v>
      </c>
      <c r="N106" s="54"/>
      <c r="O106" s="138">
        <f t="shared" si="6"/>
        <v>0</v>
      </c>
      <c r="P106" s="54"/>
      <c r="Q106" s="54"/>
      <c r="R106" s="138">
        <f t="shared" si="7"/>
        <v>0</v>
      </c>
      <c r="S106" s="50"/>
      <c r="T106" s="50"/>
      <c r="U106" s="50"/>
      <c r="V106" s="50"/>
      <c r="W106" s="50"/>
      <c r="X106" s="50"/>
      <c r="Y106" s="50"/>
      <c r="Z106" s="50"/>
      <c r="AA106" s="50"/>
      <c r="AB106" s="50"/>
    </row>
    <row r="107" spans="1:28" x14ac:dyDescent="0.2">
      <c r="A107" s="50"/>
      <c r="B107" s="50"/>
      <c r="C107" s="50"/>
      <c r="D107" s="50"/>
      <c r="E107" s="50"/>
      <c r="F107" s="50"/>
      <c r="G107" s="50"/>
      <c r="H107" s="50"/>
      <c r="I107" s="50"/>
      <c r="J107" s="50"/>
      <c r="K107" s="50"/>
      <c r="L107" s="136">
        <f t="shared" si="4"/>
        <v>0</v>
      </c>
      <c r="M107" s="136">
        <f t="shared" si="5"/>
        <v>0</v>
      </c>
      <c r="N107" s="54"/>
      <c r="O107" s="138">
        <f t="shared" si="6"/>
        <v>0</v>
      </c>
      <c r="P107" s="54"/>
      <c r="Q107" s="54"/>
      <c r="R107" s="138">
        <f t="shared" si="7"/>
        <v>0</v>
      </c>
      <c r="S107" s="50"/>
      <c r="T107" s="50"/>
      <c r="U107" s="50"/>
      <c r="V107" s="50"/>
      <c r="W107" s="50"/>
      <c r="X107" s="50"/>
      <c r="Y107" s="50"/>
      <c r="Z107" s="50"/>
      <c r="AA107" s="50"/>
      <c r="AB107" s="50"/>
    </row>
    <row r="108" spans="1:28" x14ac:dyDescent="0.2">
      <c r="A108" s="50"/>
      <c r="B108" s="50"/>
      <c r="C108" s="50"/>
      <c r="D108" s="50"/>
      <c r="E108" s="50"/>
      <c r="F108" s="50"/>
      <c r="G108" s="50"/>
      <c r="H108" s="50"/>
      <c r="I108" s="50"/>
      <c r="J108" s="50"/>
      <c r="K108" s="50"/>
      <c r="L108" s="136">
        <f t="shared" si="4"/>
        <v>0</v>
      </c>
      <c r="M108" s="136">
        <f t="shared" si="5"/>
        <v>0</v>
      </c>
      <c r="N108" s="54"/>
      <c r="O108" s="138">
        <f t="shared" si="6"/>
        <v>0</v>
      </c>
      <c r="P108" s="54"/>
      <c r="Q108" s="54"/>
      <c r="R108" s="138">
        <f t="shared" si="7"/>
        <v>0</v>
      </c>
      <c r="S108" s="50"/>
      <c r="T108" s="50"/>
      <c r="U108" s="50"/>
      <c r="V108" s="50"/>
      <c r="W108" s="50"/>
      <c r="X108" s="50"/>
      <c r="Y108" s="50"/>
      <c r="Z108" s="50"/>
      <c r="AA108" s="50"/>
      <c r="AB108" s="50"/>
    </row>
    <row r="109" spans="1:28" x14ac:dyDescent="0.2">
      <c r="A109" s="50"/>
      <c r="B109" s="50"/>
      <c r="C109" s="50"/>
      <c r="D109" s="50"/>
      <c r="E109" s="50"/>
      <c r="F109" s="50"/>
      <c r="G109" s="50"/>
      <c r="H109" s="50"/>
      <c r="I109" s="50"/>
      <c r="J109" s="50"/>
      <c r="K109" s="50"/>
      <c r="L109" s="136">
        <f t="shared" si="4"/>
        <v>0</v>
      </c>
      <c r="M109" s="136">
        <f t="shared" si="5"/>
        <v>0</v>
      </c>
      <c r="N109" s="54"/>
      <c r="O109" s="138">
        <f t="shared" si="6"/>
        <v>0</v>
      </c>
      <c r="P109" s="54"/>
      <c r="Q109" s="54"/>
      <c r="R109" s="138">
        <f t="shared" si="7"/>
        <v>0</v>
      </c>
      <c r="S109" s="50"/>
      <c r="T109" s="50"/>
      <c r="U109" s="50"/>
      <c r="V109" s="50"/>
      <c r="W109" s="50"/>
      <c r="X109" s="50"/>
      <c r="Y109" s="50"/>
      <c r="Z109" s="50"/>
      <c r="AA109" s="50"/>
      <c r="AB109" s="50"/>
    </row>
    <row r="110" spans="1:28" x14ac:dyDescent="0.2">
      <c r="A110" s="50"/>
      <c r="B110" s="50"/>
      <c r="C110" s="50"/>
      <c r="D110" s="50"/>
      <c r="E110" s="50"/>
      <c r="F110" s="50"/>
      <c r="G110" s="50"/>
      <c r="H110" s="50"/>
      <c r="I110" s="50"/>
      <c r="J110" s="50"/>
      <c r="K110" s="50"/>
      <c r="L110" s="136">
        <f t="shared" si="4"/>
        <v>0</v>
      </c>
      <c r="M110" s="136">
        <f t="shared" si="5"/>
        <v>0</v>
      </c>
      <c r="N110" s="54"/>
      <c r="O110" s="138">
        <f t="shared" si="6"/>
        <v>0</v>
      </c>
      <c r="P110" s="54"/>
      <c r="Q110" s="54"/>
      <c r="R110" s="138">
        <f t="shared" si="7"/>
        <v>0</v>
      </c>
      <c r="S110" s="50"/>
      <c r="T110" s="50"/>
      <c r="U110" s="50"/>
      <c r="V110" s="50"/>
      <c r="W110" s="50"/>
      <c r="X110" s="50"/>
      <c r="Y110" s="50"/>
      <c r="Z110" s="50"/>
      <c r="AA110" s="50"/>
      <c r="AB110" s="50"/>
    </row>
    <row r="111" spans="1:28" x14ac:dyDescent="0.2">
      <c r="A111" s="50"/>
      <c r="B111" s="50"/>
      <c r="C111" s="50"/>
      <c r="D111" s="50"/>
      <c r="E111" s="50"/>
      <c r="F111" s="50"/>
      <c r="G111" s="50"/>
      <c r="H111" s="50"/>
      <c r="I111" s="50"/>
      <c r="J111" s="50"/>
      <c r="K111" s="50"/>
      <c r="L111" s="136">
        <f t="shared" si="4"/>
        <v>0</v>
      </c>
      <c r="M111" s="136">
        <f t="shared" si="5"/>
        <v>0</v>
      </c>
      <c r="N111" s="54"/>
      <c r="O111" s="138">
        <f t="shared" si="6"/>
        <v>0</v>
      </c>
      <c r="P111" s="54"/>
      <c r="Q111" s="54"/>
      <c r="R111" s="138">
        <f t="shared" si="7"/>
        <v>0</v>
      </c>
      <c r="S111" s="50"/>
      <c r="T111" s="50"/>
      <c r="U111" s="50"/>
      <c r="V111" s="50"/>
      <c r="W111" s="50"/>
      <c r="X111" s="50"/>
      <c r="Y111" s="50"/>
      <c r="Z111" s="50"/>
      <c r="AA111" s="50"/>
      <c r="AB111" s="50"/>
    </row>
    <row r="112" spans="1:28" x14ac:dyDescent="0.2">
      <c r="A112" s="50"/>
      <c r="B112" s="50"/>
      <c r="C112" s="50"/>
      <c r="D112" s="50"/>
      <c r="E112" s="50"/>
      <c r="F112" s="50"/>
      <c r="G112" s="50"/>
      <c r="H112" s="50"/>
      <c r="I112" s="50"/>
      <c r="J112" s="50"/>
      <c r="K112" s="50"/>
      <c r="L112" s="136">
        <f t="shared" si="4"/>
        <v>0</v>
      </c>
      <c r="M112" s="136">
        <f t="shared" si="5"/>
        <v>0</v>
      </c>
      <c r="N112" s="54"/>
      <c r="O112" s="138">
        <f t="shared" si="6"/>
        <v>0</v>
      </c>
      <c r="P112" s="54"/>
      <c r="Q112" s="54"/>
      <c r="R112" s="138">
        <f t="shared" si="7"/>
        <v>0</v>
      </c>
      <c r="S112" s="50"/>
      <c r="T112" s="50"/>
      <c r="U112" s="50"/>
      <c r="V112" s="50"/>
      <c r="W112" s="50"/>
      <c r="X112" s="50"/>
      <c r="Y112" s="50"/>
      <c r="Z112" s="50"/>
      <c r="AA112" s="50"/>
      <c r="AB112" s="50"/>
    </row>
    <row r="113" spans="1:28" x14ac:dyDescent="0.2">
      <c r="A113" s="50"/>
      <c r="B113" s="50"/>
      <c r="C113" s="50"/>
      <c r="D113" s="50"/>
      <c r="E113" s="50"/>
      <c r="F113" s="50"/>
      <c r="G113" s="50"/>
      <c r="H113" s="50"/>
      <c r="I113" s="50"/>
      <c r="J113" s="50"/>
      <c r="K113" s="50"/>
      <c r="L113" s="136">
        <f t="shared" si="4"/>
        <v>0</v>
      </c>
      <c r="M113" s="136">
        <f t="shared" si="5"/>
        <v>0</v>
      </c>
      <c r="N113" s="54"/>
      <c r="O113" s="138">
        <f t="shared" si="6"/>
        <v>0</v>
      </c>
      <c r="P113" s="54"/>
      <c r="Q113" s="54"/>
      <c r="R113" s="138">
        <f t="shared" si="7"/>
        <v>0</v>
      </c>
      <c r="S113" s="50"/>
      <c r="T113" s="50"/>
      <c r="U113" s="50"/>
      <c r="V113" s="50"/>
      <c r="W113" s="50"/>
      <c r="X113" s="50"/>
      <c r="Y113" s="50"/>
      <c r="Z113" s="50"/>
      <c r="AA113" s="50"/>
      <c r="AB113" s="50"/>
    </row>
    <row r="114" spans="1:28" x14ac:dyDescent="0.2">
      <c r="A114" s="50"/>
      <c r="B114" s="50"/>
      <c r="C114" s="50"/>
      <c r="D114" s="50"/>
      <c r="E114" s="50"/>
      <c r="F114" s="50"/>
      <c r="G114" s="50"/>
      <c r="H114" s="50"/>
      <c r="I114" s="50"/>
      <c r="J114" s="50"/>
      <c r="K114" s="50"/>
      <c r="L114" s="136">
        <f t="shared" si="4"/>
        <v>0</v>
      </c>
      <c r="M114" s="136">
        <f t="shared" si="5"/>
        <v>0</v>
      </c>
      <c r="N114" s="54"/>
      <c r="O114" s="138">
        <f t="shared" si="6"/>
        <v>0</v>
      </c>
      <c r="P114" s="54"/>
      <c r="Q114" s="54"/>
      <c r="R114" s="138">
        <f t="shared" si="7"/>
        <v>0</v>
      </c>
      <c r="S114" s="50"/>
      <c r="T114" s="50"/>
      <c r="U114" s="50"/>
      <c r="V114" s="50"/>
      <c r="W114" s="50"/>
      <c r="X114" s="50"/>
      <c r="Y114" s="50"/>
      <c r="Z114" s="50"/>
      <c r="AA114" s="50"/>
      <c r="AB114" s="50"/>
    </row>
    <row r="115" spans="1:28" x14ac:dyDescent="0.2">
      <c r="A115" s="50"/>
      <c r="B115" s="50"/>
      <c r="C115" s="50"/>
      <c r="D115" s="50"/>
      <c r="E115" s="50"/>
      <c r="F115" s="50"/>
      <c r="G115" s="50"/>
      <c r="H115" s="50"/>
      <c r="I115" s="50"/>
      <c r="J115" s="50"/>
      <c r="K115" s="50"/>
      <c r="L115" s="136">
        <f t="shared" si="4"/>
        <v>0</v>
      </c>
      <c r="M115" s="136">
        <f t="shared" si="5"/>
        <v>0</v>
      </c>
      <c r="N115" s="54"/>
      <c r="O115" s="138">
        <f t="shared" si="6"/>
        <v>0</v>
      </c>
      <c r="P115" s="54"/>
      <c r="Q115" s="54"/>
      <c r="R115" s="138">
        <f t="shared" si="7"/>
        <v>0</v>
      </c>
      <c r="S115" s="50"/>
      <c r="T115" s="50"/>
      <c r="U115" s="50"/>
      <c r="V115" s="50"/>
      <c r="W115" s="50"/>
      <c r="X115" s="50"/>
      <c r="Y115" s="50"/>
      <c r="Z115" s="50"/>
      <c r="AA115" s="50"/>
      <c r="AB115" s="50"/>
    </row>
    <row r="116" spans="1:28" x14ac:dyDescent="0.2">
      <c r="A116" s="50"/>
      <c r="B116" s="50"/>
      <c r="C116" s="50"/>
      <c r="D116" s="50"/>
      <c r="E116" s="50"/>
      <c r="F116" s="50"/>
      <c r="G116" s="50"/>
      <c r="H116" s="50"/>
      <c r="I116" s="50"/>
      <c r="J116" s="50"/>
      <c r="K116" s="50"/>
      <c r="L116" s="136">
        <f t="shared" si="4"/>
        <v>0</v>
      </c>
      <c r="M116" s="136">
        <f t="shared" si="5"/>
        <v>0</v>
      </c>
      <c r="N116" s="54"/>
      <c r="O116" s="138">
        <f t="shared" si="6"/>
        <v>0</v>
      </c>
      <c r="P116" s="54"/>
      <c r="Q116" s="54"/>
      <c r="R116" s="138">
        <f t="shared" si="7"/>
        <v>0</v>
      </c>
      <c r="S116" s="50"/>
      <c r="T116" s="50"/>
      <c r="U116" s="50"/>
      <c r="V116" s="50"/>
      <c r="W116" s="50"/>
      <c r="X116" s="50"/>
      <c r="Y116" s="50"/>
      <c r="Z116" s="50"/>
      <c r="AA116" s="50"/>
      <c r="AB116" s="50"/>
    </row>
    <row r="117" spans="1:28" x14ac:dyDescent="0.2">
      <c r="A117" s="50"/>
      <c r="B117" s="50"/>
      <c r="C117" s="50"/>
      <c r="D117" s="50"/>
      <c r="E117" s="50"/>
      <c r="F117" s="50"/>
      <c r="G117" s="50"/>
      <c r="H117" s="50"/>
      <c r="I117" s="50"/>
      <c r="J117" s="50"/>
      <c r="K117" s="50"/>
      <c r="L117" s="136">
        <f t="shared" si="4"/>
        <v>0</v>
      </c>
      <c r="M117" s="136">
        <f t="shared" si="5"/>
        <v>0</v>
      </c>
      <c r="N117" s="54"/>
      <c r="O117" s="138">
        <f t="shared" si="6"/>
        <v>0</v>
      </c>
      <c r="P117" s="54"/>
      <c r="Q117" s="54"/>
      <c r="R117" s="138">
        <f t="shared" si="7"/>
        <v>0</v>
      </c>
      <c r="S117" s="50"/>
      <c r="T117" s="50"/>
      <c r="U117" s="50"/>
      <c r="V117" s="50"/>
      <c r="W117" s="50"/>
      <c r="X117" s="50"/>
      <c r="Y117" s="50"/>
      <c r="Z117" s="50"/>
      <c r="AA117" s="50"/>
      <c r="AB117" s="50"/>
    </row>
    <row r="118" spans="1:28" x14ac:dyDescent="0.2">
      <c r="A118" s="50"/>
      <c r="B118" s="50"/>
      <c r="C118" s="50"/>
      <c r="D118" s="50"/>
      <c r="E118" s="50"/>
      <c r="F118" s="50"/>
      <c r="G118" s="50"/>
      <c r="H118" s="50"/>
      <c r="I118" s="50"/>
      <c r="J118" s="50"/>
      <c r="K118" s="50"/>
      <c r="L118" s="136">
        <f t="shared" si="4"/>
        <v>0</v>
      </c>
      <c r="M118" s="136">
        <f t="shared" si="5"/>
        <v>0</v>
      </c>
      <c r="N118" s="54"/>
      <c r="O118" s="138">
        <f t="shared" si="6"/>
        <v>0</v>
      </c>
      <c r="P118" s="54"/>
      <c r="Q118" s="54"/>
      <c r="R118" s="138">
        <f t="shared" si="7"/>
        <v>0</v>
      </c>
      <c r="S118" s="50"/>
      <c r="T118" s="50"/>
      <c r="U118" s="50"/>
      <c r="V118" s="50"/>
      <c r="W118" s="50"/>
      <c r="X118" s="50"/>
      <c r="Y118" s="50"/>
      <c r="Z118" s="50"/>
      <c r="AA118" s="50"/>
      <c r="AB118" s="50"/>
    </row>
    <row r="119" spans="1:28" x14ac:dyDescent="0.2">
      <c r="A119" s="50"/>
      <c r="B119" s="50"/>
      <c r="C119" s="50"/>
      <c r="D119" s="50"/>
      <c r="E119" s="50"/>
      <c r="F119" s="50"/>
      <c r="G119" s="50"/>
      <c r="H119" s="50"/>
      <c r="I119" s="50"/>
      <c r="J119" s="50"/>
      <c r="K119" s="50"/>
      <c r="L119" s="136">
        <f t="shared" si="4"/>
        <v>0</v>
      </c>
      <c r="M119" s="136">
        <f t="shared" si="5"/>
        <v>0</v>
      </c>
      <c r="N119" s="54"/>
      <c r="O119" s="138">
        <f t="shared" si="6"/>
        <v>0</v>
      </c>
      <c r="P119" s="54"/>
      <c r="Q119" s="54"/>
      <c r="R119" s="138">
        <f t="shared" si="7"/>
        <v>0</v>
      </c>
      <c r="S119" s="50"/>
      <c r="T119" s="50"/>
      <c r="U119" s="50"/>
      <c r="V119" s="50"/>
      <c r="W119" s="50"/>
      <c r="X119" s="50"/>
      <c r="Y119" s="50"/>
      <c r="Z119" s="50"/>
      <c r="AA119" s="50"/>
      <c r="AB119" s="50"/>
    </row>
    <row r="120" spans="1:28" x14ac:dyDescent="0.2">
      <c r="A120" s="50"/>
      <c r="B120" s="50"/>
      <c r="C120" s="50"/>
      <c r="D120" s="50"/>
      <c r="E120" s="50"/>
      <c r="F120" s="50"/>
      <c r="G120" s="50"/>
      <c r="H120" s="50"/>
      <c r="I120" s="50"/>
      <c r="J120" s="50"/>
      <c r="K120" s="50"/>
      <c r="L120" s="136">
        <f t="shared" si="4"/>
        <v>0</v>
      </c>
      <c r="M120" s="136">
        <f t="shared" si="5"/>
        <v>0</v>
      </c>
      <c r="N120" s="54"/>
      <c r="O120" s="138">
        <f t="shared" si="6"/>
        <v>0</v>
      </c>
      <c r="P120" s="54"/>
      <c r="Q120" s="54"/>
      <c r="R120" s="138">
        <f t="shared" si="7"/>
        <v>0</v>
      </c>
      <c r="S120" s="50"/>
      <c r="T120" s="50"/>
      <c r="U120" s="50"/>
      <c r="V120" s="50"/>
      <c r="W120" s="50"/>
      <c r="X120" s="50"/>
      <c r="Y120" s="50"/>
      <c r="Z120" s="50"/>
      <c r="AA120" s="50"/>
      <c r="AB120" s="50"/>
    </row>
    <row r="121" spans="1:28" x14ac:dyDescent="0.2">
      <c r="A121" s="50"/>
      <c r="B121" s="50"/>
      <c r="C121" s="50"/>
      <c r="D121" s="50"/>
      <c r="E121" s="50"/>
      <c r="F121" s="50"/>
      <c r="G121" s="50"/>
      <c r="H121" s="50"/>
      <c r="I121" s="50"/>
      <c r="J121" s="50"/>
      <c r="K121" s="50"/>
      <c r="L121" s="136">
        <f t="shared" si="4"/>
        <v>0</v>
      </c>
      <c r="M121" s="136">
        <f t="shared" si="5"/>
        <v>0</v>
      </c>
      <c r="N121" s="54"/>
      <c r="O121" s="138">
        <f t="shared" si="6"/>
        <v>0</v>
      </c>
      <c r="P121" s="54"/>
      <c r="Q121" s="54"/>
      <c r="R121" s="138">
        <f t="shared" si="7"/>
        <v>0</v>
      </c>
      <c r="S121" s="50"/>
      <c r="T121" s="50"/>
      <c r="U121" s="50"/>
      <c r="V121" s="50"/>
      <c r="W121" s="50"/>
      <c r="X121" s="50"/>
      <c r="Y121" s="50"/>
      <c r="Z121" s="50"/>
      <c r="AA121" s="50"/>
      <c r="AB121" s="50"/>
    </row>
    <row r="122" spans="1:28" x14ac:dyDescent="0.2">
      <c r="A122" s="50"/>
      <c r="B122" s="50"/>
      <c r="C122" s="50"/>
      <c r="D122" s="50"/>
      <c r="E122" s="50"/>
      <c r="F122" s="50"/>
      <c r="G122" s="50"/>
      <c r="H122" s="50"/>
      <c r="I122" s="50"/>
      <c r="J122" s="50"/>
      <c r="K122" s="50"/>
      <c r="L122" s="136">
        <f t="shared" si="4"/>
        <v>0</v>
      </c>
      <c r="M122" s="136">
        <f t="shared" si="5"/>
        <v>0</v>
      </c>
      <c r="N122" s="54"/>
      <c r="O122" s="138">
        <f t="shared" si="6"/>
        <v>0</v>
      </c>
      <c r="P122" s="54"/>
      <c r="Q122" s="54"/>
      <c r="R122" s="138">
        <f t="shared" si="7"/>
        <v>0</v>
      </c>
      <c r="S122" s="50"/>
      <c r="T122" s="50"/>
      <c r="U122" s="50"/>
      <c r="V122" s="50"/>
      <c r="W122" s="50"/>
      <c r="X122" s="50"/>
      <c r="Y122" s="50"/>
      <c r="Z122" s="50"/>
      <c r="AA122" s="50"/>
      <c r="AB122" s="50"/>
    </row>
    <row r="123" spans="1:28" x14ac:dyDescent="0.2">
      <c r="A123" s="50"/>
      <c r="B123" s="50"/>
      <c r="C123" s="50"/>
      <c r="D123" s="50"/>
      <c r="E123" s="50"/>
      <c r="F123" s="50"/>
      <c r="G123" s="50"/>
      <c r="H123" s="50"/>
      <c r="I123" s="50"/>
      <c r="J123" s="50"/>
      <c r="K123" s="50"/>
      <c r="L123" s="136">
        <f t="shared" si="4"/>
        <v>0</v>
      </c>
      <c r="M123" s="136">
        <f t="shared" si="5"/>
        <v>0</v>
      </c>
      <c r="N123" s="54"/>
      <c r="O123" s="138">
        <f t="shared" si="6"/>
        <v>0</v>
      </c>
      <c r="P123" s="54"/>
      <c r="Q123" s="54"/>
      <c r="R123" s="138">
        <f t="shared" si="7"/>
        <v>0</v>
      </c>
      <c r="S123" s="50"/>
      <c r="T123" s="50"/>
      <c r="U123" s="50"/>
      <c r="V123" s="50"/>
      <c r="W123" s="50"/>
      <c r="X123" s="50"/>
      <c r="Y123" s="50"/>
      <c r="Z123" s="50"/>
      <c r="AA123" s="50"/>
      <c r="AB123" s="50"/>
    </row>
    <row r="124" spans="1:28" x14ac:dyDescent="0.2">
      <c r="A124" s="50"/>
      <c r="B124" s="50"/>
      <c r="C124" s="50"/>
      <c r="D124" s="50"/>
      <c r="E124" s="50"/>
      <c r="F124" s="50"/>
      <c r="G124" s="50"/>
      <c r="H124" s="50"/>
      <c r="I124" s="50"/>
      <c r="J124" s="50"/>
      <c r="K124" s="50"/>
      <c r="L124" s="136">
        <f t="shared" si="4"/>
        <v>0</v>
      </c>
      <c r="M124" s="136">
        <f t="shared" si="5"/>
        <v>0</v>
      </c>
      <c r="N124" s="54"/>
      <c r="O124" s="138">
        <f t="shared" si="6"/>
        <v>0</v>
      </c>
      <c r="P124" s="54"/>
      <c r="Q124" s="54"/>
      <c r="R124" s="138">
        <f t="shared" si="7"/>
        <v>0</v>
      </c>
      <c r="S124" s="50"/>
      <c r="T124" s="50"/>
      <c r="U124" s="50"/>
      <c r="V124" s="50"/>
      <c r="W124" s="50"/>
      <c r="X124" s="50"/>
      <c r="Y124" s="50"/>
      <c r="Z124" s="50"/>
      <c r="AA124" s="50"/>
      <c r="AB124" s="50"/>
    </row>
    <row r="125" spans="1:28" x14ac:dyDescent="0.2">
      <c r="A125" s="50"/>
      <c r="B125" s="50"/>
      <c r="C125" s="50"/>
      <c r="D125" s="50"/>
      <c r="E125" s="50"/>
      <c r="F125" s="50"/>
      <c r="G125" s="50"/>
      <c r="H125" s="50"/>
      <c r="I125" s="50"/>
      <c r="J125" s="50"/>
      <c r="K125" s="50"/>
      <c r="L125" s="136">
        <f t="shared" si="4"/>
        <v>0</v>
      </c>
      <c r="M125" s="136">
        <f t="shared" si="5"/>
        <v>0</v>
      </c>
      <c r="N125" s="54"/>
      <c r="O125" s="138">
        <f t="shared" si="6"/>
        <v>0</v>
      </c>
      <c r="P125" s="54"/>
      <c r="Q125" s="54"/>
      <c r="R125" s="138">
        <f t="shared" si="7"/>
        <v>0</v>
      </c>
      <c r="S125" s="50"/>
      <c r="T125" s="50"/>
      <c r="U125" s="50"/>
      <c r="V125" s="50"/>
      <c r="W125" s="50"/>
      <c r="X125" s="50"/>
      <c r="Y125" s="50"/>
      <c r="Z125" s="50"/>
      <c r="AA125" s="50"/>
      <c r="AB125" s="50"/>
    </row>
    <row r="126" spans="1:28" x14ac:dyDescent="0.2">
      <c r="A126" s="50"/>
      <c r="B126" s="50"/>
      <c r="C126" s="50"/>
      <c r="D126" s="50"/>
      <c r="E126" s="50"/>
      <c r="F126" s="50"/>
      <c r="G126" s="50"/>
      <c r="H126" s="50"/>
      <c r="I126" s="50"/>
      <c r="J126" s="50"/>
      <c r="K126" s="50"/>
      <c r="L126" s="136">
        <f t="shared" si="4"/>
        <v>0</v>
      </c>
      <c r="M126" s="136">
        <f t="shared" si="5"/>
        <v>0</v>
      </c>
      <c r="N126" s="54"/>
      <c r="O126" s="138">
        <f t="shared" si="6"/>
        <v>0</v>
      </c>
      <c r="P126" s="54"/>
      <c r="Q126" s="54"/>
      <c r="R126" s="138">
        <f t="shared" si="7"/>
        <v>0</v>
      </c>
      <c r="S126" s="50"/>
      <c r="T126" s="50"/>
      <c r="U126" s="50"/>
      <c r="V126" s="50"/>
      <c r="W126" s="50"/>
      <c r="X126" s="50"/>
      <c r="Y126" s="50"/>
      <c r="Z126" s="50"/>
      <c r="AA126" s="50"/>
      <c r="AB126" s="50"/>
    </row>
    <row r="127" spans="1:28" x14ac:dyDescent="0.2">
      <c r="A127" s="50"/>
      <c r="B127" s="50"/>
      <c r="C127" s="50"/>
      <c r="D127" s="50"/>
      <c r="E127" s="50"/>
      <c r="F127" s="50"/>
      <c r="G127" s="50"/>
      <c r="H127" s="50"/>
      <c r="I127" s="50"/>
      <c r="J127" s="50"/>
      <c r="K127" s="50"/>
      <c r="L127" s="136">
        <f t="shared" si="4"/>
        <v>0</v>
      </c>
      <c r="M127" s="136">
        <f t="shared" si="5"/>
        <v>0</v>
      </c>
      <c r="N127" s="54"/>
      <c r="O127" s="138">
        <f t="shared" si="6"/>
        <v>0</v>
      </c>
      <c r="P127" s="54"/>
      <c r="Q127" s="54"/>
      <c r="R127" s="138">
        <f t="shared" si="7"/>
        <v>0</v>
      </c>
      <c r="S127" s="50"/>
      <c r="T127" s="50"/>
      <c r="U127" s="50"/>
      <c r="V127" s="50"/>
      <c r="W127" s="50"/>
      <c r="X127" s="50"/>
      <c r="Y127" s="50"/>
      <c r="Z127" s="50"/>
      <c r="AA127" s="50"/>
      <c r="AB127" s="50"/>
    </row>
    <row r="128" spans="1:28" x14ac:dyDescent="0.2">
      <c r="A128" s="50"/>
      <c r="B128" s="50"/>
      <c r="C128" s="50"/>
      <c r="D128" s="50"/>
      <c r="E128" s="50"/>
      <c r="F128" s="50"/>
      <c r="G128" s="50"/>
      <c r="H128" s="50"/>
      <c r="I128" s="50"/>
      <c r="J128" s="50"/>
      <c r="K128" s="50"/>
      <c r="L128" s="136">
        <f t="shared" si="4"/>
        <v>0</v>
      </c>
      <c r="M128" s="136">
        <f t="shared" si="5"/>
        <v>0</v>
      </c>
      <c r="N128" s="54"/>
      <c r="O128" s="138">
        <f t="shared" si="6"/>
        <v>0</v>
      </c>
      <c r="P128" s="54"/>
      <c r="Q128" s="54"/>
      <c r="R128" s="138">
        <f t="shared" si="7"/>
        <v>0</v>
      </c>
      <c r="S128" s="50"/>
      <c r="T128" s="50"/>
      <c r="U128" s="50"/>
      <c r="V128" s="50"/>
      <c r="W128" s="50"/>
      <c r="X128" s="50"/>
      <c r="Y128" s="50"/>
      <c r="Z128" s="50"/>
      <c r="AA128" s="50"/>
      <c r="AB128" s="50"/>
    </row>
    <row r="129" spans="1:28" x14ac:dyDescent="0.2">
      <c r="A129" s="50"/>
      <c r="B129" s="50"/>
      <c r="C129" s="50"/>
      <c r="D129" s="50"/>
      <c r="E129" s="50"/>
      <c r="F129" s="50"/>
      <c r="G129" s="50"/>
      <c r="H129" s="50"/>
      <c r="I129" s="50"/>
      <c r="J129" s="50"/>
      <c r="K129" s="50"/>
      <c r="L129" s="136">
        <f t="shared" si="4"/>
        <v>0</v>
      </c>
      <c r="M129" s="136">
        <f t="shared" si="5"/>
        <v>0</v>
      </c>
      <c r="N129" s="54"/>
      <c r="O129" s="138">
        <f t="shared" si="6"/>
        <v>0</v>
      </c>
      <c r="P129" s="54"/>
      <c r="Q129" s="54"/>
      <c r="R129" s="138">
        <f t="shared" si="7"/>
        <v>0</v>
      </c>
      <c r="S129" s="50"/>
      <c r="T129" s="50"/>
      <c r="U129" s="50"/>
      <c r="V129" s="50"/>
      <c r="W129" s="50"/>
      <c r="X129" s="50"/>
      <c r="Y129" s="50"/>
      <c r="Z129" s="50"/>
      <c r="AA129" s="50"/>
      <c r="AB129" s="50"/>
    </row>
    <row r="130" spans="1:28" x14ac:dyDescent="0.2">
      <c r="A130" s="50"/>
      <c r="B130" s="50"/>
      <c r="C130" s="50"/>
      <c r="D130" s="50"/>
      <c r="E130" s="50"/>
      <c r="F130" s="50"/>
      <c r="G130" s="50"/>
      <c r="H130" s="50"/>
      <c r="I130" s="50"/>
      <c r="J130" s="50"/>
      <c r="K130" s="50"/>
      <c r="L130" s="136">
        <f t="shared" si="4"/>
        <v>0</v>
      </c>
      <c r="M130" s="136">
        <f t="shared" si="5"/>
        <v>0</v>
      </c>
      <c r="N130" s="54"/>
      <c r="O130" s="138">
        <f t="shared" si="6"/>
        <v>0</v>
      </c>
      <c r="P130" s="54"/>
      <c r="Q130" s="54"/>
      <c r="R130" s="138">
        <f t="shared" si="7"/>
        <v>0</v>
      </c>
      <c r="S130" s="50"/>
      <c r="T130" s="50"/>
      <c r="U130" s="50"/>
      <c r="V130" s="50"/>
      <c r="W130" s="50"/>
      <c r="X130" s="50"/>
      <c r="Y130" s="50"/>
      <c r="Z130" s="50"/>
      <c r="AA130" s="50"/>
      <c r="AB130" s="50"/>
    </row>
    <row r="131" spans="1:28" x14ac:dyDescent="0.2">
      <c r="A131" s="50"/>
      <c r="B131" s="50"/>
      <c r="C131" s="50"/>
      <c r="D131" s="50"/>
      <c r="E131" s="50"/>
      <c r="F131" s="50"/>
      <c r="G131" s="50"/>
      <c r="H131" s="50"/>
      <c r="I131" s="50"/>
      <c r="J131" s="50"/>
      <c r="K131" s="50"/>
      <c r="L131" s="136">
        <f t="shared" si="4"/>
        <v>0</v>
      </c>
      <c r="M131" s="136">
        <f t="shared" si="5"/>
        <v>0</v>
      </c>
      <c r="N131" s="54"/>
      <c r="O131" s="138">
        <f t="shared" si="6"/>
        <v>0</v>
      </c>
      <c r="P131" s="54"/>
      <c r="Q131" s="54"/>
      <c r="R131" s="138">
        <f t="shared" si="7"/>
        <v>0</v>
      </c>
      <c r="S131" s="50"/>
      <c r="T131" s="50"/>
      <c r="U131" s="50"/>
      <c r="V131" s="50"/>
      <c r="W131" s="50"/>
      <c r="X131" s="50"/>
      <c r="Y131" s="50"/>
      <c r="Z131" s="50"/>
      <c r="AA131" s="50"/>
      <c r="AB131" s="50"/>
    </row>
    <row r="132" spans="1:28" x14ac:dyDescent="0.2">
      <c r="A132" s="50"/>
      <c r="B132" s="50"/>
      <c r="C132" s="50"/>
      <c r="D132" s="50"/>
      <c r="E132" s="50"/>
      <c r="F132" s="50"/>
      <c r="G132" s="50"/>
      <c r="H132" s="50"/>
      <c r="I132" s="50"/>
      <c r="J132" s="50"/>
      <c r="K132" s="50"/>
      <c r="L132" s="136">
        <f t="shared" si="4"/>
        <v>0</v>
      </c>
      <c r="M132" s="136">
        <f t="shared" si="5"/>
        <v>0</v>
      </c>
      <c r="N132" s="54"/>
      <c r="O132" s="138">
        <f t="shared" si="6"/>
        <v>0</v>
      </c>
      <c r="P132" s="54"/>
      <c r="Q132" s="54"/>
      <c r="R132" s="138">
        <f t="shared" si="7"/>
        <v>0</v>
      </c>
      <c r="S132" s="50"/>
      <c r="T132" s="50"/>
      <c r="U132" s="50"/>
      <c r="V132" s="50"/>
      <c r="W132" s="50"/>
      <c r="X132" s="50"/>
      <c r="Y132" s="50"/>
      <c r="Z132" s="50"/>
      <c r="AA132" s="50"/>
      <c r="AB132" s="50"/>
    </row>
    <row r="133" spans="1:28" x14ac:dyDescent="0.2">
      <c r="A133" s="50"/>
      <c r="B133" s="50"/>
      <c r="C133" s="50"/>
      <c r="D133" s="50"/>
      <c r="E133" s="50"/>
      <c r="F133" s="50"/>
      <c r="G133" s="50"/>
      <c r="H133" s="50"/>
      <c r="I133" s="50"/>
      <c r="J133" s="50"/>
      <c r="K133" s="50"/>
      <c r="L133" s="136">
        <f t="shared" ref="L133:L196" si="8">IFERROR(K133*(E133-H133)/60*12,0)</f>
        <v>0</v>
      </c>
      <c r="M133" s="136">
        <f t="shared" ref="M133:M196" si="9">IFERROR(L133/(8*21*12),0)</f>
        <v>0</v>
      </c>
      <c r="N133" s="54"/>
      <c r="O133" s="138">
        <f t="shared" ref="O133:O196" si="10">L133*50</f>
        <v>0</v>
      </c>
      <c r="P133" s="54"/>
      <c r="Q133" s="54"/>
      <c r="R133" s="138">
        <f t="shared" ref="R133:R196" si="11">SUM(N133:P133)</f>
        <v>0</v>
      </c>
      <c r="S133" s="50"/>
      <c r="T133" s="50"/>
      <c r="U133" s="50"/>
      <c r="V133" s="50"/>
      <c r="W133" s="50"/>
      <c r="X133" s="50"/>
      <c r="Y133" s="50"/>
      <c r="Z133" s="50"/>
      <c r="AA133" s="50"/>
      <c r="AB133" s="50"/>
    </row>
    <row r="134" spans="1:28" x14ac:dyDescent="0.2">
      <c r="A134" s="50"/>
      <c r="B134" s="50"/>
      <c r="C134" s="50"/>
      <c r="D134" s="50"/>
      <c r="E134" s="50"/>
      <c r="F134" s="50"/>
      <c r="G134" s="50"/>
      <c r="H134" s="50"/>
      <c r="I134" s="50"/>
      <c r="J134" s="50"/>
      <c r="K134" s="50"/>
      <c r="L134" s="136">
        <f t="shared" si="8"/>
        <v>0</v>
      </c>
      <c r="M134" s="136">
        <f t="shared" si="9"/>
        <v>0</v>
      </c>
      <c r="N134" s="54"/>
      <c r="O134" s="138">
        <f t="shared" si="10"/>
        <v>0</v>
      </c>
      <c r="P134" s="54"/>
      <c r="Q134" s="54"/>
      <c r="R134" s="138">
        <f t="shared" si="11"/>
        <v>0</v>
      </c>
      <c r="S134" s="50"/>
      <c r="T134" s="50"/>
      <c r="U134" s="50"/>
      <c r="V134" s="50"/>
      <c r="W134" s="50"/>
      <c r="X134" s="50"/>
      <c r="Y134" s="50"/>
      <c r="Z134" s="50"/>
      <c r="AA134" s="50"/>
      <c r="AB134" s="50"/>
    </row>
    <row r="135" spans="1:28" x14ac:dyDescent="0.2">
      <c r="A135" s="50"/>
      <c r="B135" s="50"/>
      <c r="C135" s="50"/>
      <c r="D135" s="50"/>
      <c r="E135" s="50"/>
      <c r="F135" s="50"/>
      <c r="G135" s="50"/>
      <c r="H135" s="50"/>
      <c r="I135" s="50"/>
      <c r="J135" s="50"/>
      <c r="K135" s="50"/>
      <c r="L135" s="136">
        <f t="shared" si="8"/>
        <v>0</v>
      </c>
      <c r="M135" s="136">
        <f t="shared" si="9"/>
        <v>0</v>
      </c>
      <c r="N135" s="54"/>
      <c r="O135" s="138">
        <f t="shared" si="10"/>
        <v>0</v>
      </c>
      <c r="P135" s="54"/>
      <c r="Q135" s="54"/>
      <c r="R135" s="138">
        <f t="shared" si="11"/>
        <v>0</v>
      </c>
      <c r="S135" s="50"/>
      <c r="T135" s="50"/>
      <c r="U135" s="50"/>
      <c r="V135" s="50"/>
      <c r="W135" s="50"/>
      <c r="X135" s="50"/>
      <c r="Y135" s="50"/>
      <c r="Z135" s="50"/>
      <c r="AA135" s="50"/>
      <c r="AB135" s="50"/>
    </row>
    <row r="136" spans="1:28" x14ac:dyDescent="0.2">
      <c r="A136" s="50"/>
      <c r="B136" s="50"/>
      <c r="C136" s="50"/>
      <c r="D136" s="50"/>
      <c r="E136" s="50"/>
      <c r="F136" s="50"/>
      <c r="G136" s="50"/>
      <c r="H136" s="50"/>
      <c r="I136" s="50"/>
      <c r="J136" s="50"/>
      <c r="K136" s="50"/>
      <c r="L136" s="136">
        <f t="shared" si="8"/>
        <v>0</v>
      </c>
      <c r="M136" s="136">
        <f t="shared" si="9"/>
        <v>0</v>
      </c>
      <c r="N136" s="54"/>
      <c r="O136" s="138">
        <f t="shared" si="10"/>
        <v>0</v>
      </c>
      <c r="P136" s="54"/>
      <c r="Q136" s="54"/>
      <c r="R136" s="138">
        <f t="shared" si="11"/>
        <v>0</v>
      </c>
      <c r="S136" s="50"/>
      <c r="T136" s="50"/>
      <c r="U136" s="50"/>
      <c r="V136" s="50"/>
      <c r="W136" s="50"/>
      <c r="X136" s="50"/>
      <c r="Y136" s="50"/>
      <c r="Z136" s="50"/>
      <c r="AA136" s="50"/>
      <c r="AB136" s="50"/>
    </row>
    <row r="137" spans="1:28" x14ac:dyDescent="0.2">
      <c r="A137" s="50"/>
      <c r="B137" s="50"/>
      <c r="C137" s="50"/>
      <c r="D137" s="50"/>
      <c r="E137" s="50"/>
      <c r="F137" s="50"/>
      <c r="G137" s="50"/>
      <c r="H137" s="50"/>
      <c r="I137" s="50"/>
      <c r="J137" s="50"/>
      <c r="K137" s="50"/>
      <c r="L137" s="136">
        <f t="shared" si="8"/>
        <v>0</v>
      </c>
      <c r="M137" s="136">
        <f t="shared" si="9"/>
        <v>0</v>
      </c>
      <c r="N137" s="54"/>
      <c r="O137" s="138">
        <f t="shared" si="10"/>
        <v>0</v>
      </c>
      <c r="P137" s="54"/>
      <c r="Q137" s="54"/>
      <c r="R137" s="138">
        <f t="shared" si="11"/>
        <v>0</v>
      </c>
      <c r="S137" s="50"/>
      <c r="T137" s="50"/>
      <c r="U137" s="50"/>
      <c r="V137" s="50"/>
      <c r="W137" s="50"/>
      <c r="X137" s="50"/>
      <c r="Y137" s="50"/>
      <c r="Z137" s="50"/>
      <c r="AA137" s="50"/>
      <c r="AB137" s="50"/>
    </row>
    <row r="138" spans="1:28" x14ac:dyDescent="0.2">
      <c r="A138" s="50"/>
      <c r="B138" s="50"/>
      <c r="C138" s="50"/>
      <c r="D138" s="50"/>
      <c r="E138" s="50"/>
      <c r="F138" s="50"/>
      <c r="G138" s="50"/>
      <c r="H138" s="50"/>
      <c r="I138" s="50"/>
      <c r="J138" s="50"/>
      <c r="K138" s="50"/>
      <c r="L138" s="136">
        <f t="shared" si="8"/>
        <v>0</v>
      </c>
      <c r="M138" s="136">
        <f t="shared" si="9"/>
        <v>0</v>
      </c>
      <c r="N138" s="54"/>
      <c r="O138" s="138">
        <f t="shared" si="10"/>
        <v>0</v>
      </c>
      <c r="P138" s="54"/>
      <c r="Q138" s="54"/>
      <c r="R138" s="138">
        <f t="shared" si="11"/>
        <v>0</v>
      </c>
      <c r="S138" s="50"/>
      <c r="T138" s="50"/>
      <c r="U138" s="50"/>
      <c r="V138" s="50"/>
      <c r="W138" s="50"/>
      <c r="X138" s="50"/>
      <c r="Y138" s="50"/>
      <c r="Z138" s="50"/>
      <c r="AA138" s="50"/>
      <c r="AB138" s="50"/>
    </row>
    <row r="139" spans="1:28" x14ac:dyDescent="0.2">
      <c r="A139" s="50"/>
      <c r="B139" s="50"/>
      <c r="C139" s="50"/>
      <c r="D139" s="50"/>
      <c r="E139" s="50"/>
      <c r="F139" s="50"/>
      <c r="G139" s="50"/>
      <c r="H139" s="50"/>
      <c r="I139" s="50"/>
      <c r="J139" s="50"/>
      <c r="K139" s="50"/>
      <c r="L139" s="136">
        <f t="shared" si="8"/>
        <v>0</v>
      </c>
      <c r="M139" s="136">
        <f t="shared" si="9"/>
        <v>0</v>
      </c>
      <c r="N139" s="54"/>
      <c r="O139" s="138">
        <f t="shared" si="10"/>
        <v>0</v>
      </c>
      <c r="P139" s="54"/>
      <c r="Q139" s="54"/>
      <c r="R139" s="138">
        <f t="shared" si="11"/>
        <v>0</v>
      </c>
      <c r="S139" s="50"/>
      <c r="T139" s="50"/>
      <c r="U139" s="50"/>
      <c r="V139" s="50"/>
      <c r="W139" s="50"/>
      <c r="X139" s="50"/>
      <c r="Y139" s="50"/>
      <c r="Z139" s="50"/>
      <c r="AA139" s="50"/>
      <c r="AB139" s="50"/>
    </row>
    <row r="140" spans="1:28" x14ac:dyDescent="0.2">
      <c r="A140" s="50"/>
      <c r="B140" s="50"/>
      <c r="C140" s="50"/>
      <c r="D140" s="50"/>
      <c r="E140" s="50"/>
      <c r="F140" s="50"/>
      <c r="G140" s="50"/>
      <c r="H140" s="50"/>
      <c r="I140" s="50"/>
      <c r="J140" s="50"/>
      <c r="K140" s="50"/>
      <c r="L140" s="136">
        <f t="shared" si="8"/>
        <v>0</v>
      </c>
      <c r="M140" s="136">
        <f t="shared" si="9"/>
        <v>0</v>
      </c>
      <c r="N140" s="54"/>
      <c r="O140" s="138">
        <f t="shared" si="10"/>
        <v>0</v>
      </c>
      <c r="P140" s="54"/>
      <c r="Q140" s="54"/>
      <c r="R140" s="138">
        <f t="shared" si="11"/>
        <v>0</v>
      </c>
      <c r="S140" s="50"/>
      <c r="T140" s="50"/>
      <c r="U140" s="50"/>
      <c r="V140" s="50"/>
      <c r="W140" s="50"/>
      <c r="X140" s="50"/>
      <c r="Y140" s="50"/>
      <c r="Z140" s="50"/>
      <c r="AA140" s="50"/>
      <c r="AB140" s="50"/>
    </row>
    <row r="141" spans="1:28" x14ac:dyDescent="0.2">
      <c r="A141" s="50"/>
      <c r="B141" s="50"/>
      <c r="C141" s="50"/>
      <c r="D141" s="50"/>
      <c r="E141" s="50"/>
      <c r="F141" s="50"/>
      <c r="G141" s="50"/>
      <c r="H141" s="50"/>
      <c r="I141" s="50"/>
      <c r="J141" s="50"/>
      <c r="K141" s="50"/>
      <c r="L141" s="136">
        <f t="shared" si="8"/>
        <v>0</v>
      </c>
      <c r="M141" s="136">
        <f t="shared" si="9"/>
        <v>0</v>
      </c>
      <c r="N141" s="54"/>
      <c r="O141" s="138">
        <f t="shared" si="10"/>
        <v>0</v>
      </c>
      <c r="P141" s="54"/>
      <c r="Q141" s="54"/>
      <c r="R141" s="138">
        <f t="shared" si="11"/>
        <v>0</v>
      </c>
      <c r="S141" s="50"/>
      <c r="T141" s="50"/>
      <c r="U141" s="50"/>
      <c r="V141" s="50"/>
      <c r="W141" s="50"/>
      <c r="X141" s="50"/>
      <c r="Y141" s="50"/>
      <c r="Z141" s="50"/>
      <c r="AA141" s="50"/>
      <c r="AB141" s="50"/>
    </row>
    <row r="142" spans="1:28" x14ac:dyDescent="0.2">
      <c r="A142" s="50"/>
      <c r="B142" s="50"/>
      <c r="C142" s="50"/>
      <c r="D142" s="50"/>
      <c r="E142" s="50"/>
      <c r="F142" s="50"/>
      <c r="G142" s="50"/>
      <c r="H142" s="50"/>
      <c r="I142" s="50"/>
      <c r="J142" s="50"/>
      <c r="K142" s="50"/>
      <c r="L142" s="136">
        <f t="shared" si="8"/>
        <v>0</v>
      </c>
      <c r="M142" s="136">
        <f t="shared" si="9"/>
        <v>0</v>
      </c>
      <c r="N142" s="54"/>
      <c r="O142" s="138">
        <f t="shared" si="10"/>
        <v>0</v>
      </c>
      <c r="P142" s="54"/>
      <c r="Q142" s="54"/>
      <c r="R142" s="138">
        <f t="shared" si="11"/>
        <v>0</v>
      </c>
      <c r="S142" s="50"/>
      <c r="T142" s="50"/>
      <c r="U142" s="50"/>
      <c r="V142" s="50"/>
      <c r="W142" s="50"/>
      <c r="X142" s="50"/>
      <c r="Y142" s="50"/>
      <c r="Z142" s="50"/>
      <c r="AA142" s="50"/>
      <c r="AB142" s="50"/>
    </row>
    <row r="143" spans="1:28" x14ac:dyDescent="0.2">
      <c r="A143" s="50"/>
      <c r="B143" s="50"/>
      <c r="C143" s="50"/>
      <c r="D143" s="50"/>
      <c r="E143" s="50"/>
      <c r="F143" s="50"/>
      <c r="G143" s="50"/>
      <c r="H143" s="50"/>
      <c r="I143" s="50"/>
      <c r="J143" s="50"/>
      <c r="K143" s="50"/>
      <c r="L143" s="136">
        <f t="shared" si="8"/>
        <v>0</v>
      </c>
      <c r="M143" s="136">
        <f t="shared" si="9"/>
        <v>0</v>
      </c>
      <c r="N143" s="54"/>
      <c r="O143" s="138">
        <f t="shared" si="10"/>
        <v>0</v>
      </c>
      <c r="P143" s="54"/>
      <c r="Q143" s="54"/>
      <c r="R143" s="138">
        <f t="shared" si="11"/>
        <v>0</v>
      </c>
      <c r="S143" s="50"/>
      <c r="T143" s="50"/>
      <c r="U143" s="50"/>
      <c r="V143" s="50"/>
      <c r="W143" s="50"/>
      <c r="X143" s="50"/>
      <c r="Y143" s="50"/>
      <c r="Z143" s="50"/>
      <c r="AA143" s="50"/>
      <c r="AB143" s="50"/>
    </row>
    <row r="144" spans="1:28" x14ac:dyDescent="0.2">
      <c r="A144" s="50"/>
      <c r="B144" s="50"/>
      <c r="C144" s="50"/>
      <c r="D144" s="50"/>
      <c r="E144" s="50"/>
      <c r="F144" s="50"/>
      <c r="G144" s="50"/>
      <c r="H144" s="50"/>
      <c r="I144" s="50"/>
      <c r="J144" s="50"/>
      <c r="K144" s="50"/>
      <c r="L144" s="136">
        <f t="shared" si="8"/>
        <v>0</v>
      </c>
      <c r="M144" s="136">
        <f t="shared" si="9"/>
        <v>0</v>
      </c>
      <c r="N144" s="54"/>
      <c r="O144" s="138">
        <f t="shared" si="10"/>
        <v>0</v>
      </c>
      <c r="P144" s="54"/>
      <c r="Q144" s="54"/>
      <c r="R144" s="138">
        <f t="shared" si="11"/>
        <v>0</v>
      </c>
      <c r="S144" s="50"/>
      <c r="T144" s="50"/>
      <c r="U144" s="50"/>
      <c r="V144" s="50"/>
      <c r="W144" s="50"/>
      <c r="X144" s="50"/>
      <c r="Y144" s="50"/>
      <c r="Z144" s="50"/>
      <c r="AA144" s="50"/>
      <c r="AB144" s="50"/>
    </row>
    <row r="145" spans="1:28" x14ac:dyDescent="0.2">
      <c r="A145" s="50"/>
      <c r="B145" s="50"/>
      <c r="C145" s="50"/>
      <c r="D145" s="50"/>
      <c r="E145" s="50"/>
      <c r="F145" s="50"/>
      <c r="G145" s="50"/>
      <c r="H145" s="50"/>
      <c r="I145" s="50"/>
      <c r="J145" s="50"/>
      <c r="K145" s="50"/>
      <c r="L145" s="136">
        <f t="shared" si="8"/>
        <v>0</v>
      </c>
      <c r="M145" s="136">
        <f t="shared" si="9"/>
        <v>0</v>
      </c>
      <c r="N145" s="54"/>
      <c r="O145" s="138">
        <f t="shared" si="10"/>
        <v>0</v>
      </c>
      <c r="P145" s="54"/>
      <c r="Q145" s="54"/>
      <c r="R145" s="138">
        <f t="shared" si="11"/>
        <v>0</v>
      </c>
      <c r="S145" s="50"/>
      <c r="T145" s="50"/>
      <c r="U145" s="50"/>
      <c r="V145" s="50"/>
      <c r="W145" s="50"/>
      <c r="X145" s="50"/>
      <c r="Y145" s="50"/>
      <c r="Z145" s="50"/>
      <c r="AA145" s="50"/>
      <c r="AB145" s="50"/>
    </row>
    <row r="146" spans="1:28" x14ac:dyDescent="0.2">
      <c r="A146" s="50"/>
      <c r="B146" s="50"/>
      <c r="C146" s="50"/>
      <c r="D146" s="50"/>
      <c r="E146" s="50"/>
      <c r="F146" s="50"/>
      <c r="G146" s="50"/>
      <c r="H146" s="50"/>
      <c r="I146" s="50"/>
      <c r="J146" s="50"/>
      <c r="K146" s="50"/>
      <c r="L146" s="136">
        <f t="shared" si="8"/>
        <v>0</v>
      </c>
      <c r="M146" s="136">
        <f t="shared" si="9"/>
        <v>0</v>
      </c>
      <c r="N146" s="54"/>
      <c r="O146" s="138">
        <f t="shared" si="10"/>
        <v>0</v>
      </c>
      <c r="P146" s="54"/>
      <c r="Q146" s="54"/>
      <c r="R146" s="138">
        <f t="shared" si="11"/>
        <v>0</v>
      </c>
      <c r="S146" s="50"/>
      <c r="T146" s="50"/>
      <c r="U146" s="50"/>
      <c r="V146" s="50"/>
      <c r="W146" s="50"/>
      <c r="X146" s="50"/>
      <c r="Y146" s="50"/>
      <c r="Z146" s="50"/>
      <c r="AA146" s="50"/>
      <c r="AB146" s="50"/>
    </row>
    <row r="147" spans="1:28" x14ac:dyDescent="0.2">
      <c r="A147" s="50"/>
      <c r="B147" s="50"/>
      <c r="C147" s="50"/>
      <c r="D147" s="50"/>
      <c r="E147" s="50"/>
      <c r="F147" s="50"/>
      <c r="G147" s="50"/>
      <c r="H147" s="50"/>
      <c r="I147" s="50"/>
      <c r="J147" s="50"/>
      <c r="K147" s="50"/>
      <c r="L147" s="136">
        <f t="shared" si="8"/>
        <v>0</v>
      </c>
      <c r="M147" s="136">
        <f t="shared" si="9"/>
        <v>0</v>
      </c>
      <c r="N147" s="54"/>
      <c r="O147" s="138">
        <f t="shared" si="10"/>
        <v>0</v>
      </c>
      <c r="P147" s="54"/>
      <c r="Q147" s="54"/>
      <c r="R147" s="138">
        <f t="shared" si="11"/>
        <v>0</v>
      </c>
      <c r="S147" s="50"/>
      <c r="T147" s="50"/>
      <c r="U147" s="50"/>
      <c r="V147" s="50"/>
      <c r="W147" s="50"/>
      <c r="X147" s="50"/>
      <c r="Y147" s="50"/>
      <c r="Z147" s="50"/>
      <c r="AA147" s="50"/>
      <c r="AB147" s="50"/>
    </row>
    <row r="148" spans="1:28" x14ac:dyDescent="0.2">
      <c r="A148" s="50"/>
      <c r="B148" s="50"/>
      <c r="C148" s="50"/>
      <c r="D148" s="50"/>
      <c r="E148" s="50"/>
      <c r="F148" s="50"/>
      <c r="G148" s="50"/>
      <c r="H148" s="50"/>
      <c r="I148" s="50"/>
      <c r="J148" s="50"/>
      <c r="K148" s="50"/>
      <c r="L148" s="136">
        <f t="shared" si="8"/>
        <v>0</v>
      </c>
      <c r="M148" s="136">
        <f t="shared" si="9"/>
        <v>0</v>
      </c>
      <c r="N148" s="54"/>
      <c r="O148" s="138">
        <f t="shared" si="10"/>
        <v>0</v>
      </c>
      <c r="P148" s="54"/>
      <c r="Q148" s="54"/>
      <c r="R148" s="138">
        <f t="shared" si="11"/>
        <v>0</v>
      </c>
      <c r="S148" s="50"/>
      <c r="T148" s="50"/>
      <c r="U148" s="50"/>
      <c r="V148" s="50"/>
      <c r="W148" s="50"/>
      <c r="X148" s="50"/>
      <c r="Y148" s="50"/>
      <c r="Z148" s="50"/>
      <c r="AA148" s="50"/>
      <c r="AB148" s="50"/>
    </row>
    <row r="149" spans="1:28" x14ac:dyDescent="0.2">
      <c r="A149" s="50"/>
      <c r="B149" s="50"/>
      <c r="C149" s="50"/>
      <c r="D149" s="50"/>
      <c r="E149" s="50"/>
      <c r="F149" s="50"/>
      <c r="G149" s="50"/>
      <c r="H149" s="50"/>
      <c r="I149" s="50"/>
      <c r="J149" s="50"/>
      <c r="K149" s="50"/>
      <c r="L149" s="136">
        <f t="shared" si="8"/>
        <v>0</v>
      </c>
      <c r="M149" s="136">
        <f t="shared" si="9"/>
        <v>0</v>
      </c>
      <c r="N149" s="54"/>
      <c r="O149" s="138">
        <f t="shared" si="10"/>
        <v>0</v>
      </c>
      <c r="P149" s="54"/>
      <c r="Q149" s="54"/>
      <c r="R149" s="138">
        <f t="shared" si="11"/>
        <v>0</v>
      </c>
      <c r="S149" s="50"/>
      <c r="T149" s="50"/>
      <c r="U149" s="50"/>
      <c r="V149" s="50"/>
      <c r="W149" s="50"/>
      <c r="X149" s="50"/>
      <c r="Y149" s="50"/>
      <c r="Z149" s="50"/>
      <c r="AA149" s="50"/>
      <c r="AB149" s="50"/>
    </row>
    <row r="150" spans="1:28" x14ac:dyDescent="0.2">
      <c r="A150" s="50"/>
      <c r="B150" s="50"/>
      <c r="C150" s="50"/>
      <c r="D150" s="50"/>
      <c r="E150" s="50"/>
      <c r="F150" s="50"/>
      <c r="G150" s="50"/>
      <c r="H150" s="50"/>
      <c r="I150" s="50"/>
      <c r="J150" s="50"/>
      <c r="K150" s="50"/>
      <c r="L150" s="136">
        <f t="shared" si="8"/>
        <v>0</v>
      </c>
      <c r="M150" s="136">
        <f t="shared" si="9"/>
        <v>0</v>
      </c>
      <c r="N150" s="54"/>
      <c r="O150" s="138">
        <f t="shared" si="10"/>
        <v>0</v>
      </c>
      <c r="P150" s="54"/>
      <c r="Q150" s="54"/>
      <c r="R150" s="138">
        <f t="shared" si="11"/>
        <v>0</v>
      </c>
      <c r="S150" s="50"/>
      <c r="T150" s="50"/>
      <c r="U150" s="50"/>
      <c r="V150" s="50"/>
      <c r="W150" s="50"/>
      <c r="X150" s="50"/>
      <c r="Y150" s="50"/>
      <c r="Z150" s="50"/>
      <c r="AA150" s="50"/>
      <c r="AB150" s="50"/>
    </row>
    <row r="151" spans="1:28" x14ac:dyDescent="0.2">
      <c r="A151" s="50"/>
      <c r="B151" s="50"/>
      <c r="C151" s="50"/>
      <c r="D151" s="50"/>
      <c r="E151" s="50"/>
      <c r="F151" s="50"/>
      <c r="G151" s="50"/>
      <c r="H151" s="50"/>
      <c r="I151" s="50"/>
      <c r="J151" s="50"/>
      <c r="K151" s="50"/>
      <c r="L151" s="136">
        <f t="shared" si="8"/>
        <v>0</v>
      </c>
      <c r="M151" s="136">
        <f t="shared" si="9"/>
        <v>0</v>
      </c>
      <c r="N151" s="54"/>
      <c r="O151" s="138">
        <f t="shared" si="10"/>
        <v>0</v>
      </c>
      <c r="P151" s="54"/>
      <c r="Q151" s="54"/>
      <c r="R151" s="138">
        <f t="shared" si="11"/>
        <v>0</v>
      </c>
      <c r="S151" s="50"/>
      <c r="T151" s="50"/>
      <c r="U151" s="50"/>
      <c r="V151" s="50"/>
      <c r="W151" s="50"/>
      <c r="X151" s="50"/>
      <c r="Y151" s="50"/>
      <c r="Z151" s="50"/>
      <c r="AA151" s="50"/>
      <c r="AB151" s="50"/>
    </row>
    <row r="152" spans="1:28" x14ac:dyDescent="0.2">
      <c r="A152" s="50"/>
      <c r="B152" s="50"/>
      <c r="C152" s="50"/>
      <c r="D152" s="50"/>
      <c r="E152" s="50"/>
      <c r="F152" s="50"/>
      <c r="G152" s="50"/>
      <c r="H152" s="50"/>
      <c r="I152" s="50"/>
      <c r="J152" s="50"/>
      <c r="K152" s="50"/>
      <c r="L152" s="136">
        <f t="shared" si="8"/>
        <v>0</v>
      </c>
      <c r="M152" s="136">
        <f t="shared" si="9"/>
        <v>0</v>
      </c>
      <c r="N152" s="54"/>
      <c r="O152" s="138">
        <f t="shared" si="10"/>
        <v>0</v>
      </c>
      <c r="P152" s="54"/>
      <c r="Q152" s="54"/>
      <c r="R152" s="138">
        <f t="shared" si="11"/>
        <v>0</v>
      </c>
      <c r="S152" s="50"/>
      <c r="T152" s="50"/>
      <c r="U152" s="50"/>
      <c r="V152" s="50"/>
      <c r="W152" s="50"/>
      <c r="X152" s="50"/>
      <c r="Y152" s="50"/>
      <c r="Z152" s="50"/>
      <c r="AA152" s="50"/>
      <c r="AB152" s="50"/>
    </row>
    <row r="153" spans="1:28" x14ac:dyDescent="0.2">
      <c r="A153" s="50"/>
      <c r="B153" s="50"/>
      <c r="C153" s="50"/>
      <c r="D153" s="50"/>
      <c r="E153" s="50"/>
      <c r="F153" s="50"/>
      <c r="G153" s="50"/>
      <c r="H153" s="50"/>
      <c r="I153" s="50"/>
      <c r="J153" s="50"/>
      <c r="K153" s="50"/>
      <c r="L153" s="136">
        <f t="shared" si="8"/>
        <v>0</v>
      </c>
      <c r="M153" s="136">
        <f t="shared" si="9"/>
        <v>0</v>
      </c>
      <c r="N153" s="54"/>
      <c r="O153" s="138">
        <f t="shared" si="10"/>
        <v>0</v>
      </c>
      <c r="P153" s="54"/>
      <c r="Q153" s="54"/>
      <c r="R153" s="138">
        <f t="shared" si="11"/>
        <v>0</v>
      </c>
      <c r="S153" s="50"/>
      <c r="T153" s="50"/>
      <c r="U153" s="50"/>
      <c r="V153" s="50"/>
      <c r="W153" s="50"/>
      <c r="X153" s="50"/>
      <c r="Y153" s="50"/>
      <c r="Z153" s="50"/>
      <c r="AA153" s="50"/>
      <c r="AB153" s="50"/>
    </row>
    <row r="154" spans="1:28" x14ac:dyDescent="0.2">
      <c r="A154" s="50"/>
      <c r="B154" s="50"/>
      <c r="C154" s="50"/>
      <c r="D154" s="50"/>
      <c r="E154" s="50"/>
      <c r="F154" s="50"/>
      <c r="G154" s="50"/>
      <c r="H154" s="50"/>
      <c r="I154" s="50"/>
      <c r="J154" s="50"/>
      <c r="K154" s="50"/>
      <c r="L154" s="136">
        <f t="shared" si="8"/>
        <v>0</v>
      </c>
      <c r="M154" s="136">
        <f t="shared" si="9"/>
        <v>0</v>
      </c>
      <c r="N154" s="54"/>
      <c r="O154" s="138">
        <f t="shared" si="10"/>
        <v>0</v>
      </c>
      <c r="P154" s="54"/>
      <c r="Q154" s="54"/>
      <c r="R154" s="138">
        <f t="shared" si="11"/>
        <v>0</v>
      </c>
      <c r="S154" s="50"/>
      <c r="T154" s="50"/>
      <c r="U154" s="50"/>
      <c r="V154" s="50"/>
      <c r="W154" s="50"/>
      <c r="X154" s="50"/>
      <c r="Y154" s="50"/>
      <c r="Z154" s="50"/>
      <c r="AA154" s="50"/>
      <c r="AB154" s="50"/>
    </row>
    <row r="155" spans="1:28" x14ac:dyDescent="0.2">
      <c r="A155" s="50"/>
      <c r="B155" s="50"/>
      <c r="C155" s="50"/>
      <c r="D155" s="50"/>
      <c r="E155" s="50"/>
      <c r="F155" s="50"/>
      <c r="G155" s="50"/>
      <c r="H155" s="50"/>
      <c r="I155" s="50"/>
      <c r="J155" s="50"/>
      <c r="K155" s="50"/>
      <c r="L155" s="136">
        <f t="shared" si="8"/>
        <v>0</v>
      </c>
      <c r="M155" s="136">
        <f t="shared" si="9"/>
        <v>0</v>
      </c>
      <c r="N155" s="54"/>
      <c r="O155" s="138">
        <f t="shared" si="10"/>
        <v>0</v>
      </c>
      <c r="P155" s="54"/>
      <c r="Q155" s="54"/>
      <c r="R155" s="138">
        <f t="shared" si="11"/>
        <v>0</v>
      </c>
      <c r="S155" s="50"/>
      <c r="T155" s="50"/>
      <c r="U155" s="50"/>
      <c r="V155" s="50"/>
      <c r="W155" s="50"/>
      <c r="X155" s="50"/>
      <c r="Y155" s="50"/>
      <c r="Z155" s="50"/>
      <c r="AA155" s="50"/>
      <c r="AB155" s="50"/>
    </row>
    <row r="156" spans="1:28" x14ac:dyDescent="0.2">
      <c r="A156" s="50"/>
      <c r="B156" s="50"/>
      <c r="C156" s="50"/>
      <c r="D156" s="50"/>
      <c r="E156" s="50"/>
      <c r="F156" s="50"/>
      <c r="G156" s="50"/>
      <c r="H156" s="50"/>
      <c r="I156" s="50"/>
      <c r="J156" s="50"/>
      <c r="K156" s="50"/>
      <c r="L156" s="136">
        <f t="shared" si="8"/>
        <v>0</v>
      </c>
      <c r="M156" s="136">
        <f t="shared" si="9"/>
        <v>0</v>
      </c>
      <c r="N156" s="54"/>
      <c r="O156" s="138">
        <f t="shared" si="10"/>
        <v>0</v>
      </c>
      <c r="P156" s="54"/>
      <c r="Q156" s="54"/>
      <c r="R156" s="138">
        <f t="shared" si="11"/>
        <v>0</v>
      </c>
      <c r="S156" s="50"/>
      <c r="T156" s="50"/>
      <c r="U156" s="50"/>
      <c r="V156" s="50"/>
      <c r="W156" s="50"/>
      <c r="X156" s="50"/>
      <c r="Y156" s="50"/>
      <c r="Z156" s="50"/>
      <c r="AA156" s="50"/>
      <c r="AB156" s="50"/>
    </row>
    <row r="157" spans="1:28" x14ac:dyDescent="0.2">
      <c r="A157" s="50"/>
      <c r="B157" s="50"/>
      <c r="C157" s="50"/>
      <c r="D157" s="50"/>
      <c r="E157" s="50"/>
      <c r="F157" s="50"/>
      <c r="G157" s="50"/>
      <c r="H157" s="50"/>
      <c r="I157" s="50"/>
      <c r="J157" s="50"/>
      <c r="K157" s="50"/>
      <c r="L157" s="136">
        <f t="shared" si="8"/>
        <v>0</v>
      </c>
      <c r="M157" s="136">
        <f t="shared" si="9"/>
        <v>0</v>
      </c>
      <c r="N157" s="54"/>
      <c r="O157" s="138">
        <f t="shared" si="10"/>
        <v>0</v>
      </c>
      <c r="P157" s="54"/>
      <c r="Q157" s="54"/>
      <c r="R157" s="138">
        <f t="shared" si="11"/>
        <v>0</v>
      </c>
      <c r="S157" s="50"/>
      <c r="T157" s="50"/>
      <c r="U157" s="50"/>
      <c r="V157" s="50"/>
      <c r="W157" s="50"/>
      <c r="X157" s="50"/>
      <c r="Y157" s="50"/>
      <c r="Z157" s="50"/>
      <c r="AA157" s="50"/>
      <c r="AB157" s="50"/>
    </row>
    <row r="158" spans="1:28" x14ac:dyDescent="0.2">
      <c r="A158" s="50"/>
      <c r="B158" s="50"/>
      <c r="C158" s="50"/>
      <c r="D158" s="50"/>
      <c r="E158" s="50"/>
      <c r="F158" s="50"/>
      <c r="G158" s="50"/>
      <c r="H158" s="50"/>
      <c r="I158" s="50"/>
      <c r="J158" s="50"/>
      <c r="K158" s="50"/>
      <c r="L158" s="136">
        <f t="shared" si="8"/>
        <v>0</v>
      </c>
      <c r="M158" s="136">
        <f t="shared" si="9"/>
        <v>0</v>
      </c>
      <c r="N158" s="54"/>
      <c r="O158" s="138">
        <f t="shared" si="10"/>
        <v>0</v>
      </c>
      <c r="P158" s="54"/>
      <c r="Q158" s="54"/>
      <c r="R158" s="138">
        <f t="shared" si="11"/>
        <v>0</v>
      </c>
      <c r="S158" s="50"/>
      <c r="T158" s="50"/>
      <c r="U158" s="50"/>
      <c r="V158" s="50"/>
      <c r="W158" s="50"/>
      <c r="X158" s="50"/>
      <c r="Y158" s="50"/>
      <c r="Z158" s="50"/>
      <c r="AA158" s="50"/>
      <c r="AB158" s="50"/>
    </row>
    <row r="159" spans="1:28" x14ac:dyDescent="0.2">
      <c r="A159" s="50"/>
      <c r="B159" s="50"/>
      <c r="C159" s="50"/>
      <c r="D159" s="50"/>
      <c r="E159" s="50"/>
      <c r="F159" s="50"/>
      <c r="G159" s="50"/>
      <c r="H159" s="50"/>
      <c r="I159" s="50"/>
      <c r="J159" s="50"/>
      <c r="K159" s="50"/>
      <c r="L159" s="136">
        <f t="shared" si="8"/>
        <v>0</v>
      </c>
      <c r="M159" s="136">
        <f t="shared" si="9"/>
        <v>0</v>
      </c>
      <c r="N159" s="54"/>
      <c r="O159" s="138">
        <f t="shared" si="10"/>
        <v>0</v>
      </c>
      <c r="P159" s="54"/>
      <c r="Q159" s="54"/>
      <c r="R159" s="138">
        <f t="shared" si="11"/>
        <v>0</v>
      </c>
      <c r="S159" s="50"/>
      <c r="T159" s="50"/>
      <c r="U159" s="50"/>
      <c r="V159" s="50"/>
      <c r="W159" s="50"/>
      <c r="X159" s="50"/>
      <c r="Y159" s="50"/>
      <c r="Z159" s="50"/>
      <c r="AA159" s="50"/>
      <c r="AB159" s="50"/>
    </row>
    <row r="160" spans="1:28" x14ac:dyDescent="0.2">
      <c r="A160" s="50"/>
      <c r="B160" s="50"/>
      <c r="C160" s="50"/>
      <c r="D160" s="50"/>
      <c r="E160" s="50"/>
      <c r="F160" s="50"/>
      <c r="G160" s="50"/>
      <c r="H160" s="50"/>
      <c r="I160" s="50"/>
      <c r="J160" s="50"/>
      <c r="K160" s="50"/>
      <c r="L160" s="136">
        <f t="shared" si="8"/>
        <v>0</v>
      </c>
      <c r="M160" s="136">
        <f t="shared" si="9"/>
        <v>0</v>
      </c>
      <c r="N160" s="54"/>
      <c r="O160" s="138">
        <f t="shared" si="10"/>
        <v>0</v>
      </c>
      <c r="P160" s="54"/>
      <c r="Q160" s="54"/>
      <c r="R160" s="138">
        <f t="shared" si="11"/>
        <v>0</v>
      </c>
      <c r="S160" s="50"/>
      <c r="T160" s="50"/>
      <c r="U160" s="50"/>
      <c r="V160" s="50"/>
      <c r="W160" s="50"/>
      <c r="X160" s="50"/>
      <c r="Y160" s="50"/>
      <c r="Z160" s="50"/>
      <c r="AA160" s="50"/>
      <c r="AB160" s="50"/>
    </row>
    <row r="161" spans="1:28" x14ac:dyDescent="0.2">
      <c r="A161" s="50"/>
      <c r="B161" s="50"/>
      <c r="C161" s="50"/>
      <c r="D161" s="50"/>
      <c r="E161" s="50"/>
      <c r="F161" s="50"/>
      <c r="G161" s="50"/>
      <c r="H161" s="50"/>
      <c r="I161" s="50"/>
      <c r="J161" s="50"/>
      <c r="K161" s="50"/>
      <c r="L161" s="136">
        <f t="shared" si="8"/>
        <v>0</v>
      </c>
      <c r="M161" s="136">
        <f t="shared" si="9"/>
        <v>0</v>
      </c>
      <c r="N161" s="54"/>
      <c r="O161" s="138">
        <f t="shared" si="10"/>
        <v>0</v>
      </c>
      <c r="P161" s="54"/>
      <c r="Q161" s="54"/>
      <c r="R161" s="138">
        <f t="shared" si="11"/>
        <v>0</v>
      </c>
      <c r="S161" s="50"/>
      <c r="T161" s="50"/>
      <c r="U161" s="50"/>
      <c r="V161" s="50"/>
      <c r="W161" s="50"/>
      <c r="X161" s="50"/>
      <c r="Y161" s="50"/>
      <c r="Z161" s="50"/>
      <c r="AA161" s="50"/>
      <c r="AB161" s="50"/>
    </row>
    <row r="162" spans="1:28" x14ac:dyDescent="0.2">
      <c r="A162" s="50"/>
      <c r="B162" s="50"/>
      <c r="C162" s="50"/>
      <c r="D162" s="50"/>
      <c r="E162" s="50"/>
      <c r="F162" s="50"/>
      <c r="G162" s="50"/>
      <c r="H162" s="50"/>
      <c r="I162" s="50"/>
      <c r="J162" s="50"/>
      <c r="K162" s="50"/>
      <c r="L162" s="136">
        <f t="shared" si="8"/>
        <v>0</v>
      </c>
      <c r="M162" s="136">
        <f t="shared" si="9"/>
        <v>0</v>
      </c>
      <c r="N162" s="54"/>
      <c r="O162" s="138">
        <f t="shared" si="10"/>
        <v>0</v>
      </c>
      <c r="P162" s="54"/>
      <c r="Q162" s="54"/>
      <c r="R162" s="138">
        <f t="shared" si="11"/>
        <v>0</v>
      </c>
      <c r="S162" s="50"/>
      <c r="T162" s="50"/>
      <c r="U162" s="50"/>
      <c r="V162" s="50"/>
      <c r="W162" s="50"/>
      <c r="X162" s="50"/>
      <c r="Y162" s="50"/>
      <c r="Z162" s="50"/>
      <c r="AA162" s="50"/>
      <c r="AB162" s="50"/>
    </row>
    <row r="163" spans="1:28" x14ac:dyDescent="0.2">
      <c r="A163" s="50"/>
      <c r="B163" s="50"/>
      <c r="C163" s="50"/>
      <c r="D163" s="50"/>
      <c r="E163" s="50"/>
      <c r="F163" s="50"/>
      <c r="G163" s="50"/>
      <c r="H163" s="50"/>
      <c r="I163" s="50"/>
      <c r="J163" s="50"/>
      <c r="K163" s="50"/>
      <c r="L163" s="136">
        <f t="shared" si="8"/>
        <v>0</v>
      </c>
      <c r="M163" s="136">
        <f t="shared" si="9"/>
        <v>0</v>
      </c>
      <c r="N163" s="54"/>
      <c r="O163" s="138">
        <f t="shared" si="10"/>
        <v>0</v>
      </c>
      <c r="P163" s="54"/>
      <c r="Q163" s="54"/>
      <c r="R163" s="138">
        <f t="shared" si="11"/>
        <v>0</v>
      </c>
      <c r="S163" s="50"/>
      <c r="T163" s="50"/>
      <c r="U163" s="50"/>
      <c r="V163" s="50"/>
      <c r="W163" s="50"/>
      <c r="X163" s="50"/>
      <c r="Y163" s="50"/>
      <c r="Z163" s="50"/>
      <c r="AA163" s="50"/>
      <c r="AB163" s="50"/>
    </row>
    <row r="164" spans="1:28" x14ac:dyDescent="0.2">
      <c r="A164" s="50"/>
      <c r="B164" s="50"/>
      <c r="C164" s="50"/>
      <c r="D164" s="50"/>
      <c r="E164" s="50"/>
      <c r="F164" s="50"/>
      <c r="G164" s="50"/>
      <c r="H164" s="50"/>
      <c r="I164" s="50"/>
      <c r="J164" s="50"/>
      <c r="K164" s="50"/>
      <c r="L164" s="136">
        <f t="shared" si="8"/>
        <v>0</v>
      </c>
      <c r="M164" s="136">
        <f t="shared" si="9"/>
        <v>0</v>
      </c>
      <c r="N164" s="54"/>
      <c r="O164" s="138">
        <f t="shared" si="10"/>
        <v>0</v>
      </c>
      <c r="P164" s="54"/>
      <c r="Q164" s="54"/>
      <c r="R164" s="138">
        <f t="shared" si="11"/>
        <v>0</v>
      </c>
      <c r="S164" s="50"/>
      <c r="T164" s="50"/>
      <c r="U164" s="50"/>
      <c r="V164" s="50"/>
      <c r="W164" s="50"/>
      <c r="X164" s="50"/>
      <c r="Y164" s="50"/>
      <c r="Z164" s="50"/>
      <c r="AA164" s="50"/>
      <c r="AB164" s="50"/>
    </row>
    <row r="165" spans="1:28" x14ac:dyDescent="0.2">
      <c r="A165" s="50"/>
      <c r="B165" s="50"/>
      <c r="C165" s="50"/>
      <c r="D165" s="50"/>
      <c r="E165" s="50"/>
      <c r="F165" s="50"/>
      <c r="G165" s="50"/>
      <c r="H165" s="50"/>
      <c r="I165" s="50"/>
      <c r="J165" s="50"/>
      <c r="K165" s="50"/>
      <c r="L165" s="136">
        <f t="shared" si="8"/>
        <v>0</v>
      </c>
      <c r="M165" s="136">
        <f t="shared" si="9"/>
        <v>0</v>
      </c>
      <c r="N165" s="54"/>
      <c r="O165" s="138">
        <f t="shared" si="10"/>
        <v>0</v>
      </c>
      <c r="P165" s="54"/>
      <c r="Q165" s="54"/>
      <c r="R165" s="138">
        <f t="shared" si="11"/>
        <v>0</v>
      </c>
      <c r="S165" s="50"/>
      <c r="T165" s="50"/>
      <c r="U165" s="50"/>
      <c r="V165" s="50"/>
      <c r="W165" s="50"/>
      <c r="X165" s="50"/>
      <c r="Y165" s="50"/>
      <c r="Z165" s="50"/>
      <c r="AA165" s="50"/>
      <c r="AB165" s="50"/>
    </row>
    <row r="166" spans="1:28" x14ac:dyDescent="0.2">
      <c r="A166" s="50"/>
      <c r="B166" s="50"/>
      <c r="C166" s="50"/>
      <c r="D166" s="50"/>
      <c r="E166" s="50"/>
      <c r="F166" s="50"/>
      <c r="G166" s="50"/>
      <c r="H166" s="50"/>
      <c r="I166" s="50"/>
      <c r="J166" s="50"/>
      <c r="K166" s="50"/>
      <c r="L166" s="136">
        <f t="shared" si="8"/>
        <v>0</v>
      </c>
      <c r="M166" s="136">
        <f t="shared" si="9"/>
        <v>0</v>
      </c>
      <c r="N166" s="54"/>
      <c r="O166" s="138">
        <f t="shared" si="10"/>
        <v>0</v>
      </c>
      <c r="P166" s="54"/>
      <c r="Q166" s="54"/>
      <c r="R166" s="138">
        <f t="shared" si="11"/>
        <v>0</v>
      </c>
      <c r="S166" s="50"/>
      <c r="T166" s="50"/>
      <c r="U166" s="50"/>
      <c r="V166" s="50"/>
      <c r="W166" s="50"/>
      <c r="X166" s="50"/>
      <c r="Y166" s="50"/>
      <c r="Z166" s="50"/>
      <c r="AA166" s="50"/>
      <c r="AB166" s="50"/>
    </row>
    <row r="167" spans="1:28" x14ac:dyDescent="0.2">
      <c r="A167" s="50"/>
      <c r="B167" s="50"/>
      <c r="C167" s="50"/>
      <c r="D167" s="50"/>
      <c r="E167" s="50"/>
      <c r="F167" s="50"/>
      <c r="G167" s="50"/>
      <c r="H167" s="50"/>
      <c r="I167" s="50"/>
      <c r="J167" s="50"/>
      <c r="K167" s="50"/>
      <c r="L167" s="136">
        <f t="shared" si="8"/>
        <v>0</v>
      </c>
      <c r="M167" s="136">
        <f t="shared" si="9"/>
        <v>0</v>
      </c>
      <c r="N167" s="54"/>
      <c r="O167" s="138">
        <f t="shared" si="10"/>
        <v>0</v>
      </c>
      <c r="P167" s="54"/>
      <c r="Q167" s="54"/>
      <c r="R167" s="138">
        <f t="shared" si="11"/>
        <v>0</v>
      </c>
      <c r="S167" s="50"/>
      <c r="T167" s="50"/>
      <c r="U167" s="50"/>
      <c r="V167" s="50"/>
      <c r="W167" s="50"/>
      <c r="X167" s="50"/>
      <c r="Y167" s="50"/>
      <c r="Z167" s="50"/>
      <c r="AA167" s="50"/>
      <c r="AB167" s="50"/>
    </row>
    <row r="168" spans="1:28" x14ac:dyDescent="0.2">
      <c r="A168" s="50"/>
      <c r="B168" s="50"/>
      <c r="C168" s="50"/>
      <c r="D168" s="50"/>
      <c r="E168" s="50"/>
      <c r="F168" s="50"/>
      <c r="G168" s="50"/>
      <c r="H168" s="50"/>
      <c r="I168" s="50"/>
      <c r="J168" s="50"/>
      <c r="K168" s="50"/>
      <c r="L168" s="136">
        <f t="shared" si="8"/>
        <v>0</v>
      </c>
      <c r="M168" s="136">
        <f t="shared" si="9"/>
        <v>0</v>
      </c>
      <c r="N168" s="54"/>
      <c r="O168" s="138">
        <f t="shared" si="10"/>
        <v>0</v>
      </c>
      <c r="P168" s="54"/>
      <c r="Q168" s="54"/>
      <c r="R168" s="138">
        <f t="shared" si="11"/>
        <v>0</v>
      </c>
      <c r="S168" s="50"/>
      <c r="T168" s="50"/>
      <c r="U168" s="50"/>
      <c r="V168" s="50"/>
      <c r="W168" s="50"/>
      <c r="X168" s="50"/>
      <c r="Y168" s="50"/>
      <c r="Z168" s="50"/>
      <c r="AA168" s="50"/>
      <c r="AB168" s="50"/>
    </row>
    <row r="169" spans="1:28" x14ac:dyDescent="0.2">
      <c r="A169" s="50"/>
      <c r="B169" s="50"/>
      <c r="C169" s="50"/>
      <c r="D169" s="50"/>
      <c r="E169" s="50"/>
      <c r="F169" s="50"/>
      <c r="G169" s="50"/>
      <c r="H169" s="50"/>
      <c r="I169" s="50"/>
      <c r="J169" s="50"/>
      <c r="K169" s="50"/>
      <c r="L169" s="136">
        <f t="shared" si="8"/>
        <v>0</v>
      </c>
      <c r="M169" s="136">
        <f t="shared" si="9"/>
        <v>0</v>
      </c>
      <c r="N169" s="54"/>
      <c r="O169" s="138">
        <f t="shared" si="10"/>
        <v>0</v>
      </c>
      <c r="P169" s="54"/>
      <c r="Q169" s="54"/>
      <c r="R169" s="138">
        <f t="shared" si="11"/>
        <v>0</v>
      </c>
      <c r="S169" s="50"/>
      <c r="T169" s="50"/>
      <c r="U169" s="50"/>
      <c r="V169" s="50"/>
      <c r="W169" s="50"/>
      <c r="X169" s="50"/>
      <c r="Y169" s="50"/>
      <c r="Z169" s="50"/>
      <c r="AA169" s="50"/>
      <c r="AB169" s="50"/>
    </row>
    <row r="170" spans="1:28" x14ac:dyDescent="0.2">
      <c r="A170" s="50"/>
      <c r="B170" s="50"/>
      <c r="C170" s="50"/>
      <c r="D170" s="50"/>
      <c r="E170" s="50"/>
      <c r="F170" s="50"/>
      <c r="G170" s="50"/>
      <c r="H170" s="50"/>
      <c r="I170" s="50"/>
      <c r="J170" s="50"/>
      <c r="K170" s="50"/>
      <c r="L170" s="136">
        <f t="shared" si="8"/>
        <v>0</v>
      </c>
      <c r="M170" s="136">
        <f t="shared" si="9"/>
        <v>0</v>
      </c>
      <c r="N170" s="54"/>
      <c r="O170" s="138">
        <f t="shared" si="10"/>
        <v>0</v>
      </c>
      <c r="P170" s="54"/>
      <c r="Q170" s="54"/>
      <c r="R170" s="138">
        <f t="shared" si="11"/>
        <v>0</v>
      </c>
      <c r="S170" s="50"/>
      <c r="T170" s="50"/>
      <c r="U170" s="50"/>
      <c r="V170" s="50"/>
      <c r="W170" s="50"/>
      <c r="X170" s="50"/>
      <c r="Y170" s="50"/>
      <c r="Z170" s="50"/>
      <c r="AA170" s="50"/>
      <c r="AB170" s="50"/>
    </row>
    <row r="171" spans="1:28" x14ac:dyDescent="0.2">
      <c r="A171" s="50"/>
      <c r="B171" s="50"/>
      <c r="C171" s="50"/>
      <c r="D171" s="50"/>
      <c r="E171" s="50"/>
      <c r="F171" s="50"/>
      <c r="G171" s="50"/>
      <c r="H171" s="50"/>
      <c r="I171" s="50"/>
      <c r="J171" s="50"/>
      <c r="K171" s="50"/>
      <c r="L171" s="136">
        <f t="shared" si="8"/>
        <v>0</v>
      </c>
      <c r="M171" s="136">
        <f t="shared" si="9"/>
        <v>0</v>
      </c>
      <c r="N171" s="54"/>
      <c r="O171" s="138">
        <f t="shared" si="10"/>
        <v>0</v>
      </c>
      <c r="P171" s="54"/>
      <c r="Q171" s="54"/>
      <c r="R171" s="138">
        <f t="shared" si="11"/>
        <v>0</v>
      </c>
      <c r="S171" s="50"/>
      <c r="T171" s="50"/>
      <c r="U171" s="50"/>
      <c r="V171" s="50"/>
      <c r="W171" s="50"/>
      <c r="X171" s="50"/>
      <c r="Y171" s="50"/>
      <c r="Z171" s="50"/>
      <c r="AA171" s="50"/>
      <c r="AB171" s="50"/>
    </row>
    <row r="172" spans="1:28" x14ac:dyDescent="0.2">
      <c r="A172" s="50"/>
      <c r="B172" s="50"/>
      <c r="C172" s="50"/>
      <c r="D172" s="50"/>
      <c r="E172" s="50"/>
      <c r="F172" s="50"/>
      <c r="G172" s="50"/>
      <c r="H172" s="50"/>
      <c r="I172" s="50"/>
      <c r="J172" s="50"/>
      <c r="K172" s="50"/>
      <c r="L172" s="136">
        <f t="shared" si="8"/>
        <v>0</v>
      </c>
      <c r="M172" s="136">
        <f t="shared" si="9"/>
        <v>0</v>
      </c>
      <c r="N172" s="54"/>
      <c r="O172" s="138">
        <f t="shared" si="10"/>
        <v>0</v>
      </c>
      <c r="P172" s="54"/>
      <c r="Q172" s="54"/>
      <c r="R172" s="138">
        <f t="shared" si="11"/>
        <v>0</v>
      </c>
      <c r="S172" s="50"/>
      <c r="T172" s="50"/>
      <c r="U172" s="50"/>
      <c r="V172" s="50"/>
      <c r="W172" s="50"/>
      <c r="X172" s="50"/>
      <c r="Y172" s="50"/>
      <c r="Z172" s="50"/>
      <c r="AA172" s="50"/>
      <c r="AB172" s="50"/>
    </row>
    <row r="173" spans="1:28" x14ac:dyDescent="0.2">
      <c r="A173" s="50"/>
      <c r="B173" s="50"/>
      <c r="C173" s="50"/>
      <c r="D173" s="50"/>
      <c r="E173" s="50"/>
      <c r="F173" s="50"/>
      <c r="G173" s="50"/>
      <c r="H173" s="50"/>
      <c r="I173" s="50"/>
      <c r="J173" s="50"/>
      <c r="K173" s="50"/>
      <c r="L173" s="136">
        <f t="shared" si="8"/>
        <v>0</v>
      </c>
      <c r="M173" s="136">
        <f t="shared" si="9"/>
        <v>0</v>
      </c>
      <c r="N173" s="54"/>
      <c r="O173" s="138">
        <f t="shared" si="10"/>
        <v>0</v>
      </c>
      <c r="P173" s="54"/>
      <c r="Q173" s="54"/>
      <c r="R173" s="138">
        <f t="shared" si="11"/>
        <v>0</v>
      </c>
      <c r="S173" s="50"/>
      <c r="T173" s="50"/>
      <c r="U173" s="50"/>
      <c r="V173" s="50"/>
      <c r="W173" s="50"/>
      <c r="X173" s="50"/>
      <c r="Y173" s="50"/>
      <c r="Z173" s="50"/>
      <c r="AA173" s="50"/>
      <c r="AB173" s="50"/>
    </row>
    <row r="174" spans="1:28" x14ac:dyDescent="0.2">
      <c r="A174" s="50"/>
      <c r="B174" s="50"/>
      <c r="C174" s="50"/>
      <c r="D174" s="50"/>
      <c r="E174" s="50"/>
      <c r="F174" s="50"/>
      <c r="G174" s="50"/>
      <c r="H174" s="50"/>
      <c r="I174" s="50"/>
      <c r="J174" s="50"/>
      <c r="K174" s="50"/>
      <c r="L174" s="136">
        <f t="shared" si="8"/>
        <v>0</v>
      </c>
      <c r="M174" s="136">
        <f t="shared" si="9"/>
        <v>0</v>
      </c>
      <c r="N174" s="54"/>
      <c r="O174" s="138">
        <f t="shared" si="10"/>
        <v>0</v>
      </c>
      <c r="P174" s="54"/>
      <c r="Q174" s="54"/>
      <c r="R174" s="138">
        <f t="shared" si="11"/>
        <v>0</v>
      </c>
      <c r="S174" s="50"/>
      <c r="T174" s="50"/>
      <c r="U174" s="50"/>
      <c r="V174" s="50"/>
      <c r="W174" s="50"/>
      <c r="X174" s="50"/>
      <c r="Y174" s="50"/>
      <c r="Z174" s="50"/>
      <c r="AA174" s="50"/>
      <c r="AB174" s="50"/>
    </row>
    <row r="175" spans="1:28" x14ac:dyDescent="0.2">
      <c r="A175" s="50"/>
      <c r="B175" s="50"/>
      <c r="C175" s="50"/>
      <c r="D175" s="50"/>
      <c r="E175" s="50"/>
      <c r="F175" s="50"/>
      <c r="G175" s="50"/>
      <c r="H175" s="50"/>
      <c r="I175" s="50"/>
      <c r="J175" s="50"/>
      <c r="K175" s="50"/>
      <c r="L175" s="136">
        <f t="shared" si="8"/>
        <v>0</v>
      </c>
      <c r="M175" s="136">
        <f t="shared" si="9"/>
        <v>0</v>
      </c>
      <c r="N175" s="54"/>
      <c r="O175" s="138">
        <f t="shared" si="10"/>
        <v>0</v>
      </c>
      <c r="P175" s="54"/>
      <c r="Q175" s="54"/>
      <c r="R175" s="138">
        <f t="shared" si="11"/>
        <v>0</v>
      </c>
      <c r="S175" s="50"/>
      <c r="T175" s="50"/>
      <c r="U175" s="50"/>
      <c r="V175" s="50"/>
      <c r="W175" s="50"/>
      <c r="X175" s="50"/>
      <c r="Y175" s="50"/>
      <c r="Z175" s="50"/>
      <c r="AA175" s="50"/>
      <c r="AB175" s="50"/>
    </row>
    <row r="176" spans="1:28" x14ac:dyDescent="0.2">
      <c r="A176" s="50"/>
      <c r="B176" s="50"/>
      <c r="C176" s="50"/>
      <c r="D176" s="50"/>
      <c r="E176" s="50"/>
      <c r="F176" s="50"/>
      <c r="G176" s="50"/>
      <c r="H176" s="50"/>
      <c r="I176" s="50"/>
      <c r="J176" s="50"/>
      <c r="K176" s="50"/>
      <c r="L176" s="136">
        <f t="shared" si="8"/>
        <v>0</v>
      </c>
      <c r="M176" s="136">
        <f t="shared" si="9"/>
        <v>0</v>
      </c>
      <c r="N176" s="54"/>
      <c r="O176" s="138">
        <f t="shared" si="10"/>
        <v>0</v>
      </c>
      <c r="P176" s="54"/>
      <c r="Q176" s="54"/>
      <c r="R176" s="138">
        <f t="shared" si="11"/>
        <v>0</v>
      </c>
      <c r="S176" s="50"/>
      <c r="T176" s="50"/>
      <c r="U176" s="50"/>
      <c r="V176" s="50"/>
      <c r="W176" s="50"/>
      <c r="X176" s="50"/>
      <c r="Y176" s="50"/>
      <c r="Z176" s="50"/>
      <c r="AA176" s="50"/>
      <c r="AB176" s="50"/>
    </row>
    <row r="177" spans="1:28" x14ac:dyDescent="0.2">
      <c r="A177" s="50"/>
      <c r="B177" s="50"/>
      <c r="C177" s="50"/>
      <c r="D177" s="50"/>
      <c r="E177" s="50"/>
      <c r="F177" s="50"/>
      <c r="G177" s="50"/>
      <c r="H177" s="50"/>
      <c r="I177" s="50"/>
      <c r="J177" s="50"/>
      <c r="K177" s="50"/>
      <c r="L177" s="136">
        <f t="shared" si="8"/>
        <v>0</v>
      </c>
      <c r="M177" s="136">
        <f t="shared" si="9"/>
        <v>0</v>
      </c>
      <c r="N177" s="54"/>
      <c r="O177" s="138">
        <f t="shared" si="10"/>
        <v>0</v>
      </c>
      <c r="P177" s="54"/>
      <c r="Q177" s="54"/>
      <c r="R177" s="138">
        <f t="shared" si="11"/>
        <v>0</v>
      </c>
      <c r="S177" s="50"/>
      <c r="T177" s="50"/>
      <c r="U177" s="50"/>
      <c r="V177" s="50"/>
      <c r="W177" s="50"/>
      <c r="X177" s="50"/>
      <c r="Y177" s="50"/>
      <c r="Z177" s="50"/>
      <c r="AA177" s="50"/>
      <c r="AB177" s="50"/>
    </row>
    <row r="178" spans="1:28" x14ac:dyDescent="0.2">
      <c r="A178" s="50"/>
      <c r="B178" s="50"/>
      <c r="C178" s="50"/>
      <c r="D178" s="50"/>
      <c r="E178" s="50"/>
      <c r="F178" s="50"/>
      <c r="G178" s="50"/>
      <c r="H178" s="50"/>
      <c r="I178" s="50"/>
      <c r="J178" s="50"/>
      <c r="K178" s="50"/>
      <c r="L178" s="136">
        <f t="shared" si="8"/>
        <v>0</v>
      </c>
      <c r="M178" s="136">
        <f t="shared" si="9"/>
        <v>0</v>
      </c>
      <c r="N178" s="54"/>
      <c r="O178" s="138">
        <f t="shared" si="10"/>
        <v>0</v>
      </c>
      <c r="P178" s="54"/>
      <c r="Q178" s="54"/>
      <c r="R178" s="138">
        <f t="shared" si="11"/>
        <v>0</v>
      </c>
      <c r="S178" s="50"/>
      <c r="T178" s="50"/>
      <c r="U178" s="50"/>
      <c r="V178" s="50"/>
      <c r="W178" s="50"/>
      <c r="X178" s="50"/>
      <c r="Y178" s="50"/>
      <c r="Z178" s="50"/>
      <c r="AA178" s="50"/>
      <c r="AB178" s="50"/>
    </row>
    <row r="179" spans="1:28" x14ac:dyDescent="0.2">
      <c r="A179" s="50"/>
      <c r="B179" s="50"/>
      <c r="C179" s="50"/>
      <c r="D179" s="50"/>
      <c r="E179" s="50"/>
      <c r="F179" s="50"/>
      <c r="G179" s="50"/>
      <c r="H179" s="50"/>
      <c r="I179" s="50"/>
      <c r="J179" s="50"/>
      <c r="K179" s="50"/>
      <c r="L179" s="136">
        <f t="shared" si="8"/>
        <v>0</v>
      </c>
      <c r="M179" s="136">
        <f t="shared" si="9"/>
        <v>0</v>
      </c>
      <c r="N179" s="54"/>
      <c r="O179" s="138">
        <f t="shared" si="10"/>
        <v>0</v>
      </c>
      <c r="P179" s="54"/>
      <c r="Q179" s="54"/>
      <c r="R179" s="138">
        <f t="shared" si="11"/>
        <v>0</v>
      </c>
      <c r="S179" s="50"/>
      <c r="T179" s="50"/>
      <c r="U179" s="50"/>
      <c r="V179" s="50"/>
      <c r="W179" s="50"/>
      <c r="X179" s="50"/>
      <c r="Y179" s="50"/>
      <c r="Z179" s="50"/>
      <c r="AA179" s="50"/>
      <c r="AB179" s="50"/>
    </row>
    <row r="180" spans="1:28" x14ac:dyDescent="0.2">
      <c r="A180" s="50"/>
      <c r="B180" s="50"/>
      <c r="C180" s="50"/>
      <c r="D180" s="50"/>
      <c r="E180" s="50"/>
      <c r="F180" s="50"/>
      <c r="G180" s="50"/>
      <c r="H180" s="50"/>
      <c r="I180" s="50"/>
      <c r="J180" s="50"/>
      <c r="K180" s="50"/>
      <c r="L180" s="136">
        <f t="shared" si="8"/>
        <v>0</v>
      </c>
      <c r="M180" s="136">
        <f t="shared" si="9"/>
        <v>0</v>
      </c>
      <c r="N180" s="54"/>
      <c r="O180" s="138">
        <f t="shared" si="10"/>
        <v>0</v>
      </c>
      <c r="P180" s="54"/>
      <c r="Q180" s="54"/>
      <c r="R180" s="138">
        <f t="shared" si="11"/>
        <v>0</v>
      </c>
      <c r="S180" s="50"/>
      <c r="T180" s="50"/>
      <c r="U180" s="50"/>
      <c r="V180" s="50"/>
      <c r="W180" s="50"/>
      <c r="X180" s="50"/>
      <c r="Y180" s="50"/>
      <c r="Z180" s="50"/>
      <c r="AA180" s="50"/>
      <c r="AB180" s="50"/>
    </row>
    <row r="181" spans="1:28" x14ac:dyDescent="0.2">
      <c r="A181" s="50"/>
      <c r="B181" s="50"/>
      <c r="C181" s="50"/>
      <c r="D181" s="50"/>
      <c r="E181" s="50"/>
      <c r="F181" s="50"/>
      <c r="G181" s="50"/>
      <c r="H181" s="50"/>
      <c r="I181" s="50"/>
      <c r="J181" s="50"/>
      <c r="K181" s="50"/>
      <c r="L181" s="136">
        <f t="shared" si="8"/>
        <v>0</v>
      </c>
      <c r="M181" s="136">
        <f t="shared" si="9"/>
        <v>0</v>
      </c>
      <c r="N181" s="54"/>
      <c r="O181" s="138">
        <f t="shared" si="10"/>
        <v>0</v>
      </c>
      <c r="P181" s="54"/>
      <c r="Q181" s="54"/>
      <c r="R181" s="138">
        <f t="shared" si="11"/>
        <v>0</v>
      </c>
      <c r="S181" s="50"/>
      <c r="T181" s="50"/>
      <c r="U181" s="50"/>
      <c r="V181" s="50"/>
      <c r="W181" s="50"/>
      <c r="X181" s="50"/>
      <c r="Y181" s="50"/>
      <c r="Z181" s="50"/>
      <c r="AA181" s="50"/>
      <c r="AB181" s="50"/>
    </row>
    <row r="182" spans="1:28" x14ac:dyDescent="0.2">
      <c r="A182" s="50"/>
      <c r="B182" s="50"/>
      <c r="C182" s="50"/>
      <c r="D182" s="50"/>
      <c r="E182" s="50"/>
      <c r="F182" s="50"/>
      <c r="G182" s="50"/>
      <c r="H182" s="50"/>
      <c r="I182" s="50"/>
      <c r="J182" s="50"/>
      <c r="K182" s="50"/>
      <c r="L182" s="136">
        <f t="shared" si="8"/>
        <v>0</v>
      </c>
      <c r="M182" s="136">
        <f t="shared" si="9"/>
        <v>0</v>
      </c>
      <c r="N182" s="54"/>
      <c r="O182" s="138">
        <f t="shared" si="10"/>
        <v>0</v>
      </c>
      <c r="P182" s="54"/>
      <c r="Q182" s="54"/>
      <c r="R182" s="138">
        <f t="shared" si="11"/>
        <v>0</v>
      </c>
      <c r="S182" s="50"/>
      <c r="T182" s="50"/>
      <c r="U182" s="50"/>
      <c r="V182" s="50"/>
      <c r="W182" s="50"/>
      <c r="X182" s="50"/>
      <c r="Y182" s="50"/>
      <c r="Z182" s="50"/>
      <c r="AA182" s="50"/>
      <c r="AB182" s="50"/>
    </row>
    <row r="183" spans="1:28" x14ac:dyDescent="0.2">
      <c r="A183" s="50"/>
      <c r="B183" s="50"/>
      <c r="C183" s="50"/>
      <c r="D183" s="50"/>
      <c r="E183" s="50"/>
      <c r="F183" s="50"/>
      <c r="G183" s="50"/>
      <c r="H183" s="50"/>
      <c r="I183" s="50"/>
      <c r="J183" s="50"/>
      <c r="K183" s="50"/>
      <c r="L183" s="136">
        <f t="shared" si="8"/>
        <v>0</v>
      </c>
      <c r="M183" s="136">
        <f t="shared" si="9"/>
        <v>0</v>
      </c>
      <c r="N183" s="54"/>
      <c r="O183" s="138">
        <f t="shared" si="10"/>
        <v>0</v>
      </c>
      <c r="P183" s="54"/>
      <c r="Q183" s="54"/>
      <c r="R183" s="138">
        <f t="shared" si="11"/>
        <v>0</v>
      </c>
      <c r="S183" s="50"/>
      <c r="T183" s="50"/>
      <c r="U183" s="50"/>
      <c r="V183" s="50"/>
      <c r="W183" s="50"/>
      <c r="X183" s="50"/>
      <c r="Y183" s="50"/>
      <c r="Z183" s="50"/>
      <c r="AA183" s="50"/>
      <c r="AB183" s="50"/>
    </row>
    <row r="184" spans="1:28" x14ac:dyDescent="0.2">
      <c r="A184" s="50"/>
      <c r="B184" s="50"/>
      <c r="C184" s="50"/>
      <c r="D184" s="50"/>
      <c r="E184" s="50"/>
      <c r="F184" s="50"/>
      <c r="G184" s="50"/>
      <c r="H184" s="50"/>
      <c r="I184" s="50"/>
      <c r="J184" s="50"/>
      <c r="K184" s="50"/>
      <c r="L184" s="136">
        <f t="shared" si="8"/>
        <v>0</v>
      </c>
      <c r="M184" s="136">
        <f t="shared" si="9"/>
        <v>0</v>
      </c>
      <c r="N184" s="54"/>
      <c r="O184" s="138">
        <f t="shared" si="10"/>
        <v>0</v>
      </c>
      <c r="P184" s="54"/>
      <c r="Q184" s="54"/>
      <c r="R184" s="138">
        <f t="shared" si="11"/>
        <v>0</v>
      </c>
      <c r="S184" s="50"/>
      <c r="T184" s="50"/>
      <c r="U184" s="50"/>
      <c r="V184" s="50"/>
      <c r="W184" s="50"/>
      <c r="X184" s="50"/>
      <c r="Y184" s="50"/>
      <c r="Z184" s="50"/>
      <c r="AA184" s="50"/>
      <c r="AB184" s="50"/>
    </row>
    <row r="185" spans="1:28" x14ac:dyDescent="0.2">
      <c r="A185" s="50"/>
      <c r="B185" s="50"/>
      <c r="C185" s="50"/>
      <c r="D185" s="50"/>
      <c r="E185" s="50"/>
      <c r="F185" s="50"/>
      <c r="G185" s="50"/>
      <c r="H185" s="50"/>
      <c r="I185" s="50"/>
      <c r="J185" s="50"/>
      <c r="K185" s="50"/>
      <c r="L185" s="136">
        <f t="shared" si="8"/>
        <v>0</v>
      </c>
      <c r="M185" s="136">
        <f t="shared" si="9"/>
        <v>0</v>
      </c>
      <c r="N185" s="54"/>
      <c r="O185" s="138">
        <f t="shared" si="10"/>
        <v>0</v>
      </c>
      <c r="P185" s="54"/>
      <c r="Q185" s="54"/>
      <c r="R185" s="138">
        <f t="shared" si="11"/>
        <v>0</v>
      </c>
      <c r="S185" s="50"/>
      <c r="T185" s="50"/>
      <c r="U185" s="50"/>
      <c r="V185" s="50"/>
      <c r="W185" s="50"/>
      <c r="X185" s="50"/>
      <c r="Y185" s="50"/>
      <c r="Z185" s="50"/>
      <c r="AA185" s="50"/>
      <c r="AB185" s="50"/>
    </row>
    <row r="186" spans="1:28" x14ac:dyDescent="0.2">
      <c r="A186" s="50"/>
      <c r="B186" s="50"/>
      <c r="C186" s="50"/>
      <c r="D186" s="50"/>
      <c r="E186" s="50"/>
      <c r="F186" s="50"/>
      <c r="G186" s="50"/>
      <c r="H186" s="50"/>
      <c r="I186" s="50"/>
      <c r="J186" s="50"/>
      <c r="K186" s="50"/>
      <c r="L186" s="136">
        <f t="shared" si="8"/>
        <v>0</v>
      </c>
      <c r="M186" s="136">
        <f t="shared" si="9"/>
        <v>0</v>
      </c>
      <c r="N186" s="54"/>
      <c r="O186" s="138">
        <f t="shared" si="10"/>
        <v>0</v>
      </c>
      <c r="P186" s="54"/>
      <c r="Q186" s="54"/>
      <c r="R186" s="138">
        <f t="shared" si="11"/>
        <v>0</v>
      </c>
      <c r="S186" s="50"/>
      <c r="T186" s="50"/>
      <c r="U186" s="50"/>
      <c r="V186" s="50"/>
      <c r="W186" s="50"/>
      <c r="X186" s="50"/>
      <c r="Y186" s="50"/>
      <c r="Z186" s="50"/>
      <c r="AA186" s="50"/>
      <c r="AB186" s="50"/>
    </row>
    <row r="187" spans="1:28" x14ac:dyDescent="0.2">
      <c r="A187" s="50"/>
      <c r="B187" s="50"/>
      <c r="C187" s="50"/>
      <c r="D187" s="50"/>
      <c r="E187" s="50"/>
      <c r="F187" s="50"/>
      <c r="G187" s="50"/>
      <c r="H187" s="50"/>
      <c r="I187" s="50"/>
      <c r="J187" s="50"/>
      <c r="K187" s="50"/>
      <c r="L187" s="136">
        <f t="shared" si="8"/>
        <v>0</v>
      </c>
      <c r="M187" s="136">
        <f t="shared" si="9"/>
        <v>0</v>
      </c>
      <c r="N187" s="54"/>
      <c r="O187" s="138">
        <f t="shared" si="10"/>
        <v>0</v>
      </c>
      <c r="P187" s="54"/>
      <c r="Q187" s="54"/>
      <c r="R187" s="138">
        <f t="shared" si="11"/>
        <v>0</v>
      </c>
      <c r="S187" s="50"/>
      <c r="T187" s="50"/>
      <c r="U187" s="50"/>
      <c r="V187" s="50"/>
      <c r="W187" s="50"/>
      <c r="X187" s="50"/>
      <c r="Y187" s="50"/>
      <c r="Z187" s="50"/>
      <c r="AA187" s="50"/>
      <c r="AB187" s="50"/>
    </row>
    <row r="188" spans="1:28" x14ac:dyDescent="0.2">
      <c r="A188" s="50"/>
      <c r="B188" s="50"/>
      <c r="C188" s="50"/>
      <c r="D188" s="50"/>
      <c r="E188" s="50"/>
      <c r="F188" s="50"/>
      <c r="G188" s="50"/>
      <c r="H188" s="50"/>
      <c r="I188" s="50"/>
      <c r="J188" s="50"/>
      <c r="K188" s="50"/>
      <c r="L188" s="136">
        <f t="shared" si="8"/>
        <v>0</v>
      </c>
      <c r="M188" s="136">
        <f t="shared" si="9"/>
        <v>0</v>
      </c>
      <c r="N188" s="54"/>
      <c r="O188" s="138">
        <f t="shared" si="10"/>
        <v>0</v>
      </c>
      <c r="P188" s="54"/>
      <c r="Q188" s="54"/>
      <c r="R188" s="138">
        <f t="shared" si="11"/>
        <v>0</v>
      </c>
      <c r="S188" s="50"/>
      <c r="T188" s="50"/>
      <c r="U188" s="50"/>
      <c r="V188" s="50"/>
      <c r="W188" s="50"/>
      <c r="X188" s="50"/>
      <c r="Y188" s="50"/>
      <c r="Z188" s="50"/>
      <c r="AA188" s="50"/>
      <c r="AB188" s="50"/>
    </row>
    <row r="189" spans="1:28" x14ac:dyDescent="0.2">
      <c r="A189" s="50"/>
      <c r="B189" s="50"/>
      <c r="C189" s="50"/>
      <c r="D189" s="50"/>
      <c r="E189" s="50"/>
      <c r="F189" s="50"/>
      <c r="G189" s="50"/>
      <c r="H189" s="50"/>
      <c r="I189" s="50"/>
      <c r="J189" s="50"/>
      <c r="K189" s="50"/>
      <c r="L189" s="136">
        <f t="shared" si="8"/>
        <v>0</v>
      </c>
      <c r="M189" s="136">
        <f t="shared" si="9"/>
        <v>0</v>
      </c>
      <c r="N189" s="54"/>
      <c r="O189" s="138">
        <f t="shared" si="10"/>
        <v>0</v>
      </c>
      <c r="P189" s="54"/>
      <c r="Q189" s="54"/>
      <c r="R189" s="138">
        <f t="shared" si="11"/>
        <v>0</v>
      </c>
      <c r="S189" s="50"/>
      <c r="T189" s="50"/>
      <c r="U189" s="50"/>
      <c r="V189" s="50"/>
      <c r="W189" s="50"/>
      <c r="X189" s="50"/>
      <c r="Y189" s="50"/>
      <c r="Z189" s="50"/>
      <c r="AA189" s="50"/>
      <c r="AB189" s="50"/>
    </row>
    <row r="190" spans="1:28" x14ac:dyDescent="0.2">
      <c r="A190" s="50"/>
      <c r="B190" s="50"/>
      <c r="C190" s="50"/>
      <c r="D190" s="50"/>
      <c r="E190" s="50"/>
      <c r="F190" s="50"/>
      <c r="G190" s="50"/>
      <c r="H190" s="50"/>
      <c r="I190" s="50"/>
      <c r="J190" s="50"/>
      <c r="K190" s="50"/>
      <c r="L190" s="136">
        <f t="shared" si="8"/>
        <v>0</v>
      </c>
      <c r="M190" s="136">
        <f t="shared" si="9"/>
        <v>0</v>
      </c>
      <c r="N190" s="54"/>
      <c r="O190" s="138">
        <f t="shared" si="10"/>
        <v>0</v>
      </c>
      <c r="P190" s="54"/>
      <c r="Q190" s="54"/>
      <c r="R190" s="138">
        <f t="shared" si="11"/>
        <v>0</v>
      </c>
      <c r="S190" s="50"/>
      <c r="T190" s="50"/>
      <c r="U190" s="50"/>
      <c r="V190" s="50"/>
      <c r="W190" s="50"/>
      <c r="X190" s="50"/>
      <c r="Y190" s="50"/>
      <c r="Z190" s="50"/>
      <c r="AA190" s="50"/>
      <c r="AB190" s="50"/>
    </row>
    <row r="191" spans="1:28" x14ac:dyDescent="0.2">
      <c r="A191" s="50"/>
      <c r="B191" s="50"/>
      <c r="C191" s="50"/>
      <c r="D191" s="50"/>
      <c r="E191" s="50"/>
      <c r="F191" s="50"/>
      <c r="G191" s="50"/>
      <c r="H191" s="50"/>
      <c r="I191" s="50"/>
      <c r="J191" s="50"/>
      <c r="K191" s="50"/>
      <c r="L191" s="136">
        <f t="shared" si="8"/>
        <v>0</v>
      </c>
      <c r="M191" s="136">
        <f t="shared" si="9"/>
        <v>0</v>
      </c>
      <c r="N191" s="54"/>
      <c r="O191" s="138">
        <f t="shared" si="10"/>
        <v>0</v>
      </c>
      <c r="P191" s="54"/>
      <c r="Q191" s="54"/>
      <c r="R191" s="138">
        <f t="shared" si="11"/>
        <v>0</v>
      </c>
      <c r="S191" s="50"/>
      <c r="T191" s="50"/>
      <c r="U191" s="50"/>
      <c r="V191" s="50"/>
      <c r="W191" s="50"/>
      <c r="X191" s="50"/>
      <c r="Y191" s="50"/>
      <c r="Z191" s="50"/>
      <c r="AA191" s="50"/>
      <c r="AB191" s="50"/>
    </row>
    <row r="192" spans="1:28" x14ac:dyDescent="0.2">
      <c r="A192" s="50"/>
      <c r="B192" s="50"/>
      <c r="C192" s="50"/>
      <c r="D192" s="50"/>
      <c r="E192" s="50"/>
      <c r="F192" s="50"/>
      <c r="G192" s="50"/>
      <c r="H192" s="50"/>
      <c r="I192" s="50"/>
      <c r="J192" s="50"/>
      <c r="K192" s="50"/>
      <c r="L192" s="136">
        <f t="shared" si="8"/>
        <v>0</v>
      </c>
      <c r="M192" s="136">
        <f t="shared" si="9"/>
        <v>0</v>
      </c>
      <c r="N192" s="54"/>
      <c r="O192" s="138">
        <f t="shared" si="10"/>
        <v>0</v>
      </c>
      <c r="P192" s="54"/>
      <c r="Q192" s="54"/>
      <c r="R192" s="138">
        <f t="shared" si="11"/>
        <v>0</v>
      </c>
      <c r="S192" s="50"/>
      <c r="T192" s="50"/>
      <c r="U192" s="50"/>
      <c r="V192" s="50"/>
      <c r="W192" s="50"/>
      <c r="X192" s="50"/>
      <c r="Y192" s="50"/>
      <c r="Z192" s="50"/>
      <c r="AA192" s="50"/>
      <c r="AB192" s="50"/>
    </row>
    <row r="193" spans="1:28" x14ac:dyDescent="0.2">
      <c r="A193" s="50"/>
      <c r="B193" s="50"/>
      <c r="C193" s="50"/>
      <c r="D193" s="50"/>
      <c r="E193" s="50"/>
      <c r="F193" s="50"/>
      <c r="G193" s="50"/>
      <c r="H193" s="50"/>
      <c r="I193" s="50"/>
      <c r="J193" s="50"/>
      <c r="K193" s="50"/>
      <c r="L193" s="136">
        <f t="shared" si="8"/>
        <v>0</v>
      </c>
      <c r="M193" s="136">
        <f t="shared" si="9"/>
        <v>0</v>
      </c>
      <c r="N193" s="54"/>
      <c r="O193" s="138">
        <f t="shared" si="10"/>
        <v>0</v>
      </c>
      <c r="P193" s="54"/>
      <c r="Q193" s="54"/>
      <c r="R193" s="138">
        <f t="shared" si="11"/>
        <v>0</v>
      </c>
      <c r="S193" s="50"/>
      <c r="T193" s="50"/>
      <c r="U193" s="50"/>
      <c r="V193" s="50"/>
      <c r="W193" s="50"/>
      <c r="X193" s="50"/>
      <c r="Y193" s="50"/>
      <c r="Z193" s="50"/>
      <c r="AA193" s="50"/>
      <c r="AB193" s="50"/>
    </row>
    <row r="194" spans="1:28" x14ac:dyDescent="0.2">
      <c r="A194" s="50"/>
      <c r="B194" s="50"/>
      <c r="C194" s="50"/>
      <c r="D194" s="50"/>
      <c r="E194" s="50"/>
      <c r="F194" s="50"/>
      <c r="G194" s="50"/>
      <c r="H194" s="50"/>
      <c r="I194" s="50"/>
      <c r="J194" s="50"/>
      <c r="K194" s="50"/>
      <c r="L194" s="136">
        <f t="shared" si="8"/>
        <v>0</v>
      </c>
      <c r="M194" s="136">
        <f t="shared" si="9"/>
        <v>0</v>
      </c>
      <c r="N194" s="54"/>
      <c r="O194" s="138">
        <f t="shared" si="10"/>
        <v>0</v>
      </c>
      <c r="P194" s="54"/>
      <c r="Q194" s="54"/>
      <c r="R194" s="138">
        <f t="shared" si="11"/>
        <v>0</v>
      </c>
      <c r="S194" s="50"/>
      <c r="T194" s="50"/>
      <c r="U194" s="50"/>
      <c r="V194" s="50"/>
      <c r="W194" s="50"/>
      <c r="X194" s="50"/>
      <c r="Y194" s="50"/>
      <c r="Z194" s="50"/>
      <c r="AA194" s="50"/>
      <c r="AB194" s="50"/>
    </row>
    <row r="195" spans="1:28" x14ac:dyDescent="0.2">
      <c r="A195" s="50"/>
      <c r="B195" s="50"/>
      <c r="C195" s="50"/>
      <c r="D195" s="50"/>
      <c r="E195" s="50"/>
      <c r="F195" s="50"/>
      <c r="G195" s="50"/>
      <c r="H195" s="50"/>
      <c r="I195" s="50"/>
      <c r="J195" s="50"/>
      <c r="K195" s="50"/>
      <c r="L195" s="136">
        <f t="shared" si="8"/>
        <v>0</v>
      </c>
      <c r="M195" s="136">
        <f t="shared" si="9"/>
        <v>0</v>
      </c>
      <c r="N195" s="54"/>
      <c r="O195" s="138">
        <f t="shared" si="10"/>
        <v>0</v>
      </c>
      <c r="P195" s="54"/>
      <c r="Q195" s="54"/>
      <c r="R195" s="138">
        <f t="shared" si="11"/>
        <v>0</v>
      </c>
      <c r="S195" s="50"/>
      <c r="T195" s="50"/>
      <c r="U195" s="50"/>
      <c r="V195" s="50"/>
      <c r="W195" s="50"/>
      <c r="X195" s="50"/>
      <c r="Y195" s="50"/>
      <c r="Z195" s="50"/>
      <c r="AA195" s="50"/>
      <c r="AB195" s="50"/>
    </row>
    <row r="196" spans="1:28" x14ac:dyDescent="0.2">
      <c r="A196" s="50"/>
      <c r="B196" s="50"/>
      <c r="C196" s="50"/>
      <c r="D196" s="50"/>
      <c r="E196" s="50"/>
      <c r="F196" s="50"/>
      <c r="G196" s="50"/>
      <c r="H196" s="50"/>
      <c r="I196" s="50"/>
      <c r="J196" s="50"/>
      <c r="K196" s="50"/>
      <c r="L196" s="136">
        <f t="shared" si="8"/>
        <v>0</v>
      </c>
      <c r="M196" s="136">
        <f t="shared" si="9"/>
        <v>0</v>
      </c>
      <c r="N196" s="54"/>
      <c r="O196" s="138">
        <f t="shared" si="10"/>
        <v>0</v>
      </c>
      <c r="P196" s="54"/>
      <c r="Q196" s="54"/>
      <c r="R196" s="138">
        <f t="shared" si="11"/>
        <v>0</v>
      </c>
      <c r="S196" s="50"/>
      <c r="T196" s="50"/>
      <c r="U196" s="50"/>
      <c r="V196" s="50"/>
      <c r="W196" s="50"/>
      <c r="X196" s="50"/>
      <c r="Y196" s="50"/>
      <c r="Z196" s="50"/>
      <c r="AA196" s="50"/>
      <c r="AB196" s="50"/>
    </row>
    <row r="197" spans="1:28" x14ac:dyDescent="0.2">
      <c r="A197" s="50"/>
      <c r="B197" s="50"/>
      <c r="C197" s="50"/>
      <c r="D197" s="50"/>
      <c r="E197" s="50"/>
      <c r="F197" s="50"/>
      <c r="G197" s="50"/>
      <c r="H197" s="50"/>
      <c r="I197" s="50"/>
      <c r="J197" s="50"/>
      <c r="K197" s="50"/>
      <c r="L197" s="136">
        <f t="shared" ref="L197:L260" si="12">IFERROR(K197*(E197-H197)/60*12,0)</f>
        <v>0</v>
      </c>
      <c r="M197" s="136">
        <f t="shared" ref="M197:M260" si="13">IFERROR(L197/(8*21*12),0)</f>
        <v>0</v>
      </c>
      <c r="N197" s="54"/>
      <c r="O197" s="138">
        <f t="shared" ref="O197:O260" si="14">L197*50</f>
        <v>0</v>
      </c>
      <c r="P197" s="54"/>
      <c r="Q197" s="54"/>
      <c r="R197" s="138">
        <f t="shared" ref="R197:R260" si="15">SUM(N197:P197)</f>
        <v>0</v>
      </c>
      <c r="S197" s="50"/>
      <c r="T197" s="50"/>
      <c r="U197" s="50"/>
      <c r="V197" s="50"/>
      <c r="W197" s="50"/>
      <c r="X197" s="50"/>
      <c r="Y197" s="50"/>
      <c r="Z197" s="50"/>
      <c r="AA197" s="50"/>
      <c r="AB197" s="50"/>
    </row>
    <row r="198" spans="1:28" x14ac:dyDescent="0.2">
      <c r="A198" s="50"/>
      <c r="B198" s="50"/>
      <c r="C198" s="50"/>
      <c r="D198" s="50"/>
      <c r="E198" s="50"/>
      <c r="F198" s="50"/>
      <c r="G198" s="50"/>
      <c r="H198" s="50"/>
      <c r="I198" s="50"/>
      <c r="J198" s="50"/>
      <c r="K198" s="50"/>
      <c r="L198" s="136">
        <f t="shared" si="12"/>
        <v>0</v>
      </c>
      <c r="M198" s="136">
        <f t="shared" si="13"/>
        <v>0</v>
      </c>
      <c r="N198" s="54"/>
      <c r="O198" s="138">
        <f t="shared" si="14"/>
        <v>0</v>
      </c>
      <c r="P198" s="54"/>
      <c r="Q198" s="54"/>
      <c r="R198" s="138">
        <f t="shared" si="15"/>
        <v>0</v>
      </c>
      <c r="S198" s="50"/>
      <c r="T198" s="50"/>
      <c r="U198" s="50"/>
      <c r="V198" s="50"/>
      <c r="W198" s="50"/>
      <c r="X198" s="50"/>
      <c r="Y198" s="50"/>
      <c r="Z198" s="50"/>
      <c r="AA198" s="50"/>
      <c r="AB198" s="50"/>
    </row>
    <row r="199" spans="1:28" x14ac:dyDescent="0.2">
      <c r="A199" s="50"/>
      <c r="B199" s="50"/>
      <c r="C199" s="50"/>
      <c r="D199" s="50"/>
      <c r="E199" s="50"/>
      <c r="F199" s="50"/>
      <c r="G199" s="50"/>
      <c r="H199" s="50"/>
      <c r="I199" s="50"/>
      <c r="J199" s="50"/>
      <c r="K199" s="50"/>
      <c r="L199" s="136">
        <f t="shared" si="12"/>
        <v>0</v>
      </c>
      <c r="M199" s="136">
        <f t="shared" si="13"/>
        <v>0</v>
      </c>
      <c r="N199" s="54"/>
      <c r="O199" s="138">
        <f t="shared" si="14"/>
        <v>0</v>
      </c>
      <c r="P199" s="54"/>
      <c r="Q199" s="54"/>
      <c r="R199" s="138">
        <f t="shared" si="15"/>
        <v>0</v>
      </c>
      <c r="S199" s="50"/>
      <c r="T199" s="50"/>
      <c r="U199" s="50"/>
      <c r="V199" s="50"/>
      <c r="W199" s="50"/>
      <c r="X199" s="50"/>
      <c r="Y199" s="50"/>
      <c r="Z199" s="50"/>
      <c r="AA199" s="50"/>
      <c r="AB199" s="50"/>
    </row>
    <row r="200" spans="1:28" x14ac:dyDescent="0.2">
      <c r="A200" s="50"/>
      <c r="B200" s="50"/>
      <c r="C200" s="50"/>
      <c r="D200" s="50"/>
      <c r="E200" s="50"/>
      <c r="F200" s="50"/>
      <c r="G200" s="50"/>
      <c r="H200" s="50"/>
      <c r="I200" s="50"/>
      <c r="J200" s="50"/>
      <c r="K200" s="50"/>
      <c r="L200" s="136">
        <f t="shared" si="12"/>
        <v>0</v>
      </c>
      <c r="M200" s="136">
        <f t="shared" si="13"/>
        <v>0</v>
      </c>
      <c r="N200" s="54"/>
      <c r="O200" s="138">
        <f t="shared" si="14"/>
        <v>0</v>
      </c>
      <c r="P200" s="54"/>
      <c r="Q200" s="54"/>
      <c r="R200" s="138">
        <f t="shared" si="15"/>
        <v>0</v>
      </c>
      <c r="S200" s="50"/>
      <c r="T200" s="50"/>
      <c r="U200" s="50"/>
      <c r="V200" s="50"/>
      <c r="W200" s="50"/>
      <c r="X200" s="50"/>
      <c r="Y200" s="50"/>
      <c r="Z200" s="50"/>
      <c r="AA200" s="50"/>
      <c r="AB200" s="50"/>
    </row>
    <row r="201" spans="1:28" x14ac:dyDescent="0.2">
      <c r="A201" s="50"/>
      <c r="B201" s="50"/>
      <c r="C201" s="50"/>
      <c r="D201" s="50"/>
      <c r="E201" s="50"/>
      <c r="F201" s="50"/>
      <c r="G201" s="50"/>
      <c r="H201" s="50"/>
      <c r="I201" s="50"/>
      <c r="J201" s="50"/>
      <c r="K201" s="50"/>
      <c r="L201" s="136">
        <f t="shared" si="12"/>
        <v>0</v>
      </c>
      <c r="M201" s="136">
        <f t="shared" si="13"/>
        <v>0</v>
      </c>
      <c r="N201" s="54"/>
      <c r="O201" s="138">
        <f t="shared" si="14"/>
        <v>0</v>
      </c>
      <c r="P201" s="54"/>
      <c r="Q201" s="54"/>
      <c r="R201" s="138">
        <f t="shared" si="15"/>
        <v>0</v>
      </c>
      <c r="S201" s="50"/>
      <c r="T201" s="50"/>
      <c r="U201" s="50"/>
      <c r="V201" s="50"/>
      <c r="W201" s="50"/>
      <c r="X201" s="50"/>
      <c r="Y201" s="50"/>
      <c r="Z201" s="50"/>
      <c r="AA201" s="50"/>
      <c r="AB201" s="50"/>
    </row>
    <row r="202" spans="1:28" x14ac:dyDescent="0.2">
      <c r="A202" s="50"/>
      <c r="B202" s="50"/>
      <c r="C202" s="50"/>
      <c r="D202" s="50"/>
      <c r="E202" s="50"/>
      <c r="F202" s="50"/>
      <c r="G202" s="50"/>
      <c r="H202" s="50"/>
      <c r="I202" s="50"/>
      <c r="J202" s="50"/>
      <c r="K202" s="50"/>
      <c r="L202" s="136">
        <f t="shared" si="12"/>
        <v>0</v>
      </c>
      <c r="M202" s="136">
        <f t="shared" si="13"/>
        <v>0</v>
      </c>
      <c r="N202" s="54"/>
      <c r="O202" s="138">
        <f t="shared" si="14"/>
        <v>0</v>
      </c>
      <c r="P202" s="54"/>
      <c r="Q202" s="54"/>
      <c r="R202" s="138">
        <f t="shared" si="15"/>
        <v>0</v>
      </c>
      <c r="S202" s="50"/>
      <c r="T202" s="50"/>
      <c r="U202" s="50"/>
      <c r="V202" s="50"/>
      <c r="W202" s="50"/>
      <c r="X202" s="50"/>
      <c r="Y202" s="50"/>
      <c r="Z202" s="50"/>
      <c r="AA202" s="50"/>
      <c r="AB202" s="50"/>
    </row>
    <row r="203" spans="1:28" x14ac:dyDescent="0.2">
      <c r="A203" s="50"/>
      <c r="B203" s="50"/>
      <c r="C203" s="50"/>
      <c r="D203" s="50"/>
      <c r="E203" s="50"/>
      <c r="F203" s="50"/>
      <c r="G203" s="50"/>
      <c r="H203" s="50"/>
      <c r="I203" s="50"/>
      <c r="J203" s="50"/>
      <c r="K203" s="50"/>
      <c r="L203" s="136">
        <f t="shared" si="12"/>
        <v>0</v>
      </c>
      <c r="M203" s="136">
        <f t="shared" si="13"/>
        <v>0</v>
      </c>
      <c r="N203" s="54"/>
      <c r="O203" s="138">
        <f t="shared" si="14"/>
        <v>0</v>
      </c>
      <c r="P203" s="54"/>
      <c r="Q203" s="54"/>
      <c r="R203" s="138">
        <f t="shared" si="15"/>
        <v>0</v>
      </c>
      <c r="S203" s="50"/>
      <c r="T203" s="50"/>
      <c r="U203" s="50"/>
      <c r="V203" s="50"/>
      <c r="W203" s="50"/>
      <c r="X203" s="50"/>
      <c r="Y203" s="50"/>
      <c r="Z203" s="50"/>
      <c r="AA203" s="50"/>
      <c r="AB203" s="50"/>
    </row>
    <row r="204" spans="1:28" x14ac:dyDescent="0.2">
      <c r="A204" s="50"/>
      <c r="B204" s="50"/>
      <c r="C204" s="50"/>
      <c r="D204" s="50"/>
      <c r="E204" s="50"/>
      <c r="F204" s="50"/>
      <c r="G204" s="50"/>
      <c r="H204" s="50"/>
      <c r="I204" s="50"/>
      <c r="J204" s="50"/>
      <c r="K204" s="50"/>
      <c r="L204" s="136">
        <f t="shared" si="12"/>
        <v>0</v>
      </c>
      <c r="M204" s="136">
        <f t="shared" si="13"/>
        <v>0</v>
      </c>
      <c r="N204" s="54"/>
      <c r="O204" s="138">
        <f t="shared" si="14"/>
        <v>0</v>
      </c>
      <c r="P204" s="54"/>
      <c r="Q204" s="54"/>
      <c r="R204" s="138">
        <f t="shared" si="15"/>
        <v>0</v>
      </c>
      <c r="S204" s="50"/>
      <c r="T204" s="50"/>
      <c r="U204" s="50"/>
      <c r="V204" s="50"/>
      <c r="W204" s="50"/>
      <c r="X204" s="50"/>
      <c r="Y204" s="50"/>
      <c r="Z204" s="50"/>
      <c r="AA204" s="50"/>
      <c r="AB204" s="50"/>
    </row>
    <row r="205" spans="1:28" x14ac:dyDescent="0.2">
      <c r="A205" s="50"/>
      <c r="B205" s="50"/>
      <c r="C205" s="50"/>
      <c r="D205" s="50"/>
      <c r="E205" s="50"/>
      <c r="F205" s="50"/>
      <c r="G205" s="50"/>
      <c r="H205" s="50"/>
      <c r="I205" s="50"/>
      <c r="J205" s="50"/>
      <c r="K205" s="50"/>
      <c r="L205" s="136">
        <f t="shared" si="12"/>
        <v>0</v>
      </c>
      <c r="M205" s="136">
        <f t="shared" si="13"/>
        <v>0</v>
      </c>
      <c r="N205" s="54"/>
      <c r="O205" s="138">
        <f t="shared" si="14"/>
        <v>0</v>
      </c>
      <c r="P205" s="54"/>
      <c r="Q205" s="54"/>
      <c r="R205" s="138">
        <f t="shared" si="15"/>
        <v>0</v>
      </c>
      <c r="S205" s="50"/>
      <c r="T205" s="50"/>
      <c r="U205" s="50"/>
      <c r="V205" s="50"/>
      <c r="W205" s="50"/>
      <c r="X205" s="50"/>
      <c r="Y205" s="50"/>
      <c r="Z205" s="50"/>
      <c r="AA205" s="50"/>
      <c r="AB205" s="50"/>
    </row>
    <row r="206" spans="1:28" x14ac:dyDescent="0.2">
      <c r="A206" s="50"/>
      <c r="B206" s="50"/>
      <c r="C206" s="50"/>
      <c r="D206" s="50"/>
      <c r="E206" s="50"/>
      <c r="F206" s="50"/>
      <c r="G206" s="50"/>
      <c r="H206" s="50"/>
      <c r="I206" s="50"/>
      <c r="J206" s="50"/>
      <c r="K206" s="50"/>
      <c r="L206" s="136">
        <f t="shared" si="12"/>
        <v>0</v>
      </c>
      <c r="M206" s="136">
        <f t="shared" si="13"/>
        <v>0</v>
      </c>
      <c r="N206" s="54"/>
      <c r="O206" s="138">
        <f t="shared" si="14"/>
        <v>0</v>
      </c>
      <c r="P206" s="54"/>
      <c r="Q206" s="54"/>
      <c r="R206" s="138">
        <f t="shared" si="15"/>
        <v>0</v>
      </c>
      <c r="S206" s="50"/>
      <c r="T206" s="50"/>
      <c r="U206" s="50"/>
      <c r="V206" s="50"/>
      <c r="W206" s="50"/>
      <c r="X206" s="50"/>
      <c r="Y206" s="50"/>
      <c r="Z206" s="50"/>
      <c r="AA206" s="50"/>
      <c r="AB206" s="50"/>
    </row>
    <row r="207" spans="1:28" x14ac:dyDescent="0.2">
      <c r="A207" s="50"/>
      <c r="B207" s="50"/>
      <c r="C207" s="50"/>
      <c r="D207" s="50"/>
      <c r="E207" s="50"/>
      <c r="F207" s="50"/>
      <c r="G207" s="50"/>
      <c r="H207" s="50"/>
      <c r="I207" s="50"/>
      <c r="J207" s="50"/>
      <c r="K207" s="50"/>
      <c r="L207" s="136">
        <f t="shared" si="12"/>
        <v>0</v>
      </c>
      <c r="M207" s="136">
        <f t="shared" si="13"/>
        <v>0</v>
      </c>
      <c r="N207" s="54"/>
      <c r="O207" s="138">
        <f t="shared" si="14"/>
        <v>0</v>
      </c>
      <c r="P207" s="54"/>
      <c r="Q207" s="54"/>
      <c r="R207" s="138">
        <f t="shared" si="15"/>
        <v>0</v>
      </c>
      <c r="S207" s="50"/>
      <c r="T207" s="50"/>
      <c r="U207" s="50"/>
      <c r="V207" s="50"/>
      <c r="W207" s="50"/>
      <c r="X207" s="50"/>
      <c r="Y207" s="50"/>
      <c r="Z207" s="50"/>
      <c r="AA207" s="50"/>
      <c r="AB207" s="50"/>
    </row>
    <row r="208" spans="1:28" x14ac:dyDescent="0.2">
      <c r="A208" s="50"/>
      <c r="B208" s="50"/>
      <c r="C208" s="50"/>
      <c r="D208" s="50"/>
      <c r="E208" s="50"/>
      <c r="F208" s="50"/>
      <c r="G208" s="50"/>
      <c r="H208" s="50"/>
      <c r="I208" s="50"/>
      <c r="J208" s="50"/>
      <c r="K208" s="50"/>
      <c r="L208" s="136">
        <f t="shared" si="12"/>
        <v>0</v>
      </c>
      <c r="M208" s="136">
        <f t="shared" si="13"/>
        <v>0</v>
      </c>
      <c r="N208" s="54"/>
      <c r="O208" s="138">
        <f t="shared" si="14"/>
        <v>0</v>
      </c>
      <c r="P208" s="54"/>
      <c r="Q208" s="54"/>
      <c r="R208" s="138">
        <f t="shared" si="15"/>
        <v>0</v>
      </c>
      <c r="S208" s="50"/>
      <c r="T208" s="50"/>
      <c r="U208" s="50"/>
      <c r="V208" s="50"/>
      <c r="W208" s="50"/>
      <c r="X208" s="50"/>
      <c r="Y208" s="50"/>
      <c r="Z208" s="50"/>
      <c r="AA208" s="50"/>
      <c r="AB208" s="50"/>
    </row>
    <row r="209" spans="1:28" x14ac:dyDescent="0.2">
      <c r="A209" s="50"/>
      <c r="B209" s="50"/>
      <c r="C209" s="50"/>
      <c r="D209" s="50"/>
      <c r="E209" s="50"/>
      <c r="F209" s="50"/>
      <c r="G209" s="50"/>
      <c r="H209" s="50"/>
      <c r="I209" s="50"/>
      <c r="J209" s="50"/>
      <c r="K209" s="50"/>
      <c r="L209" s="136">
        <f t="shared" si="12"/>
        <v>0</v>
      </c>
      <c r="M209" s="136">
        <f t="shared" si="13"/>
        <v>0</v>
      </c>
      <c r="N209" s="54"/>
      <c r="O209" s="138">
        <f t="shared" si="14"/>
        <v>0</v>
      </c>
      <c r="P209" s="54"/>
      <c r="Q209" s="54"/>
      <c r="R209" s="138">
        <f t="shared" si="15"/>
        <v>0</v>
      </c>
      <c r="S209" s="50"/>
      <c r="T209" s="50"/>
      <c r="U209" s="50"/>
      <c r="V209" s="50"/>
      <c r="W209" s="50"/>
      <c r="X209" s="50"/>
      <c r="Y209" s="50"/>
      <c r="Z209" s="50"/>
      <c r="AA209" s="50"/>
      <c r="AB209" s="50"/>
    </row>
    <row r="210" spans="1:28" x14ac:dyDescent="0.2">
      <c r="A210" s="50"/>
      <c r="B210" s="50"/>
      <c r="C210" s="50"/>
      <c r="D210" s="50"/>
      <c r="E210" s="50"/>
      <c r="F210" s="50"/>
      <c r="G210" s="50"/>
      <c r="H210" s="50"/>
      <c r="I210" s="50"/>
      <c r="J210" s="50"/>
      <c r="K210" s="50"/>
      <c r="L210" s="136">
        <f t="shared" si="12"/>
        <v>0</v>
      </c>
      <c r="M210" s="136">
        <f t="shared" si="13"/>
        <v>0</v>
      </c>
      <c r="N210" s="54"/>
      <c r="O210" s="138">
        <f t="shared" si="14"/>
        <v>0</v>
      </c>
      <c r="P210" s="54"/>
      <c r="Q210" s="54"/>
      <c r="R210" s="138">
        <f t="shared" si="15"/>
        <v>0</v>
      </c>
      <c r="S210" s="50"/>
      <c r="T210" s="50"/>
      <c r="U210" s="50"/>
      <c r="V210" s="50"/>
      <c r="W210" s="50"/>
      <c r="X210" s="50"/>
      <c r="Y210" s="50"/>
      <c r="Z210" s="50"/>
      <c r="AA210" s="50"/>
      <c r="AB210" s="50"/>
    </row>
    <row r="211" spans="1:28" x14ac:dyDescent="0.2">
      <c r="A211" s="50"/>
      <c r="B211" s="50"/>
      <c r="C211" s="50"/>
      <c r="D211" s="50"/>
      <c r="E211" s="50"/>
      <c r="F211" s="50"/>
      <c r="G211" s="50"/>
      <c r="H211" s="50"/>
      <c r="I211" s="50"/>
      <c r="J211" s="50"/>
      <c r="K211" s="50"/>
      <c r="L211" s="136">
        <f t="shared" si="12"/>
        <v>0</v>
      </c>
      <c r="M211" s="136">
        <f t="shared" si="13"/>
        <v>0</v>
      </c>
      <c r="N211" s="54"/>
      <c r="O211" s="138">
        <f t="shared" si="14"/>
        <v>0</v>
      </c>
      <c r="P211" s="54"/>
      <c r="Q211" s="54"/>
      <c r="R211" s="138">
        <f t="shared" si="15"/>
        <v>0</v>
      </c>
      <c r="S211" s="50"/>
      <c r="T211" s="50"/>
      <c r="U211" s="50"/>
      <c r="V211" s="50"/>
      <c r="W211" s="50"/>
      <c r="X211" s="50"/>
      <c r="Y211" s="50"/>
      <c r="Z211" s="50"/>
      <c r="AA211" s="50"/>
      <c r="AB211" s="50"/>
    </row>
    <row r="212" spans="1:28" x14ac:dyDescent="0.2">
      <c r="A212" s="50"/>
      <c r="B212" s="50"/>
      <c r="C212" s="50"/>
      <c r="D212" s="50"/>
      <c r="E212" s="50"/>
      <c r="F212" s="50"/>
      <c r="G212" s="50"/>
      <c r="H212" s="50"/>
      <c r="I212" s="50"/>
      <c r="J212" s="50"/>
      <c r="K212" s="50"/>
      <c r="L212" s="136">
        <f t="shared" si="12"/>
        <v>0</v>
      </c>
      <c r="M212" s="136">
        <f t="shared" si="13"/>
        <v>0</v>
      </c>
      <c r="N212" s="54"/>
      <c r="O212" s="138">
        <f t="shared" si="14"/>
        <v>0</v>
      </c>
      <c r="P212" s="54"/>
      <c r="Q212" s="54"/>
      <c r="R212" s="138">
        <f t="shared" si="15"/>
        <v>0</v>
      </c>
      <c r="S212" s="50"/>
      <c r="T212" s="50"/>
      <c r="U212" s="50"/>
      <c r="V212" s="50"/>
      <c r="W212" s="50"/>
      <c r="X212" s="50"/>
      <c r="Y212" s="50"/>
      <c r="Z212" s="50"/>
      <c r="AA212" s="50"/>
      <c r="AB212" s="50"/>
    </row>
    <row r="213" spans="1:28" x14ac:dyDescent="0.2">
      <c r="A213" s="50"/>
      <c r="B213" s="50"/>
      <c r="C213" s="50"/>
      <c r="D213" s="50"/>
      <c r="E213" s="50"/>
      <c r="F213" s="50"/>
      <c r="G213" s="50"/>
      <c r="H213" s="50"/>
      <c r="I213" s="50"/>
      <c r="J213" s="50"/>
      <c r="K213" s="50"/>
      <c r="L213" s="136">
        <f t="shared" si="12"/>
        <v>0</v>
      </c>
      <c r="M213" s="136">
        <f t="shared" si="13"/>
        <v>0</v>
      </c>
      <c r="N213" s="54"/>
      <c r="O213" s="138">
        <f t="shared" si="14"/>
        <v>0</v>
      </c>
      <c r="P213" s="54"/>
      <c r="Q213" s="54"/>
      <c r="R213" s="138">
        <f t="shared" si="15"/>
        <v>0</v>
      </c>
      <c r="S213" s="50"/>
      <c r="T213" s="50"/>
      <c r="U213" s="50"/>
      <c r="V213" s="50"/>
      <c r="W213" s="50"/>
      <c r="X213" s="50"/>
      <c r="Y213" s="50"/>
      <c r="Z213" s="50"/>
      <c r="AA213" s="50"/>
      <c r="AB213" s="50"/>
    </row>
    <row r="214" spans="1:28" x14ac:dyDescent="0.2">
      <c r="A214" s="50"/>
      <c r="B214" s="50"/>
      <c r="C214" s="50"/>
      <c r="D214" s="50"/>
      <c r="E214" s="50"/>
      <c r="F214" s="50"/>
      <c r="G214" s="50"/>
      <c r="H214" s="50"/>
      <c r="I214" s="50"/>
      <c r="J214" s="50"/>
      <c r="K214" s="50"/>
      <c r="L214" s="136">
        <f t="shared" si="12"/>
        <v>0</v>
      </c>
      <c r="M214" s="136">
        <f t="shared" si="13"/>
        <v>0</v>
      </c>
      <c r="N214" s="54"/>
      <c r="O214" s="138">
        <f t="shared" si="14"/>
        <v>0</v>
      </c>
      <c r="P214" s="54"/>
      <c r="Q214" s="54"/>
      <c r="R214" s="138">
        <f t="shared" si="15"/>
        <v>0</v>
      </c>
      <c r="S214" s="50"/>
      <c r="T214" s="50"/>
      <c r="U214" s="50"/>
      <c r="V214" s="50"/>
      <c r="W214" s="50"/>
      <c r="X214" s="50"/>
      <c r="Y214" s="50"/>
      <c r="Z214" s="50"/>
      <c r="AA214" s="50"/>
      <c r="AB214" s="50"/>
    </row>
    <row r="215" spans="1:28" x14ac:dyDescent="0.2">
      <c r="A215" s="50"/>
      <c r="B215" s="50"/>
      <c r="C215" s="50"/>
      <c r="D215" s="50"/>
      <c r="E215" s="50"/>
      <c r="F215" s="50"/>
      <c r="G215" s="50"/>
      <c r="H215" s="50"/>
      <c r="I215" s="50"/>
      <c r="J215" s="50"/>
      <c r="K215" s="50"/>
      <c r="L215" s="136">
        <f t="shared" si="12"/>
        <v>0</v>
      </c>
      <c r="M215" s="136">
        <f t="shared" si="13"/>
        <v>0</v>
      </c>
      <c r="N215" s="54"/>
      <c r="O215" s="138">
        <f t="shared" si="14"/>
        <v>0</v>
      </c>
      <c r="P215" s="54"/>
      <c r="Q215" s="54"/>
      <c r="R215" s="138">
        <f t="shared" si="15"/>
        <v>0</v>
      </c>
      <c r="S215" s="50"/>
      <c r="T215" s="50"/>
      <c r="U215" s="50"/>
      <c r="V215" s="50"/>
      <c r="W215" s="50"/>
      <c r="X215" s="50"/>
      <c r="Y215" s="50"/>
      <c r="Z215" s="50"/>
      <c r="AA215" s="50"/>
      <c r="AB215" s="50"/>
    </row>
    <row r="216" spans="1:28" x14ac:dyDescent="0.2">
      <c r="A216" s="50"/>
      <c r="B216" s="50"/>
      <c r="C216" s="50"/>
      <c r="D216" s="50"/>
      <c r="E216" s="50"/>
      <c r="F216" s="50"/>
      <c r="G216" s="50"/>
      <c r="H216" s="50"/>
      <c r="I216" s="50"/>
      <c r="J216" s="50"/>
      <c r="K216" s="50"/>
      <c r="L216" s="136">
        <f t="shared" si="12"/>
        <v>0</v>
      </c>
      <c r="M216" s="136">
        <f t="shared" si="13"/>
        <v>0</v>
      </c>
      <c r="N216" s="54"/>
      <c r="O216" s="138">
        <f t="shared" si="14"/>
        <v>0</v>
      </c>
      <c r="P216" s="54"/>
      <c r="Q216" s="54"/>
      <c r="R216" s="138">
        <f t="shared" si="15"/>
        <v>0</v>
      </c>
      <c r="S216" s="50"/>
      <c r="T216" s="50"/>
      <c r="U216" s="50"/>
      <c r="V216" s="50"/>
      <c r="W216" s="50"/>
      <c r="X216" s="50"/>
      <c r="Y216" s="50"/>
      <c r="Z216" s="50"/>
      <c r="AA216" s="50"/>
      <c r="AB216" s="50"/>
    </row>
    <row r="217" spans="1:28" x14ac:dyDescent="0.2">
      <c r="A217" s="50"/>
      <c r="B217" s="50"/>
      <c r="C217" s="50"/>
      <c r="D217" s="50"/>
      <c r="E217" s="50"/>
      <c r="F217" s="50"/>
      <c r="G217" s="50"/>
      <c r="H217" s="50"/>
      <c r="I217" s="50"/>
      <c r="J217" s="50"/>
      <c r="K217" s="50"/>
      <c r="L217" s="136">
        <f t="shared" si="12"/>
        <v>0</v>
      </c>
      <c r="M217" s="136">
        <f t="shared" si="13"/>
        <v>0</v>
      </c>
      <c r="N217" s="54"/>
      <c r="O217" s="138">
        <f t="shared" si="14"/>
        <v>0</v>
      </c>
      <c r="P217" s="54"/>
      <c r="Q217" s="54"/>
      <c r="R217" s="138">
        <f t="shared" si="15"/>
        <v>0</v>
      </c>
      <c r="S217" s="50"/>
      <c r="T217" s="50"/>
      <c r="U217" s="50"/>
      <c r="V217" s="50"/>
      <c r="W217" s="50"/>
      <c r="X217" s="50"/>
      <c r="Y217" s="50"/>
      <c r="Z217" s="50"/>
      <c r="AA217" s="50"/>
      <c r="AB217" s="50"/>
    </row>
    <row r="218" spans="1:28" x14ac:dyDescent="0.2">
      <c r="A218" s="50"/>
      <c r="B218" s="50"/>
      <c r="C218" s="50"/>
      <c r="D218" s="50"/>
      <c r="E218" s="50"/>
      <c r="F218" s="50"/>
      <c r="G218" s="50"/>
      <c r="H218" s="50"/>
      <c r="I218" s="50"/>
      <c r="J218" s="50"/>
      <c r="K218" s="50"/>
      <c r="L218" s="136">
        <f t="shared" si="12"/>
        <v>0</v>
      </c>
      <c r="M218" s="136">
        <f t="shared" si="13"/>
        <v>0</v>
      </c>
      <c r="N218" s="54"/>
      <c r="O218" s="138">
        <f t="shared" si="14"/>
        <v>0</v>
      </c>
      <c r="P218" s="54"/>
      <c r="Q218" s="54"/>
      <c r="R218" s="138">
        <f t="shared" si="15"/>
        <v>0</v>
      </c>
      <c r="S218" s="50"/>
      <c r="T218" s="50"/>
      <c r="U218" s="50"/>
      <c r="V218" s="50"/>
      <c r="W218" s="50"/>
      <c r="X218" s="50"/>
      <c r="Y218" s="50"/>
      <c r="Z218" s="50"/>
      <c r="AA218" s="50"/>
      <c r="AB218" s="50"/>
    </row>
    <row r="219" spans="1:28" x14ac:dyDescent="0.2">
      <c r="A219" s="50"/>
      <c r="B219" s="50"/>
      <c r="C219" s="50"/>
      <c r="D219" s="50"/>
      <c r="E219" s="50"/>
      <c r="F219" s="50"/>
      <c r="G219" s="50"/>
      <c r="H219" s="50"/>
      <c r="I219" s="50"/>
      <c r="J219" s="50"/>
      <c r="K219" s="50"/>
      <c r="L219" s="136">
        <f t="shared" si="12"/>
        <v>0</v>
      </c>
      <c r="M219" s="136">
        <f t="shared" si="13"/>
        <v>0</v>
      </c>
      <c r="N219" s="54"/>
      <c r="O219" s="138">
        <f t="shared" si="14"/>
        <v>0</v>
      </c>
      <c r="P219" s="54"/>
      <c r="Q219" s="54"/>
      <c r="R219" s="138">
        <f t="shared" si="15"/>
        <v>0</v>
      </c>
      <c r="S219" s="50"/>
      <c r="T219" s="50"/>
      <c r="U219" s="50"/>
      <c r="V219" s="50"/>
      <c r="W219" s="50"/>
      <c r="X219" s="50"/>
      <c r="Y219" s="50"/>
      <c r="Z219" s="50"/>
      <c r="AA219" s="50"/>
      <c r="AB219" s="50"/>
    </row>
    <row r="220" spans="1:28" x14ac:dyDescent="0.2">
      <c r="A220" s="50"/>
      <c r="B220" s="50"/>
      <c r="C220" s="50"/>
      <c r="D220" s="50"/>
      <c r="E220" s="50"/>
      <c r="F220" s="50"/>
      <c r="G220" s="50"/>
      <c r="H220" s="50"/>
      <c r="I220" s="50"/>
      <c r="J220" s="50"/>
      <c r="K220" s="50"/>
      <c r="L220" s="136">
        <f t="shared" si="12"/>
        <v>0</v>
      </c>
      <c r="M220" s="136">
        <f t="shared" si="13"/>
        <v>0</v>
      </c>
      <c r="N220" s="54"/>
      <c r="O220" s="138">
        <f t="shared" si="14"/>
        <v>0</v>
      </c>
      <c r="P220" s="54"/>
      <c r="Q220" s="54"/>
      <c r="R220" s="138">
        <f t="shared" si="15"/>
        <v>0</v>
      </c>
      <c r="S220" s="50"/>
      <c r="T220" s="50"/>
      <c r="U220" s="50"/>
      <c r="V220" s="50"/>
      <c r="W220" s="50"/>
      <c r="X220" s="50"/>
      <c r="Y220" s="50"/>
      <c r="Z220" s="50"/>
      <c r="AA220" s="50"/>
      <c r="AB220" s="50"/>
    </row>
    <row r="221" spans="1:28" x14ac:dyDescent="0.2">
      <c r="A221" s="50"/>
      <c r="B221" s="50"/>
      <c r="C221" s="50"/>
      <c r="D221" s="50"/>
      <c r="E221" s="50"/>
      <c r="F221" s="50"/>
      <c r="G221" s="50"/>
      <c r="H221" s="50"/>
      <c r="I221" s="50"/>
      <c r="J221" s="50"/>
      <c r="K221" s="50"/>
      <c r="L221" s="136">
        <f t="shared" si="12"/>
        <v>0</v>
      </c>
      <c r="M221" s="136">
        <f t="shared" si="13"/>
        <v>0</v>
      </c>
      <c r="N221" s="54"/>
      <c r="O221" s="138">
        <f t="shared" si="14"/>
        <v>0</v>
      </c>
      <c r="P221" s="54"/>
      <c r="Q221" s="54"/>
      <c r="R221" s="138">
        <f t="shared" si="15"/>
        <v>0</v>
      </c>
      <c r="S221" s="50"/>
      <c r="T221" s="50"/>
      <c r="U221" s="50"/>
      <c r="V221" s="50"/>
      <c r="W221" s="50"/>
      <c r="X221" s="50"/>
      <c r="Y221" s="50"/>
      <c r="Z221" s="50"/>
      <c r="AA221" s="50"/>
      <c r="AB221" s="50"/>
    </row>
    <row r="222" spans="1:28" x14ac:dyDescent="0.2">
      <c r="A222" s="50"/>
      <c r="B222" s="50"/>
      <c r="C222" s="50"/>
      <c r="D222" s="50"/>
      <c r="E222" s="50"/>
      <c r="F222" s="50"/>
      <c r="G222" s="50"/>
      <c r="H222" s="50"/>
      <c r="I222" s="50"/>
      <c r="J222" s="50"/>
      <c r="K222" s="50"/>
      <c r="L222" s="136">
        <f t="shared" si="12"/>
        <v>0</v>
      </c>
      <c r="M222" s="136">
        <f t="shared" si="13"/>
        <v>0</v>
      </c>
      <c r="N222" s="54"/>
      <c r="O222" s="138">
        <f t="shared" si="14"/>
        <v>0</v>
      </c>
      <c r="P222" s="54"/>
      <c r="Q222" s="54"/>
      <c r="R222" s="138">
        <f t="shared" si="15"/>
        <v>0</v>
      </c>
      <c r="S222" s="50"/>
      <c r="T222" s="50"/>
      <c r="U222" s="50"/>
      <c r="V222" s="50"/>
      <c r="W222" s="50"/>
      <c r="X222" s="50"/>
      <c r="Y222" s="50"/>
      <c r="Z222" s="50"/>
      <c r="AA222" s="50"/>
      <c r="AB222" s="50"/>
    </row>
    <row r="223" spans="1:28" x14ac:dyDescent="0.2">
      <c r="A223" s="50"/>
      <c r="B223" s="50"/>
      <c r="C223" s="50"/>
      <c r="D223" s="50"/>
      <c r="E223" s="50"/>
      <c r="F223" s="50"/>
      <c r="G223" s="50"/>
      <c r="H223" s="50"/>
      <c r="I223" s="50"/>
      <c r="J223" s="50"/>
      <c r="K223" s="50"/>
      <c r="L223" s="136">
        <f t="shared" si="12"/>
        <v>0</v>
      </c>
      <c r="M223" s="136">
        <f t="shared" si="13"/>
        <v>0</v>
      </c>
      <c r="N223" s="54"/>
      <c r="O223" s="138">
        <f t="shared" si="14"/>
        <v>0</v>
      </c>
      <c r="P223" s="54"/>
      <c r="Q223" s="54"/>
      <c r="R223" s="138">
        <f t="shared" si="15"/>
        <v>0</v>
      </c>
      <c r="S223" s="50"/>
      <c r="T223" s="50"/>
      <c r="U223" s="50"/>
      <c r="V223" s="50"/>
      <c r="W223" s="50"/>
      <c r="X223" s="50"/>
      <c r="Y223" s="50"/>
      <c r="Z223" s="50"/>
      <c r="AA223" s="50"/>
      <c r="AB223" s="50"/>
    </row>
    <row r="224" spans="1:28" x14ac:dyDescent="0.2">
      <c r="A224" s="50"/>
      <c r="B224" s="50"/>
      <c r="C224" s="50"/>
      <c r="D224" s="50"/>
      <c r="E224" s="50"/>
      <c r="F224" s="50"/>
      <c r="G224" s="50"/>
      <c r="H224" s="50"/>
      <c r="I224" s="50"/>
      <c r="J224" s="50"/>
      <c r="K224" s="50"/>
      <c r="L224" s="136">
        <f t="shared" si="12"/>
        <v>0</v>
      </c>
      <c r="M224" s="136">
        <f t="shared" si="13"/>
        <v>0</v>
      </c>
      <c r="N224" s="54"/>
      <c r="O224" s="138">
        <f t="shared" si="14"/>
        <v>0</v>
      </c>
      <c r="P224" s="54"/>
      <c r="Q224" s="54"/>
      <c r="R224" s="138">
        <f t="shared" si="15"/>
        <v>0</v>
      </c>
      <c r="S224" s="50"/>
      <c r="T224" s="50"/>
      <c r="U224" s="50"/>
      <c r="V224" s="50"/>
      <c r="W224" s="50"/>
      <c r="X224" s="50"/>
      <c r="Y224" s="50"/>
      <c r="Z224" s="50"/>
      <c r="AA224" s="50"/>
      <c r="AB224" s="50"/>
    </row>
    <row r="225" spans="1:28" x14ac:dyDescent="0.2">
      <c r="A225" s="50"/>
      <c r="B225" s="50"/>
      <c r="C225" s="50"/>
      <c r="D225" s="50"/>
      <c r="E225" s="50"/>
      <c r="F225" s="50"/>
      <c r="G225" s="50"/>
      <c r="H225" s="50"/>
      <c r="I225" s="50"/>
      <c r="J225" s="50"/>
      <c r="K225" s="50"/>
      <c r="L225" s="136">
        <f t="shared" si="12"/>
        <v>0</v>
      </c>
      <c r="M225" s="136">
        <f t="shared" si="13"/>
        <v>0</v>
      </c>
      <c r="N225" s="54"/>
      <c r="O225" s="138">
        <f t="shared" si="14"/>
        <v>0</v>
      </c>
      <c r="P225" s="54"/>
      <c r="Q225" s="54"/>
      <c r="R225" s="138">
        <f t="shared" si="15"/>
        <v>0</v>
      </c>
      <c r="S225" s="50"/>
      <c r="T225" s="50"/>
      <c r="U225" s="50"/>
      <c r="V225" s="50"/>
      <c r="W225" s="50"/>
      <c r="X225" s="50"/>
      <c r="Y225" s="50"/>
      <c r="Z225" s="50"/>
      <c r="AA225" s="50"/>
      <c r="AB225" s="50"/>
    </row>
    <row r="226" spans="1:28" x14ac:dyDescent="0.2">
      <c r="A226" s="50"/>
      <c r="B226" s="50"/>
      <c r="C226" s="50"/>
      <c r="D226" s="50"/>
      <c r="E226" s="50"/>
      <c r="F226" s="50"/>
      <c r="G226" s="50"/>
      <c r="H226" s="50"/>
      <c r="I226" s="50"/>
      <c r="J226" s="50"/>
      <c r="K226" s="50"/>
      <c r="L226" s="136">
        <f t="shared" si="12"/>
        <v>0</v>
      </c>
      <c r="M226" s="136">
        <f t="shared" si="13"/>
        <v>0</v>
      </c>
      <c r="N226" s="54"/>
      <c r="O226" s="138">
        <f t="shared" si="14"/>
        <v>0</v>
      </c>
      <c r="P226" s="54"/>
      <c r="Q226" s="54"/>
      <c r="R226" s="138">
        <f t="shared" si="15"/>
        <v>0</v>
      </c>
      <c r="S226" s="50"/>
      <c r="T226" s="50"/>
      <c r="U226" s="50"/>
      <c r="V226" s="50"/>
      <c r="W226" s="50"/>
      <c r="X226" s="50"/>
      <c r="Y226" s="50"/>
      <c r="Z226" s="50"/>
      <c r="AA226" s="50"/>
      <c r="AB226" s="50"/>
    </row>
    <row r="227" spans="1:28" x14ac:dyDescent="0.2">
      <c r="A227" s="50"/>
      <c r="B227" s="50"/>
      <c r="C227" s="50"/>
      <c r="D227" s="50"/>
      <c r="E227" s="50"/>
      <c r="F227" s="50"/>
      <c r="G227" s="50"/>
      <c r="H227" s="50"/>
      <c r="I227" s="50"/>
      <c r="J227" s="50"/>
      <c r="K227" s="50"/>
      <c r="L227" s="136">
        <f t="shared" si="12"/>
        <v>0</v>
      </c>
      <c r="M227" s="136">
        <f t="shared" si="13"/>
        <v>0</v>
      </c>
      <c r="N227" s="54"/>
      <c r="O227" s="138">
        <f t="shared" si="14"/>
        <v>0</v>
      </c>
      <c r="P227" s="54"/>
      <c r="Q227" s="54"/>
      <c r="R227" s="138">
        <f t="shared" si="15"/>
        <v>0</v>
      </c>
      <c r="S227" s="50"/>
      <c r="T227" s="50"/>
      <c r="U227" s="50"/>
      <c r="V227" s="50"/>
      <c r="W227" s="50"/>
      <c r="X227" s="50"/>
      <c r="Y227" s="50"/>
      <c r="Z227" s="50"/>
      <c r="AA227" s="50"/>
      <c r="AB227" s="50"/>
    </row>
    <row r="228" spans="1:28" x14ac:dyDescent="0.2">
      <c r="A228" s="50"/>
      <c r="B228" s="50"/>
      <c r="C228" s="50"/>
      <c r="D228" s="50"/>
      <c r="E228" s="50"/>
      <c r="F228" s="50"/>
      <c r="G228" s="50"/>
      <c r="H228" s="50"/>
      <c r="I228" s="50"/>
      <c r="J228" s="50"/>
      <c r="K228" s="50"/>
      <c r="L228" s="136">
        <f t="shared" si="12"/>
        <v>0</v>
      </c>
      <c r="M228" s="136">
        <f t="shared" si="13"/>
        <v>0</v>
      </c>
      <c r="N228" s="54"/>
      <c r="O228" s="138">
        <f t="shared" si="14"/>
        <v>0</v>
      </c>
      <c r="P228" s="54"/>
      <c r="Q228" s="54"/>
      <c r="R228" s="138">
        <f t="shared" si="15"/>
        <v>0</v>
      </c>
      <c r="S228" s="50"/>
      <c r="T228" s="50"/>
      <c r="U228" s="50"/>
      <c r="V228" s="50"/>
      <c r="W228" s="50"/>
      <c r="X228" s="50"/>
      <c r="Y228" s="50"/>
      <c r="Z228" s="50"/>
      <c r="AA228" s="50"/>
      <c r="AB228" s="50"/>
    </row>
    <row r="229" spans="1:28" x14ac:dyDescent="0.2">
      <c r="A229" s="50"/>
      <c r="B229" s="50"/>
      <c r="C229" s="50"/>
      <c r="D229" s="50"/>
      <c r="E229" s="50"/>
      <c r="F229" s="50"/>
      <c r="G229" s="50"/>
      <c r="H229" s="50"/>
      <c r="I229" s="50"/>
      <c r="J229" s="50"/>
      <c r="K229" s="50"/>
      <c r="L229" s="136">
        <f t="shared" si="12"/>
        <v>0</v>
      </c>
      <c r="M229" s="136">
        <f t="shared" si="13"/>
        <v>0</v>
      </c>
      <c r="N229" s="54"/>
      <c r="O229" s="138">
        <f t="shared" si="14"/>
        <v>0</v>
      </c>
      <c r="P229" s="54"/>
      <c r="Q229" s="54"/>
      <c r="R229" s="138">
        <f t="shared" si="15"/>
        <v>0</v>
      </c>
      <c r="S229" s="50"/>
      <c r="T229" s="50"/>
      <c r="U229" s="50"/>
      <c r="V229" s="50"/>
      <c r="W229" s="50"/>
      <c r="X229" s="50"/>
      <c r="Y229" s="50"/>
      <c r="Z229" s="50"/>
      <c r="AA229" s="50"/>
      <c r="AB229" s="50"/>
    </row>
    <row r="230" spans="1:28" x14ac:dyDescent="0.2">
      <c r="A230" s="50"/>
      <c r="B230" s="50"/>
      <c r="C230" s="50"/>
      <c r="D230" s="50"/>
      <c r="E230" s="50"/>
      <c r="F230" s="50"/>
      <c r="G230" s="50"/>
      <c r="H230" s="50"/>
      <c r="I230" s="50"/>
      <c r="J230" s="50"/>
      <c r="K230" s="50"/>
      <c r="L230" s="136">
        <f t="shared" si="12"/>
        <v>0</v>
      </c>
      <c r="M230" s="136">
        <f t="shared" si="13"/>
        <v>0</v>
      </c>
      <c r="N230" s="54"/>
      <c r="O230" s="138">
        <f t="shared" si="14"/>
        <v>0</v>
      </c>
      <c r="P230" s="54"/>
      <c r="Q230" s="54"/>
      <c r="R230" s="138">
        <f t="shared" si="15"/>
        <v>0</v>
      </c>
      <c r="S230" s="50"/>
      <c r="T230" s="50"/>
      <c r="U230" s="50"/>
      <c r="V230" s="50"/>
      <c r="W230" s="50"/>
      <c r="X230" s="50"/>
      <c r="Y230" s="50"/>
      <c r="Z230" s="50"/>
      <c r="AA230" s="50"/>
      <c r="AB230" s="50"/>
    </row>
    <row r="231" spans="1:28" x14ac:dyDescent="0.2">
      <c r="A231" s="50"/>
      <c r="B231" s="50"/>
      <c r="C231" s="50"/>
      <c r="D231" s="50"/>
      <c r="E231" s="50"/>
      <c r="F231" s="50"/>
      <c r="G231" s="50"/>
      <c r="H231" s="50"/>
      <c r="I231" s="50"/>
      <c r="J231" s="50"/>
      <c r="K231" s="50"/>
      <c r="L231" s="136">
        <f t="shared" si="12"/>
        <v>0</v>
      </c>
      <c r="M231" s="136">
        <f t="shared" si="13"/>
        <v>0</v>
      </c>
      <c r="N231" s="54"/>
      <c r="O231" s="138">
        <f t="shared" si="14"/>
        <v>0</v>
      </c>
      <c r="P231" s="54"/>
      <c r="Q231" s="54"/>
      <c r="R231" s="138">
        <f t="shared" si="15"/>
        <v>0</v>
      </c>
      <c r="S231" s="50"/>
      <c r="T231" s="50"/>
      <c r="U231" s="50"/>
      <c r="V231" s="50"/>
      <c r="W231" s="50"/>
      <c r="X231" s="50"/>
      <c r="Y231" s="50"/>
      <c r="Z231" s="50"/>
      <c r="AA231" s="50"/>
      <c r="AB231" s="50"/>
    </row>
    <row r="232" spans="1:28" x14ac:dyDescent="0.2">
      <c r="A232" s="50"/>
      <c r="B232" s="50"/>
      <c r="C232" s="50"/>
      <c r="D232" s="50"/>
      <c r="E232" s="50"/>
      <c r="F232" s="50"/>
      <c r="G232" s="50"/>
      <c r="H232" s="50"/>
      <c r="I232" s="50"/>
      <c r="J232" s="50"/>
      <c r="K232" s="50"/>
      <c r="L232" s="136">
        <f t="shared" si="12"/>
        <v>0</v>
      </c>
      <c r="M232" s="136">
        <f t="shared" si="13"/>
        <v>0</v>
      </c>
      <c r="N232" s="54"/>
      <c r="O232" s="138">
        <f t="shared" si="14"/>
        <v>0</v>
      </c>
      <c r="P232" s="54"/>
      <c r="Q232" s="54"/>
      <c r="R232" s="138">
        <f t="shared" si="15"/>
        <v>0</v>
      </c>
      <c r="S232" s="50"/>
      <c r="T232" s="50"/>
      <c r="U232" s="50"/>
      <c r="V232" s="50"/>
      <c r="W232" s="50"/>
      <c r="X232" s="50"/>
      <c r="Y232" s="50"/>
      <c r="Z232" s="50"/>
      <c r="AA232" s="50"/>
      <c r="AB232" s="50"/>
    </row>
    <row r="233" spans="1:28" x14ac:dyDescent="0.2">
      <c r="A233" s="50"/>
      <c r="B233" s="50"/>
      <c r="C233" s="50"/>
      <c r="D233" s="50"/>
      <c r="E233" s="50"/>
      <c r="F233" s="50"/>
      <c r="G233" s="50"/>
      <c r="H233" s="50"/>
      <c r="I233" s="50"/>
      <c r="J233" s="50"/>
      <c r="K233" s="50"/>
      <c r="L233" s="136">
        <f t="shared" si="12"/>
        <v>0</v>
      </c>
      <c r="M233" s="136">
        <f t="shared" si="13"/>
        <v>0</v>
      </c>
      <c r="N233" s="54"/>
      <c r="O233" s="138">
        <f t="shared" si="14"/>
        <v>0</v>
      </c>
      <c r="P233" s="54"/>
      <c r="Q233" s="54"/>
      <c r="R233" s="138">
        <f t="shared" si="15"/>
        <v>0</v>
      </c>
      <c r="S233" s="50"/>
      <c r="T233" s="50"/>
      <c r="U233" s="50"/>
      <c r="V233" s="50"/>
      <c r="W233" s="50"/>
      <c r="X233" s="50"/>
      <c r="Y233" s="50"/>
      <c r="Z233" s="50"/>
      <c r="AA233" s="50"/>
      <c r="AB233" s="50"/>
    </row>
    <row r="234" spans="1:28" x14ac:dyDescent="0.2">
      <c r="A234" s="50"/>
      <c r="B234" s="50"/>
      <c r="C234" s="50"/>
      <c r="D234" s="50"/>
      <c r="E234" s="50"/>
      <c r="F234" s="50"/>
      <c r="G234" s="50"/>
      <c r="H234" s="50"/>
      <c r="I234" s="50"/>
      <c r="J234" s="50"/>
      <c r="K234" s="50"/>
      <c r="L234" s="136">
        <f t="shared" si="12"/>
        <v>0</v>
      </c>
      <c r="M234" s="136">
        <f t="shared" si="13"/>
        <v>0</v>
      </c>
      <c r="N234" s="54"/>
      <c r="O234" s="138">
        <f t="shared" si="14"/>
        <v>0</v>
      </c>
      <c r="P234" s="54"/>
      <c r="Q234" s="54"/>
      <c r="R234" s="138">
        <f t="shared" si="15"/>
        <v>0</v>
      </c>
      <c r="S234" s="50"/>
      <c r="T234" s="50"/>
      <c r="U234" s="50"/>
      <c r="V234" s="50"/>
      <c r="W234" s="50"/>
      <c r="X234" s="50"/>
      <c r="Y234" s="50"/>
      <c r="Z234" s="50"/>
      <c r="AA234" s="50"/>
      <c r="AB234" s="50"/>
    </row>
    <row r="235" spans="1:28" x14ac:dyDescent="0.2">
      <c r="A235" s="50"/>
      <c r="B235" s="50"/>
      <c r="C235" s="50"/>
      <c r="D235" s="50"/>
      <c r="E235" s="50"/>
      <c r="F235" s="50"/>
      <c r="G235" s="50"/>
      <c r="H235" s="50"/>
      <c r="I235" s="50"/>
      <c r="J235" s="50"/>
      <c r="K235" s="50"/>
      <c r="L235" s="136">
        <f t="shared" si="12"/>
        <v>0</v>
      </c>
      <c r="M235" s="136">
        <f t="shared" si="13"/>
        <v>0</v>
      </c>
      <c r="N235" s="54"/>
      <c r="O235" s="138">
        <f t="shared" si="14"/>
        <v>0</v>
      </c>
      <c r="P235" s="54"/>
      <c r="Q235" s="54"/>
      <c r="R235" s="138">
        <f t="shared" si="15"/>
        <v>0</v>
      </c>
      <c r="S235" s="50"/>
      <c r="T235" s="50"/>
      <c r="U235" s="50"/>
      <c r="V235" s="50"/>
      <c r="W235" s="50"/>
      <c r="X235" s="50"/>
      <c r="Y235" s="50"/>
      <c r="Z235" s="50"/>
      <c r="AA235" s="50"/>
      <c r="AB235" s="50"/>
    </row>
    <row r="236" spans="1:28" x14ac:dyDescent="0.2">
      <c r="A236" s="50"/>
      <c r="B236" s="50"/>
      <c r="C236" s="50"/>
      <c r="D236" s="50"/>
      <c r="E236" s="50"/>
      <c r="F236" s="50"/>
      <c r="G236" s="50"/>
      <c r="H236" s="50"/>
      <c r="I236" s="50"/>
      <c r="J236" s="50"/>
      <c r="K236" s="50"/>
      <c r="L236" s="136">
        <f t="shared" si="12"/>
        <v>0</v>
      </c>
      <c r="M236" s="136">
        <f t="shared" si="13"/>
        <v>0</v>
      </c>
      <c r="N236" s="54"/>
      <c r="O236" s="138">
        <f t="shared" si="14"/>
        <v>0</v>
      </c>
      <c r="P236" s="54"/>
      <c r="Q236" s="54"/>
      <c r="R236" s="138">
        <f t="shared" si="15"/>
        <v>0</v>
      </c>
      <c r="S236" s="50"/>
      <c r="T236" s="50"/>
      <c r="U236" s="50"/>
      <c r="V236" s="50"/>
      <c r="W236" s="50"/>
      <c r="X236" s="50"/>
      <c r="Y236" s="50"/>
      <c r="Z236" s="50"/>
      <c r="AA236" s="50"/>
      <c r="AB236" s="50"/>
    </row>
    <row r="237" spans="1:28" x14ac:dyDescent="0.2">
      <c r="A237" s="50"/>
      <c r="B237" s="50"/>
      <c r="C237" s="50"/>
      <c r="D237" s="50"/>
      <c r="E237" s="50"/>
      <c r="F237" s="50"/>
      <c r="G237" s="50"/>
      <c r="H237" s="50"/>
      <c r="I237" s="50"/>
      <c r="J237" s="50"/>
      <c r="K237" s="50"/>
      <c r="L237" s="136">
        <f t="shared" si="12"/>
        <v>0</v>
      </c>
      <c r="M237" s="136">
        <f t="shared" si="13"/>
        <v>0</v>
      </c>
      <c r="N237" s="54"/>
      <c r="O237" s="138">
        <f t="shared" si="14"/>
        <v>0</v>
      </c>
      <c r="P237" s="54"/>
      <c r="Q237" s="54"/>
      <c r="R237" s="138">
        <f t="shared" si="15"/>
        <v>0</v>
      </c>
      <c r="S237" s="50"/>
      <c r="T237" s="50"/>
      <c r="U237" s="50"/>
      <c r="V237" s="50"/>
      <c r="W237" s="50"/>
      <c r="X237" s="50"/>
      <c r="Y237" s="50"/>
      <c r="Z237" s="50"/>
      <c r="AA237" s="50"/>
      <c r="AB237" s="50"/>
    </row>
    <row r="238" spans="1:28" x14ac:dyDescent="0.2">
      <c r="A238" s="50"/>
      <c r="B238" s="50"/>
      <c r="C238" s="50"/>
      <c r="D238" s="50"/>
      <c r="E238" s="50"/>
      <c r="F238" s="50"/>
      <c r="G238" s="50"/>
      <c r="H238" s="50"/>
      <c r="I238" s="50"/>
      <c r="J238" s="50"/>
      <c r="K238" s="50"/>
      <c r="L238" s="136">
        <f t="shared" si="12"/>
        <v>0</v>
      </c>
      <c r="M238" s="136">
        <f t="shared" si="13"/>
        <v>0</v>
      </c>
      <c r="N238" s="54"/>
      <c r="O238" s="138">
        <f t="shared" si="14"/>
        <v>0</v>
      </c>
      <c r="P238" s="54"/>
      <c r="Q238" s="54"/>
      <c r="R238" s="138">
        <f t="shared" si="15"/>
        <v>0</v>
      </c>
      <c r="S238" s="50"/>
      <c r="T238" s="50"/>
      <c r="U238" s="50"/>
      <c r="V238" s="50"/>
      <c r="W238" s="50"/>
      <c r="X238" s="50"/>
      <c r="Y238" s="50"/>
      <c r="Z238" s="50"/>
      <c r="AA238" s="50"/>
      <c r="AB238" s="50"/>
    </row>
    <row r="239" spans="1:28" x14ac:dyDescent="0.2">
      <c r="A239" s="50"/>
      <c r="B239" s="50"/>
      <c r="C239" s="50"/>
      <c r="D239" s="50"/>
      <c r="E239" s="50"/>
      <c r="F239" s="50"/>
      <c r="G239" s="50"/>
      <c r="H239" s="50"/>
      <c r="I239" s="50"/>
      <c r="J239" s="50"/>
      <c r="K239" s="50"/>
      <c r="L239" s="136">
        <f t="shared" si="12"/>
        <v>0</v>
      </c>
      <c r="M239" s="136">
        <f t="shared" si="13"/>
        <v>0</v>
      </c>
      <c r="N239" s="54"/>
      <c r="O239" s="138">
        <f t="shared" si="14"/>
        <v>0</v>
      </c>
      <c r="P239" s="54"/>
      <c r="Q239" s="54"/>
      <c r="R239" s="138">
        <f t="shared" si="15"/>
        <v>0</v>
      </c>
      <c r="S239" s="50"/>
      <c r="T239" s="50"/>
      <c r="U239" s="50"/>
      <c r="V239" s="50"/>
      <c r="W239" s="50"/>
      <c r="X239" s="50"/>
      <c r="Y239" s="50"/>
      <c r="Z239" s="50"/>
      <c r="AA239" s="50"/>
      <c r="AB239" s="50"/>
    </row>
    <row r="240" spans="1:28" x14ac:dyDescent="0.2">
      <c r="A240" s="50"/>
      <c r="B240" s="50"/>
      <c r="C240" s="50"/>
      <c r="D240" s="50"/>
      <c r="E240" s="50"/>
      <c r="F240" s="50"/>
      <c r="G240" s="50"/>
      <c r="H240" s="50"/>
      <c r="I240" s="50"/>
      <c r="J240" s="50"/>
      <c r="K240" s="50"/>
      <c r="L240" s="136">
        <f t="shared" si="12"/>
        <v>0</v>
      </c>
      <c r="M240" s="136">
        <f t="shared" si="13"/>
        <v>0</v>
      </c>
      <c r="N240" s="54"/>
      <c r="O240" s="138">
        <f t="shared" si="14"/>
        <v>0</v>
      </c>
      <c r="P240" s="54"/>
      <c r="Q240" s="54"/>
      <c r="R240" s="138">
        <f t="shared" si="15"/>
        <v>0</v>
      </c>
      <c r="S240" s="50"/>
      <c r="T240" s="50"/>
      <c r="U240" s="50"/>
      <c r="V240" s="50"/>
      <c r="W240" s="50"/>
      <c r="X240" s="50"/>
      <c r="Y240" s="50"/>
      <c r="Z240" s="50"/>
      <c r="AA240" s="50"/>
      <c r="AB240" s="50"/>
    </row>
    <row r="241" spans="1:28" x14ac:dyDescent="0.2">
      <c r="A241" s="50"/>
      <c r="B241" s="50"/>
      <c r="C241" s="50"/>
      <c r="D241" s="50"/>
      <c r="E241" s="50"/>
      <c r="F241" s="50"/>
      <c r="G241" s="50"/>
      <c r="H241" s="50"/>
      <c r="I241" s="50"/>
      <c r="J241" s="50"/>
      <c r="K241" s="50"/>
      <c r="L241" s="136">
        <f t="shared" si="12"/>
        <v>0</v>
      </c>
      <c r="M241" s="136">
        <f t="shared" si="13"/>
        <v>0</v>
      </c>
      <c r="N241" s="54"/>
      <c r="O241" s="138">
        <f t="shared" si="14"/>
        <v>0</v>
      </c>
      <c r="P241" s="54"/>
      <c r="Q241" s="54"/>
      <c r="R241" s="138">
        <f t="shared" si="15"/>
        <v>0</v>
      </c>
      <c r="S241" s="50"/>
      <c r="T241" s="50"/>
      <c r="U241" s="50"/>
      <c r="V241" s="50"/>
      <c r="W241" s="50"/>
      <c r="X241" s="50"/>
      <c r="Y241" s="50"/>
      <c r="Z241" s="50"/>
      <c r="AA241" s="50"/>
      <c r="AB241" s="50"/>
    </row>
    <row r="242" spans="1:28" x14ac:dyDescent="0.2">
      <c r="A242" s="50"/>
      <c r="B242" s="50"/>
      <c r="C242" s="50"/>
      <c r="D242" s="50"/>
      <c r="E242" s="50"/>
      <c r="F242" s="50"/>
      <c r="G242" s="50"/>
      <c r="H242" s="50"/>
      <c r="I242" s="50"/>
      <c r="J242" s="50"/>
      <c r="K242" s="50"/>
      <c r="L242" s="136">
        <f t="shared" si="12"/>
        <v>0</v>
      </c>
      <c r="M242" s="136">
        <f t="shared" si="13"/>
        <v>0</v>
      </c>
      <c r="N242" s="54"/>
      <c r="O242" s="138">
        <f t="shared" si="14"/>
        <v>0</v>
      </c>
      <c r="P242" s="54"/>
      <c r="Q242" s="54"/>
      <c r="R242" s="138">
        <f t="shared" si="15"/>
        <v>0</v>
      </c>
      <c r="S242" s="50"/>
      <c r="T242" s="50"/>
      <c r="U242" s="50"/>
      <c r="V242" s="50"/>
      <c r="W242" s="50"/>
      <c r="X242" s="50"/>
      <c r="Y242" s="50"/>
      <c r="Z242" s="50"/>
      <c r="AA242" s="50"/>
      <c r="AB242" s="50"/>
    </row>
    <row r="243" spans="1:28" x14ac:dyDescent="0.2">
      <c r="A243" s="50"/>
      <c r="B243" s="50"/>
      <c r="C243" s="50"/>
      <c r="D243" s="50"/>
      <c r="E243" s="50"/>
      <c r="F243" s="50"/>
      <c r="G243" s="50"/>
      <c r="H243" s="50"/>
      <c r="I243" s="50"/>
      <c r="J243" s="50"/>
      <c r="K243" s="50"/>
      <c r="L243" s="136">
        <f t="shared" si="12"/>
        <v>0</v>
      </c>
      <c r="M243" s="136">
        <f t="shared" si="13"/>
        <v>0</v>
      </c>
      <c r="N243" s="54"/>
      <c r="O243" s="138">
        <f t="shared" si="14"/>
        <v>0</v>
      </c>
      <c r="P243" s="54"/>
      <c r="Q243" s="54"/>
      <c r="R243" s="138">
        <f t="shared" si="15"/>
        <v>0</v>
      </c>
      <c r="S243" s="50"/>
      <c r="T243" s="50"/>
      <c r="U243" s="50"/>
      <c r="V243" s="50"/>
      <c r="W243" s="50"/>
      <c r="X243" s="50"/>
      <c r="Y243" s="50"/>
      <c r="Z243" s="50"/>
      <c r="AA243" s="50"/>
      <c r="AB243" s="50"/>
    </row>
    <row r="244" spans="1:28" x14ac:dyDescent="0.2">
      <c r="A244" s="50"/>
      <c r="B244" s="50"/>
      <c r="C244" s="50"/>
      <c r="D244" s="50"/>
      <c r="E244" s="50"/>
      <c r="F244" s="50"/>
      <c r="G244" s="50"/>
      <c r="H244" s="50"/>
      <c r="I244" s="50"/>
      <c r="J244" s="50"/>
      <c r="K244" s="50"/>
      <c r="L244" s="136">
        <f t="shared" si="12"/>
        <v>0</v>
      </c>
      <c r="M244" s="136">
        <f t="shared" si="13"/>
        <v>0</v>
      </c>
      <c r="N244" s="54"/>
      <c r="O244" s="138">
        <f t="shared" si="14"/>
        <v>0</v>
      </c>
      <c r="P244" s="54"/>
      <c r="Q244" s="54"/>
      <c r="R244" s="138">
        <f t="shared" si="15"/>
        <v>0</v>
      </c>
      <c r="S244" s="50"/>
      <c r="T244" s="50"/>
      <c r="U244" s="50"/>
      <c r="V244" s="50"/>
      <c r="W244" s="50"/>
      <c r="X244" s="50"/>
      <c r="Y244" s="50"/>
      <c r="Z244" s="50"/>
      <c r="AA244" s="50"/>
      <c r="AB244" s="50"/>
    </row>
    <row r="245" spans="1:28" x14ac:dyDescent="0.2">
      <c r="A245" s="50"/>
      <c r="B245" s="50"/>
      <c r="C245" s="50"/>
      <c r="D245" s="50"/>
      <c r="E245" s="50"/>
      <c r="F245" s="50"/>
      <c r="G245" s="50"/>
      <c r="H245" s="50"/>
      <c r="I245" s="50"/>
      <c r="J245" s="50"/>
      <c r="K245" s="50"/>
      <c r="L245" s="136">
        <f t="shared" si="12"/>
        <v>0</v>
      </c>
      <c r="M245" s="136">
        <f t="shared" si="13"/>
        <v>0</v>
      </c>
      <c r="N245" s="54"/>
      <c r="O245" s="138">
        <f t="shared" si="14"/>
        <v>0</v>
      </c>
      <c r="P245" s="54"/>
      <c r="Q245" s="54"/>
      <c r="R245" s="138">
        <f t="shared" si="15"/>
        <v>0</v>
      </c>
      <c r="S245" s="50"/>
      <c r="T245" s="50"/>
      <c r="U245" s="50"/>
      <c r="V245" s="50"/>
      <c r="W245" s="50"/>
      <c r="X245" s="50"/>
      <c r="Y245" s="50"/>
      <c r="Z245" s="50"/>
      <c r="AA245" s="50"/>
      <c r="AB245" s="50"/>
    </row>
    <row r="246" spans="1:28" x14ac:dyDescent="0.2">
      <c r="A246" s="50"/>
      <c r="B246" s="50"/>
      <c r="C246" s="50"/>
      <c r="D246" s="50"/>
      <c r="E246" s="50"/>
      <c r="F246" s="50"/>
      <c r="G246" s="50"/>
      <c r="H246" s="50"/>
      <c r="I246" s="50"/>
      <c r="J246" s="50"/>
      <c r="K246" s="50"/>
      <c r="L246" s="136">
        <f t="shared" si="12"/>
        <v>0</v>
      </c>
      <c r="M246" s="136">
        <f t="shared" si="13"/>
        <v>0</v>
      </c>
      <c r="N246" s="54"/>
      <c r="O246" s="138">
        <f t="shared" si="14"/>
        <v>0</v>
      </c>
      <c r="P246" s="54"/>
      <c r="Q246" s="54"/>
      <c r="R246" s="138">
        <f t="shared" si="15"/>
        <v>0</v>
      </c>
      <c r="S246" s="50"/>
      <c r="T246" s="50"/>
      <c r="U246" s="50"/>
      <c r="V246" s="50"/>
      <c r="W246" s="50"/>
      <c r="X246" s="50"/>
      <c r="Y246" s="50"/>
      <c r="Z246" s="50"/>
      <c r="AA246" s="50"/>
      <c r="AB246" s="50"/>
    </row>
    <row r="247" spans="1:28" x14ac:dyDescent="0.2">
      <c r="A247" s="50"/>
      <c r="B247" s="50"/>
      <c r="C247" s="50"/>
      <c r="D247" s="50"/>
      <c r="E247" s="50"/>
      <c r="F247" s="50"/>
      <c r="G247" s="50"/>
      <c r="H247" s="50"/>
      <c r="I247" s="50"/>
      <c r="J247" s="50"/>
      <c r="K247" s="50"/>
      <c r="L247" s="136">
        <f t="shared" si="12"/>
        <v>0</v>
      </c>
      <c r="M247" s="136">
        <f t="shared" si="13"/>
        <v>0</v>
      </c>
      <c r="N247" s="54"/>
      <c r="O247" s="138">
        <f t="shared" si="14"/>
        <v>0</v>
      </c>
      <c r="P247" s="54"/>
      <c r="Q247" s="54"/>
      <c r="R247" s="138">
        <f t="shared" si="15"/>
        <v>0</v>
      </c>
      <c r="S247" s="50"/>
      <c r="T247" s="50"/>
      <c r="U247" s="50"/>
      <c r="V247" s="50"/>
      <c r="W247" s="50"/>
      <c r="X247" s="50"/>
      <c r="Y247" s="50"/>
      <c r="Z247" s="50"/>
      <c r="AA247" s="50"/>
      <c r="AB247" s="50"/>
    </row>
    <row r="248" spans="1:28" x14ac:dyDescent="0.2">
      <c r="A248" s="50"/>
      <c r="B248" s="50"/>
      <c r="C248" s="50"/>
      <c r="D248" s="50"/>
      <c r="E248" s="50"/>
      <c r="F248" s="50"/>
      <c r="G248" s="50"/>
      <c r="H248" s="50"/>
      <c r="I248" s="50"/>
      <c r="J248" s="50"/>
      <c r="K248" s="50"/>
      <c r="L248" s="136">
        <f t="shared" si="12"/>
        <v>0</v>
      </c>
      <c r="M248" s="136">
        <f t="shared" si="13"/>
        <v>0</v>
      </c>
      <c r="N248" s="54"/>
      <c r="O248" s="138">
        <f t="shared" si="14"/>
        <v>0</v>
      </c>
      <c r="P248" s="54"/>
      <c r="Q248" s="54"/>
      <c r="R248" s="138">
        <f t="shared" si="15"/>
        <v>0</v>
      </c>
      <c r="S248" s="50"/>
      <c r="T248" s="50"/>
      <c r="U248" s="50"/>
      <c r="V248" s="50"/>
      <c r="W248" s="50"/>
      <c r="X248" s="50"/>
      <c r="Y248" s="50"/>
      <c r="Z248" s="50"/>
      <c r="AA248" s="50"/>
      <c r="AB248" s="50"/>
    </row>
    <row r="249" spans="1:28" x14ac:dyDescent="0.2">
      <c r="A249" s="50"/>
      <c r="B249" s="50"/>
      <c r="C249" s="50"/>
      <c r="D249" s="50"/>
      <c r="E249" s="50"/>
      <c r="F249" s="50"/>
      <c r="G249" s="50"/>
      <c r="H249" s="50"/>
      <c r="I249" s="50"/>
      <c r="J249" s="50"/>
      <c r="K249" s="50"/>
      <c r="L249" s="136">
        <f t="shared" si="12"/>
        <v>0</v>
      </c>
      <c r="M249" s="136">
        <f t="shared" si="13"/>
        <v>0</v>
      </c>
      <c r="N249" s="54"/>
      <c r="O249" s="138">
        <f t="shared" si="14"/>
        <v>0</v>
      </c>
      <c r="P249" s="54"/>
      <c r="Q249" s="54"/>
      <c r="R249" s="138">
        <f t="shared" si="15"/>
        <v>0</v>
      </c>
      <c r="S249" s="50"/>
      <c r="T249" s="50"/>
      <c r="U249" s="50"/>
      <c r="V249" s="50"/>
      <c r="W249" s="50"/>
      <c r="X249" s="50"/>
      <c r="Y249" s="50"/>
      <c r="Z249" s="50"/>
      <c r="AA249" s="50"/>
      <c r="AB249" s="50"/>
    </row>
    <row r="250" spans="1:28" x14ac:dyDescent="0.2">
      <c r="A250" s="50"/>
      <c r="B250" s="50"/>
      <c r="C250" s="50"/>
      <c r="D250" s="50"/>
      <c r="E250" s="50"/>
      <c r="F250" s="50"/>
      <c r="G250" s="50"/>
      <c r="H250" s="50"/>
      <c r="I250" s="50"/>
      <c r="J250" s="50"/>
      <c r="K250" s="50"/>
      <c r="L250" s="136">
        <f t="shared" si="12"/>
        <v>0</v>
      </c>
      <c r="M250" s="136">
        <f t="shared" si="13"/>
        <v>0</v>
      </c>
      <c r="N250" s="54"/>
      <c r="O250" s="138">
        <f t="shared" si="14"/>
        <v>0</v>
      </c>
      <c r="P250" s="54"/>
      <c r="Q250" s="54"/>
      <c r="R250" s="138">
        <f t="shared" si="15"/>
        <v>0</v>
      </c>
      <c r="S250" s="50"/>
      <c r="T250" s="50"/>
      <c r="U250" s="50"/>
      <c r="V250" s="50"/>
      <c r="W250" s="50"/>
      <c r="X250" s="50"/>
      <c r="Y250" s="50"/>
      <c r="Z250" s="50"/>
      <c r="AA250" s="50"/>
      <c r="AB250" s="50"/>
    </row>
    <row r="251" spans="1:28" x14ac:dyDescent="0.2">
      <c r="A251" s="50"/>
      <c r="B251" s="50"/>
      <c r="C251" s="50"/>
      <c r="D251" s="50"/>
      <c r="E251" s="50"/>
      <c r="F251" s="50"/>
      <c r="G251" s="50"/>
      <c r="H251" s="50"/>
      <c r="I251" s="50"/>
      <c r="J251" s="50"/>
      <c r="K251" s="50"/>
      <c r="L251" s="136">
        <f t="shared" si="12"/>
        <v>0</v>
      </c>
      <c r="M251" s="136">
        <f t="shared" si="13"/>
        <v>0</v>
      </c>
      <c r="N251" s="54"/>
      <c r="O251" s="138">
        <f t="shared" si="14"/>
        <v>0</v>
      </c>
      <c r="P251" s="54"/>
      <c r="Q251" s="54"/>
      <c r="R251" s="138">
        <f t="shared" si="15"/>
        <v>0</v>
      </c>
      <c r="S251" s="50"/>
      <c r="T251" s="50"/>
      <c r="U251" s="50"/>
      <c r="V251" s="50"/>
      <c r="W251" s="50"/>
      <c r="X251" s="50"/>
      <c r="Y251" s="50"/>
      <c r="Z251" s="50"/>
      <c r="AA251" s="50"/>
      <c r="AB251" s="50"/>
    </row>
    <row r="252" spans="1:28" x14ac:dyDescent="0.2">
      <c r="A252" s="50"/>
      <c r="B252" s="50"/>
      <c r="C252" s="50"/>
      <c r="D252" s="50"/>
      <c r="E252" s="50"/>
      <c r="F252" s="50"/>
      <c r="G252" s="50"/>
      <c r="H252" s="50"/>
      <c r="I252" s="50"/>
      <c r="J252" s="50"/>
      <c r="K252" s="50"/>
      <c r="L252" s="136">
        <f t="shared" si="12"/>
        <v>0</v>
      </c>
      <c r="M252" s="136">
        <f t="shared" si="13"/>
        <v>0</v>
      </c>
      <c r="N252" s="54"/>
      <c r="O252" s="138">
        <f t="shared" si="14"/>
        <v>0</v>
      </c>
      <c r="P252" s="54"/>
      <c r="Q252" s="54"/>
      <c r="R252" s="138">
        <f t="shared" si="15"/>
        <v>0</v>
      </c>
      <c r="S252" s="50"/>
      <c r="T252" s="50"/>
      <c r="U252" s="50"/>
      <c r="V252" s="50"/>
      <c r="W252" s="50"/>
      <c r="X252" s="50"/>
      <c r="Y252" s="50"/>
      <c r="Z252" s="50"/>
      <c r="AA252" s="50"/>
      <c r="AB252" s="50"/>
    </row>
    <row r="253" spans="1:28" x14ac:dyDescent="0.2">
      <c r="A253" s="50"/>
      <c r="B253" s="50"/>
      <c r="C253" s="50"/>
      <c r="D253" s="50"/>
      <c r="E253" s="50"/>
      <c r="F253" s="50"/>
      <c r="G253" s="50"/>
      <c r="H253" s="50"/>
      <c r="I253" s="50"/>
      <c r="J253" s="50"/>
      <c r="K253" s="50"/>
      <c r="L253" s="136">
        <f t="shared" si="12"/>
        <v>0</v>
      </c>
      <c r="M253" s="136">
        <f t="shared" si="13"/>
        <v>0</v>
      </c>
      <c r="N253" s="54"/>
      <c r="O253" s="138">
        <f t="shared" si="14"/>
        <v>0</v>
      </c>
      <c r="P253" s="54"/>
      <c r="Q253" s="54"/>
      <c r="R253" s="138">
        <f t="shared" si="15"/>
        <v>0</v>
      </c>
      <c r="S253" s="50"/>
      <c r="T253" s="50"/>
      <c r="U253" s="50"/>
      <c r="V253" s="50"/>
      <c r="W253" s="50"/>
      <c r="X253" s="50"/>
      <c r="Y253" s="50"/>
      <c r="Z253" s="50"/>
      <c r="AA253" s="50"/>
      <c r="AB253" s="50"/>
    </row>
    <row r="254" spans="1:28" x14ac:dyDescent="0.2">
      <c r="A254" s="50"/>
      <c r="B254" s="50"/>
      <c r="C254" s="50"/>
      <c r="D254" s="50"/>
      <c r="E254" s="50"/>
      <c r="F254" s="50"/>
      <c r="G254" s="50"/>
      <c r="H254" s="50"/>
      <c r="I254" s="50"/>
      <c r="J254" s="50"/>
      <c r="K254" s="50"/>
      <c r="L254" s="136">
        <f t="shared" si="12"/>
        <v>0</v>
      </c>
      <c r="M254" s="136">
        <f t="shared" si="13"/>
        <v>0</v>
      </c>
      <c r="N254" s="54"/>
      <c r="O254" s="138">
        <f t="shared" si="14"/>
        <v>0</v>
      </c>
      <c r="P254" s="54"/>
      <c r="Q254" s="54"/>
      <c r="R254" s="138">
        <f t="shared" si="15"/>
        <v>0</v>
      </c>
      <c r="S254" s="50"/>
      <c r="T254" s="50"/>
      <c r="U254" s="50"/>
      <c r="V254" s="50"/>
      <c r="W254" s="50"/>
      <c r="X254" s="50"/>
      <c r="Y254" s="50"/>
      <c r="Z254" s="50"/>
      <c r="AA254" s="50"/>
      <c r="AB254" s="50"/>
    </row>
    <row r="255" spans="1:28" x14ac:dyDescent="0.2">
      <c r="A255" s="50"/>
      <c r="B255" s="50"/>
      <c r="C255" s="50"/>
      <c r="D255" s="50"/>
      <c r="E255" s="50"/>
      <c r="F255" s="50"/>
      <c r="G255" s="50"/>
      <c r="H255" s="50"/>
      <c r="I255" s="50"/>
      <c r="J255" s="50"/>
      <c r="K255" s="50"/>
      <c r="L255" s="136">
        <f t="shared" si="12"/>
        <v>0</v>
      </c>
      <c r="M255" s="136">
        <f t="shared" si="13"/>
        <v>0</v>
      </c>
      <c r="N255" s="54"/>
      <c r="O255" s="138">
        <f t="shared" si="14"/>
        <v>0</v>
      </c>
      <c r="P255" s="54"/>
      <c r="Q255" s="54"/>
      <c r="R255" s="138">
        <f t="shared" si="15"/>
        <v>0</v>
      </c>
      <c r="S255" s="50"/>
      <c r="T255" s="50"/>
      <c r="U255" s="50"/>
      <c r="V255" s="50"/>
      <c r="W255" s="50"/>
      <c r="X255" s="50"/>
      <c r="Y255" s="50"/>
      <c r="Z255" s="50"/>
      <c r="AA255" s="50"/>
      <c r="AB255" s="50"/>
    </row>
    <row r="256" spans="1:28" x14ac:dyDescent="0.2">
      <c r="A256" s="50"/>
      <c r="B256" s="50"/>
      <c r="C256" s="50"/>
      <c r="D256" s="50"/>
      <c r="E256" s="50"/>
      <c r="F256" s="50"/>
      <c r="G256" s="50"/>
      <c r="H256" s="50"/>
      <c r="I256" s="50"/>
      <c r="J256" s="50"/>
      <c r="K256" s="50"/>
      <c r="L256" s="136">
        <f t="shared" si="12"/>
        <v>0</v>
      </c>
      <c r="M256" s="136">
        <f t="shared" si="13"/>
        <v>0</v>
      </c>
      <c r="N256" s="54"/>
      <c r="O256" s="138">
        <f t="shared" si="14"/>
        <v>0</v>
      </c>
      <c r="P256" s="54"/>
      <c r="Q256" s="54"/>
      <c r="R256" s="138">
        <f t="shared" si="15"/>
        <v>0</v>
      </c>
      <c r="S256" s="50"/>
      <c r="T256" s="50"/>
      <c r="U256" s="50"/>
      <c r="V256" s="50"/>
      <c r="W256" s="50"/>
      <c r="X256" s="50"/>
      <c r="Y256" s="50"/>
      <c r="Z256" s="50"/>
      <c r="AA256" s="50"/>
      <c r="AB256" s="50"/>
    </row>
    <row r="257" spans="1:28" x14ac:dyDescent="0.2">
      <c r="A257" s="50"/>
      <c r="B257" s="50"/>
      <c r="C257" s="50"/>
      <c r="D257" s="50"/>
      <c r="E257" s="50"/>
      <c r="F257" s="50"/>
      <c r="G257" s="50"/>
      <c r="H257" s="50"/>
      <c r="I257" s="50"/>
      <c r="J257" s="50"/>
      <c r="K257" s="50"/>
      <c r="L257" s="136">
        <f t="shared" si="12"/>
        <v>0</v>
      </c>
      <c r="M257" s="136">
        <f t="shared" si="13"/>
        <v>0</v>
      </c>
      <c r="N257" s="54"/>
      <c r="O257" s="138">
        <f t="shared" si="14"/>
        <v>0</v>
      </c>
      <c r="P257" s="54"/>
      <c r="Q257" s="54"/>
      <c r="R257" s="138">
        <f t="shared" si="15"/>
        <v>0</v>
      </c>
      <c r="S257" s="50"/>
      <c r="T257" s="50"/>
      <c r="U257" s="50"/>
      <c r="V257" s="50"/>
      <c r="W257" s="50"/>
      <c r="X257" s="50"/>
      <c r="Y257" s="50"/>
      <c r="Z257" s="50"/>
      <c r="AA257" s="50"/>
      <c r="AB257" s="50"/>
    </row>
    <row r="258" spans="1:28" x14ac:dyDescent="0.2">
      <c r="A258" s="50"/>
      <c r="B258" s="50"/>
      <c r="C258" s="50"/>
      <c r="D258" s="50"/>
      <c r="E258" s="50"/>
      <c r="F258" s="50"/>
      <c r="G258" s="50"/>
      <c r="H258" s="50"/>
      <c r="I258" s="50"/>
      <c r="J258" s="50"/>
      <c r="K258" s="50"/>
      <c r="L258" s="136">
        <f t="shared" si="12"/>
        <v>0</v>
      </c>
      <c r="M258" s="136">
        <f t="shared" si="13"/>
        <v>0</v>
      </c>
      <c r="N258" s="54"/>
      <c r="O258" s="138">
        <f t="shared" si="14"/>
        <v>0</v>
      </c>
      <c r="P258" s="54"/>
      <c r="Q258" s="54"/>
      <c r="R258" s="138">
        <f t="shared" si="15"/>
        <v>0</v>
      </c>
      <c r="S258" s="50"/>
      <c r="T258" s="50"/>
      <c r="U258" s="50"/>
      <c r="V258" s="50"/>
      <c r="W258" s="50"/>
      <c r="X258" s="50"/>
      <c r="Y258" s="50"/>
      <c r="Z258" s="50"/>
      <c r="AA258" s="50"/>
      <c r="AB258" s="50"/>
    </row>
    <row r="259" spans="1:28" x14ac:dyDescent="0.2">
      <c r="A259" s="50"/>
      <c r="B259" s="50"/>
      <c r="C259" s="50"/>
      <c r="D259" s="50"/>
      <c r="E259" s="50"/>
      <c r="F259" s="50"/>
      <c r="G259" s="50"/>
      <c r="H259" s="50"/>
      <c r="I259" s="50"/>
      <c r="J259" s="50"/>
      <c r="K259" s="50"/>
      <c r="L259" s="136">
        <f t="shared" si="12"/>
        <v>0</v>
      </c>
      <c r="M259" s="136">
        <f t="shared" si="13"/>
        <v>0</v>
      </c>
      <c r="N259" s="54"/>
      <c r="O259" s="138">
        <f t="shared" si="14"/>
        <v>0</v>
      </c>
      <c r="P259" s="54"/>
      <c r="Q259" s="54"/>
      <c r="R259" s="138">
        <f t="shared" si="15"/>
        <v>0</v>
      </c>
      <c r="S259" s="50"/>
      <c r="T259" s="50"/>
      <c r="U259" s="50"/>
      <c r="V259" s="50"/>
      <c r="W259" s="50"/>
      <c r="X259" s="50"/>
      <c r="Y259" s="50"/>
      <c r="Z259" s="50"/>
      <c r="AA259" s="50"/>
      <c r="AB259" s="50"/>
    </row>
    <row r="260" spans="1:28" x14ac:dyDescent="0.2">
      <c r="A260" s="50"/>
      <c r="B260" s="50"/>
      <c r="C260" s="50"/>
      <c r="D260" s="50"/>
      <c r="E260" s="50"/>
      <c r="F260" s="50"/>
      <c r="G260" s="50"/>
      <c r="H260" s="50"/>
      <c r="I260" s="50"/>
      <c r="J260" s="50"/>
      <c r="K260" s="50"/>
      <c r="L260" s="136">
        <f t="shared" si="12"/>
        <v>0</v>
      </c>
      <c r="M260" s="136">
        <f t="shared" si="13"/>
        <v>0</v>
      </c>
      <c r="N260" s="54"/>
      <c r="O260" s="138">
        <f t="shared" si="14"/>
        <v>0</v>
      </c>
      <c r="P260" s="54"/>
      <c r="Q260" s="54"/>
      <c r="R260" s="138">
        <f t="shared" si="15"/>
        <v>0</v>
      </c>
      <c r="S260" s="50"/>
      <c r="T260" s="50"/>
      <c r="U260" s="50"/>
      <c r="V260" s="50"/>
      <c r="W260" s="50"/>
      <c r="X260" s="50"/>
      <c r="Y260" s="50"/>
      <c r="Z260" s="50"/>
      <c r="AA260" s="50"/>
      <c r="AB260" s="50"/>
    </row>
    <row r="261" spans="1:28" x14ac:dyDescent="0.2">
      <c r="A261" s="50"/>
      <c r="B261" s="50"/>
      <c r="C261" s="50"/>
      <c r="D261" s="50"/>
      <c r="E261" s="50"/>
      <c r="F261" s="50"/>
      <c r="G261" s="50"/>
      <c r="H261" s="50"/>
      <c r="I261" s="50"/>
      <c r="J261" s="50"/>
      <c r="K261" s="50"/>
      <c r="L261" s="136">
        <f t="shared" ref="L261:L304" si="16">IFERROR(K261*(E261-H261)/60*12,0)</f>
        <v>0</v>
      </c>
      <c r="M261" s="136">
        <f t="shared" ref="M261:M304" si="17">IFERROR(L261/(8*21*12),0)</f>
        <v>0</v>
      </c>
      <c r="N261" s="54"/>
      <c r="O261" s="138">
        <f t="shared" ref="O261:O304" si="18">L261*50</f>
        <v>0</v>
      </c>
      <c r="P261" s="54"/>
      <c r="Q261" s="54"/>
      <c r="R261" s="138">
        <f t="shared" ref="R261:R304" si="19">SUM(N261:P261)</f>
        <v>0</v>
      </c>
      <c r="S261" s="50"/>
      <c r="T261" s="50"/>
      <c r="U261" s="50"/>
      <c r="V261" s="50"/>
      <c r="W261" s="50"/>
      <c r="X261" s="50"/>
      <c r="Y261" s="50"/>
      <c r="Z261" s="50"/>
      <c r="AA261" s="50"/>
      <c r="AB261" s="50"/>
    </row>
    <row r="262" spans="1:28" x14ac:dyDescent="0.2">
      <c r="A262" s="50"/>
      <c r="B262" s="50"/>
      <c r="C262" s="50"/>
      <c r="D262" s="50"/>
      <c r="E262" s="50"/>
      <c r="F262" s="50"/>
      <c r="G262" s="50"/>
      <c r="H262" s="50"/>
      <c r="I262" s="50"/>
      <c r="J262" s="50"/>
      <c r="K262" s="50"/>
      <c r="L262" s="136">
        <f t="shared" si="16"/>
        <v>0</v>
      </c>
      <c r="M262" s="136">
        <f t="shared" si="17"/>
        <v>0</v>
      </c>
      <c r="N262" s="54"/>
      <c r="O262" s="138">
        <f t="shared" si="18"/>
        <v>0</v>
      </c>
      <c r="P262" s="54"/>
      <c r="Q262" s="54"/>
      <c r="R262" s="138">
        <f t="shared" si="19"/>
        <v>0</v>
      </c>
      <c r="S262" s="50"/>
      <c r="T262" s="50"/>
      <c r="U262" s="50"/>
      <c r="V262" s="50"/>
      <c r="W262" s="50"/>
      <c r="X262" s="50"/>
      <c r="Y262" s="50"/>
      <c r="Z262" s="50"/>
      <c r="AA262" s="50"/>
      <c r="AB262" s="50"/>
    </row>
    <row r="263" spans="1:28" x14ac:dyDescent="0.2">
      <c r="A263" s="50"/>
      <c r="B263" s="50"/>
      <c r="C263" s="50"/>
      <c r="D263" s="50"/>
      <c r="E263" s="50"/>
      <c r="F263" s="50"/>
      <c r="G263" s="50"/>
      <c r="H263" s="50"/>
      <c r="I263" s="50"/>
      <c r="J263" s="50"/>
      <c r="K263" s="50"/>
      <c r="L263" s="136">
        <f t="shared" si="16"/>
        <v>0</v>
      </c>
      <c r="M263" s="136">
        <f t="shared" si="17"/>
        <v>0</v>
      </c>
      <c r="N263" s="54"/>
      <c r="O263" s="138">
        <f t="shared" si="18"/>
        <v>0</v>
      </c>
      <c r="P263" s="54"/>
      <c r="Q263" s="54"/>
      <c r="R263" s="138">
        <f t="shared" si="19"/>
        <v>0</v>
      </c>
      <c r="S263" s="50"/>
      <c r="T263" s="50"/>
      <c r="U263" s="50"/>
      <c r="V263" s="50"/>
      <c r="W263" s="50"/>
      <c r="X263" s="50"/>
      <c r="Y263" s="50"/>
      <c r="Z263" s="50"/>
      <c r="AA263" s="50"/>
      <c r="AB263" s="50"/>
    </row>
    <row r="264" spans="1:28" x14ac:dyDescent="0.2">
      <c r="A264" s="50"/>
      <c r="B264" s="50"/>
      <c r="C264" s="50"/>
      <c r="D264" s="50"/>
      <c r="E264" s="50"/>
      <c r="F264" s="50"/>
      <c r="G264" s="50"/>
      <c r="H264" s="50"/>
      <c r="I264" s="50"/>
      <c r="J264" s="50"/>
      <c r="K264" s="50"/>
      <c r="L264" s="136">
        <f t="shared" si="16"/>
        <v>0</v>
      </c>
      <c r="M264" s="136">
        <f t="shared" si="17"/>
        <v>0</v>
      </c>
      <c r="N264" s="54"/>
      <c r="O264" s="138">
        <f t="shared" si="18"/>
        <v>0</v>
      </c>
      <c r="P264" s="54"/>
      <c r="Q264" s="54"/>
      <c r="R264" s="138">
        <f t="shared" si="19"/>
        <v>0</v>
      </c>
      <c r="S264" s="50"/>
      <c r="T264" s="50"/>
      <c r="U264" s="50"/>
      <c r="V264" s="50"/>
      <c r="W264" s="50"/>
      <c r="X264" s="50"/>
      <c r="Y264" s="50"/>
      <c r="Z264" s="50"/>
      <c r="AA264" s="50"/>
      <c r="AB264" s="50"/>
    </row>
    <row r="265" spans="1:28" x14ac:dyDescent="0.2">
      <c r="A265" s="50"/>
      <c r="B265" s="50"/>
      <c r="C265" s="50"/>
      <c r="D265" s="50"/>
      <c r="E265" s="50"/>
      <c r="F265" s="50"/>
      <c r="G265" s="50"/>
      <c r="H265" s="50"/>
      <c r="I265" s="50"/>
      <c r="J265" s="50"/>
      <c r="K265" s="50"/>
      <c r="L265" s="136">
        <f t="shared" si="16"/>
        <v>0</v>
      </c>
      <c r="M265" s="136">
        <f t="shared" si="17"/>
        <v>0</v>
      </c>
      <c r="N265" s="54"/>
      <c r="O265" s="138">
        <f t="shared" si="18"/>
        <v>0</v>
      </c>
      <c r="P265" s="54"/>
      <c r="Q265" s="54"/>
      <c r="R265" s="138">
        <f t="shared" si="19"/>
        <v>0</v>
      </c>
      <c r="S265" s="50"/>
      <c r="T265" s="50"/>
      <c r="U265" s="50"/>
      <c r="V265" s="50"/>
      <c r="W265" s="50"/>
      <c r="X265" s="50"/>
      <c r="Y265" s="50"/>
      <c r="Z265" s="50"/>
      <c r="AA265" s="50"/>
      <c r="AB265" s="50"/>
    </row>
    <row r="266" spans="1:28" x14ac:dyDescent="0.2">
      <c r="A266" s="50"/>
      <c r="B266" s="50"/>
      <c r="C266" s="50"/>
      <c r="D266" s="50"/>
      <c r="E266" s="50"/>
      <c r="F266" s="50"/>
      <c r="G266" s="50"/>
      <c r="H266" s="50"/>
      <c r="I266" s="50"/>
      <c r="J266" s="50"/>
      <c r="K266" s="50"/>
      <c r="L266" s="136">
        <f t="shared" si="16"/>
        <v>0</v>
      </c>
      <c r="M266" s="136">
        <f t="shared" si="17"/>
        <v>0</v>
      </c>
      <c r="N266" s="54"/>
      <c r="O266" s="138">
        <f t="shared" si="18"/>
        <v>0</v>
      </c>
      <c r="P266" s="54"/>
      <c r="Q266" s="54"/>
      <c r="R266" s="138">
        <f t="shared" si="19"/>
        <v>0</v>
      </c>
      <c r="S266" s="50"/>
      <c r="T266" s="50"/>
      <c r="U266" s="50"/>
      <c r="V266" s="50"/>
      <c r="W266" s="50"/>
      <c r="X266" s="50"/>
      <c r="Y266" s="50"/>
      <c r="Z266" s="50"/>
      <c r="AA266" s="50"/>
      <c r="AB266" s="50"/>
    </row>
    <row r="267" spans="1:28" x14ac:dyDescent="0.2">
      <c r="A267" s="50"/>
      <c r="B267" s="50"/>
      <c r="C267" s="50"/>
      <c r="D267" s="50"/>
      <c r="E267" s="50"/>
      <c r="F267" s="50"/>
      <c r="G267" s="50"/>
      <c r="H267" s="50"/>
      <c r="I267" s="50"/>
      <c r="J267" s="50"/>
      <c r="K267" s="50"/>
      <c r="L267" s="136">
        <f t="shared" si="16"/>
        <v>0</v>
      </c>
      <c r="M267" s="136">
        <f t="shared" si="17"/>
        <v>0</v>
      </c>
      <c r="N267" s="54"/>
      <c r="O267" s="138">
        <f t="shared" si="18"/>
        <v>0</v>
      </c>
      <c r="P267" s="54"/>
      <c r="Q267" s="54"/>
      <c r="R267" s="138">
        <f t="shared" si="19"/>
        <v>0</v>
      </c>
      <c r="S267" s="50"/>
      <c r="T267" s="50"/>
      <c r="U267" s="50"/>
      <c r="V267" s="50"/>
      <c r="W267" s="50"/>
      <c r="X267" s="50"/>
      <c r="Y267" s="50"/>
      <c r="Z267" s="50"/>
      <c r="AA267" s="50"/>
      <c r="AB267" s="50"/>
    </row>
    <row r="268" spans="1:28" x14ac:dyDescent="0.2">
      <c r="A268" s="50"/>
      <c r="B268" s="50"/>
      <c r="C268" s="50"/>
      <c r="D268" s="50"/>
      <c r="E268" s="50"/>
      <c r="F268" s="50"/>
      <c r="G268" s="50"/>
      <c r="H268" s="50"/>
      <c r="I268" s="50"/>
      <c r="J268" s="50"/>
      <c r="K268" s="50"/>
      <c r="L268" s="136">
        <f t="shared" si="16"/>
        <v>0</v>
      </c>
      <c r="M268" s="136">
        <f t="shared" si="17"/>
        <v>0</v>
      </c>
      <c r="N268" s="54"/>
      <c r="O268" s="138">
        <f t="shared" si="18"/>
        <v>0</v>
      </c>
      <c r="P268" s="54"/>
      <c r="Q268" s="54"/>
      <c r="R268" s="138">
        <f t="shared" si="19"/>
        <v>0</v>
      </c>
      <c r="S268" s="50"/>
      <c r="T268" s="50"/>
      <c r="U268" s="50"/>
      <c r="V268" s="50"/>
      <c r="W268" s="50"/>
      <c r="X268" s="50"/>
      <c r="Y268" s="50"/>
      <c r="Z268" s="50"/>
      <c r="AA268" s="50"/>
      <c r="AB268" s="50"/>
    </row>
    <row r="269" spans="1:28" x14ac:dyDescent="0.2">
      <c r="A269" s="50"/>
      <c r="B269" s="50"/>
      <c r="C269" s="50"/>
      <c r="D269" s="50"/>
      <c r="E269" s="50"/>
      <c r="F269" s="50"/>
      <c r="G269" s="50"/>
      <c r="H269" s="50"/>
      <c r="I269" s="50"/>
      <c r="J269" s="50"/>
      <c r="K269" s="50"/>
      <c r="L269" s="136">
        <f t="shared" si="16"/>
        <v>0</v>
      </c>
      <c r="M269" s="136">
        <f t="shared" si="17"/>
        <v>0</v>
      </c>
      <c r="N269" s="54"/>
      <c r="O269" s="138">
        <f t="shared" si="18"/>
        <v>0</v>
      </c>
      <c r="P269" s="54"/>
      <c r="Q269" s="54"/>
      <c r="R269" s="138">
        <f t="shared" si="19"/>
        <v>0</v>
      </c>
      <c r="S269" s="50"/>
      <c r="T269" s="50"/>
      <c r="U269" s="50"/>
      <c r="V269" s="50"/>
      <c r="W269" s="50"/>
      <c r="X269" s="50"/>
      <c r="Y269" s="50"/>
      <c r="Z269" s="50"/>
      <c r="AA269" s="50"/>
      <c r="AB269" s="50"/>
    </row>
    <row r="270" spans="1:28" x14ac:dyDescent="0.2">
      <c r="A270" s="50"/>
      <c r="B270" s="50"/>
      <c r="C270" s="50"/>
      <c r="D270" s="50"/>
      <c r="E270" s="50"/>
      <c r="F270" s="50"/>
      <c r="G270" s="50"/>
      <c r="H270" s="50"/>
      <c r="I270" s="50"/>
      <c r="J270" s="50"/>
      <c r="K270" s="50"/>
      <c r="L270" s="136">
        <f t="shared" si="16"/>
        <v>0</v>
      </c>
      <c r="M270" s="136">
        <f t="shared" si="17"/>
        <v>0</v>
      </c>
      <c r="N270" s="54"/>
      <c r="O270" s="138">
        <f t="shared" si="18"/>
        <v>0</v>
      </c>
      <c r="P270" s="54"/>
      <c r="Q270" s="54"/>
      <c r="R270" s="138">
        <f t="shared" si="19"/>
        <v>0</v>
      </c>
      <c r="S270" s="50"/>
      <c r="T270" s="50"/>
      <c r="U270" s="50"/>
      <c r="V270" s="50"/>
      <c r="W270" s="50"/>
      <c r="X270" s="50"/>
      <c r="Y270" s="50"/>
      <c r="Z270" s="50"/>
      <c r="AA270" s="50"/>
      <c r="AB270" s="50"/>
    </row>
    <row r="271" spans="1:28" x14ac:dyDescent="0.2">
      <c r="A271" s="50"/>
      <c r="B271" s="50"/>
      <c r="C271" s="50"/>
      <c r="D271" s="50"/>
      <c r="E271" s="50"/>
      <c r="F271" s="50"/>
      <c r="G271" s="50"/>
      <c r="H271" s="50"/>
      <c r="I271" s="50"/>
      <c r="J271" s="50"/>
      <c r="K271" s="50"/>
      <c r="L271" s="136">
        <f t="shared" si="16"/>
        <v>0</v>
      </c>
      <c r="M271" s="136">
        <f t="shared" si="17"/>
        <v>0</v>
      </c>
      <c r="N271" s="54"/>
      <c r="O271" s="138">
        <f t="shared" si="18"/>
        <v>0</v>
      </c>
      <c r="P271" s="54"/>
      <c r="Q271" s="54"/>
      <c r="R271" s="138">
        <f t="shared" si="19"/>
        <v>0</v>
      </c>
      <c r="S271" s="50"/>
      <c r="T271" s="50"/>
      <c r="U271" s="50"/>
      <c r="V271" s="50"/>
      <c r="W271" s="50"/>
      <c r="X271" s="50"/>
      <c r="Y271" s="50"/>
      <c r="Z271" s="50"/>
      <c r="AA271" s="50"/>
      <c r="AB271" s="50"/>
    </row>
    <row r="272" spans="1:28" x14ac:dyDescent="0.2">
      <c r="A272" s="50"/>
      <c r="B272" s="50"/>
      <c r="C272" s="50"/>
      <c r="D272" s="50"/>
      <c r="E272" s="50"/>
      <c r="F272" s="50"/>
      <c r="G272" s="50"/>
      <c r="H272" s="50"/>
      <c r="I272" s="50"/>
      <c r="J272" s="50"/>
      <c r="K272" s="50"/>
      <c r="L272" s="136">
        <f t="shared" si="16"/>
        <v>0</v>
      </c>
      <c r="M272" s="136">
        <f t="shared" si="17"/>
        <v>0</v>
      </c>
      <c r="N272" s="54"/>
      <c r="O272" s="138">
        <f t="shared" si="18"/>
        <v>0</v>
      </c>
      <c r="P272" s="54"/>
      <c r="Q272" s="54"/>
      <c r="R272" s="138">
        <f t="shared" si="19"/>
        <v>0</v>
      </c>
      <c r="S272" s="50"/>
      <c r="T272" s="50"/>
      <c r="U272" s="50"/>
      <c r="V272" s="50"/>
      <c r="W272" s="50"/>
      <c r="X272" s="50"/>
      <c r="Y272" s="50"/>
      <c r="Z272" s="50"/>
      <c r="AA272" s="50"/>
      <c r="AB272" s="50"/>
    </row>
    <row r="273" spans="1:28" x14ac:dyDescent="0.2">
      <c r="A273" s="50"/>
      <c r="B273" s="50"/>
      <c r="C273" s="50"/>
      <c r="D273" s="50"/>
      <c r="E273" s="50"/>
      <c r="F273" s="50"/>
      <c r="G273" s="50"/>
      <c r="H273" s="50"/>
      <c r="I273" s="50"/>
      <c r="J273" s="50"/>
      <c r="K273" s="50"/>
      <c r="L273" s="136">
        <f t="shared" si="16"/>
        <v>0</v>
      </c>
      <c r="M273" s="136">
        <f t="shared" si="17"/>
        <v>0</v>
      </c>
      <c r="N273" s="54"/>
      <c r="O273" s="138">
        <f t="shared" si="18"/>
        <v>0</v>
      </c>
      <c r="P273" s="54"/>
      <c r="Q273" s="54"/>
      <c r="R273" s="138">
        <f t="shared" si="19"/>
        <v>0</v>
      </c>
      <c r="S273" s="50"/>
      <c r="T273" s="50"/>
      <c r="U273" s="50"/>
      <c r="V273" s="50"/>
      <c r="W273" s="50"/>
      <c r="X273" s="50"/>
      <c r="Y273" s="50"/>
      <c r="Z273" s="50"/>
      <c r="AA273" s="50"/>
      <c r="AB273" s="50"/>
    </row>
    <row r="274" spans="1:28" x14ac:dyDescent="0.2">
      <c r="A274" s="50"/>
      <c r="B274" s="50"/>
      <c r="C274" s="50"/>
      <c r="D274" s="50"/>
      <c r="E274" s="50"/>
      <c r="F274" s="50"/>
      <c r="G274" s="50"/>
      <c r="H274" s="50"/>
      <c r="I274" s="50"/>
      <c r="J274" s="50"/>
      <c r="K274" s="50"/>
      <c r="L274" s="136">
        <f t="shared" si="16"/>
        <v>0</v>
      </c>
      <c r="M274" s="136">
        <f t="shared" si="17"/>
        <v>0</v>
      </c>
      <c r="N274" s="54"/>
      <c r="O274" s="138">
        <f t="shared" si="18"/>
        <v>0</v>
      </c>
      <c r="P274" s="54"/>
      <c r="Q274" s="54"/>
      <c r="R274" s="138">
        <f t="shared" si="19"/>
        <v>0</v>
      </c>
      <c r="S274" s="50"/>
      <c r="T274" s="50"/>
      <c r="U274" s="50"/>
      <c r="V274" s="50"/>
      <c r="W274" s="50"/>
      <c r="X274" s="50"/>
      <c r="Y274" s="50"/>
      <c r="Z274" s="50"/>
      <c r="AA274" s="50"/>
      <c r="AB274" s="50"/>
    </row>
    <row r="275" spans="1:28" x14ac:dyDescent="0.2">
      <c r="A275" s="50"/>
      <c r="B275" s="50"/>
      <c r="C275" s="50"/>
      <c r="D275" s="50"/>
      <c r="E275" s="50"/>
      <c r="F275" s="50"/>
      <c r="G275" s="50"/>
      <c r="H275" s="50"/>
      <c r="I275" s="50"/>
      <c r="J275" s="50"/>
      <c r="K275" s="50"/>
      <c r="L275" s="136">
        <f t="shared" si="16"/>
        <v>0</v>
      </c>
      <c r="M275" s="136">
        <f t="shared" si="17"/>
        <v>0</v>
      </c>
      <c r="N275" s="54"/>
      <c r="O275" s="138">
        <f t="shared" si="18"/>
        <v>0</v>
      </c>
      <c r="P275" s="54"/>
      <c r="Q275" s="54"/>
      <c r="R275" s="138">
        <f t="shared" si="19"/>
        <v>0</v>
      </c>
      <c r="S275" s="50"/>
      <c r="T275" s="50"/>
      <c r="U275" s="50"/>
      <c r="V275" s="50"/>
      <c r="W275" s="50"/>
      <c r="X275" s="50"/>
      <c r="Y275" s="50"/>
      <c r="Z275" s="50"/>
      <c r="AA275" s="50"/>
      <c r="AB275" s="50"/>
    </row>
    <row r="276" spans="1:28" x14ac:dyDescent="0.2">
      <c r="A276" s="50"/>
      <c r="B276" s="50"/>
      <c r="C276" s="50"/>
      <c r="D276" s="50"/>
      <c r="E276" s="50"/>
      <c r="F276" s="50"/>
      <c r="G276" s="50"/>
      <c r="H276" s="50"/>
      <c r="I276" s="50"/>
      <c r="J276" s="50"/>
      <c r="K276" s="50"/>
      <c r="L276" s="136">
        <f t="shared" si="16"/>
        <v>0</v>
      </c>
      <c r="M276" s="136">
        <f t="shared" si="17"/>
        <v>0</v>
      </c>
      <c r="N276" s="54"/>
      <c r="O276" s="138">
        <f t="shared" si="18"/>
        <v>0</v>
      </c>
      <c r="P276" s="54"/>
      <c r="Q276" s="54"/>
      <c r="R276" s="138">
        <f t="shared" si="19"/>
        <v>0</v>
      </c>
      <c r="S276" s="50"/>
      <c r="T276" s="50"/>
      <c r="U276" s="50"/>
      <c r="V276" s="50"/>
      <c r="W276" s="50"/>
      <c r="X276" s="50"/>
      <c r="Y276" s="50"/>
      <c r="Z276" s="50"/>
      <c r="AA276" s="50"/>
      <c r="AB276" s="50"/>
    </row>
    <row r="277" spans="1:28" x14ac:dyDescent="0.2">
      <c r="A277" s="50"/>
      <c r="B277" s="50"/>
      <c r="C277" s="50"/>
      <c r="D277" s="50"/>
      <c r="E277" s="50"/>
      <c r="F277" s="50"/>
      <c r="G277" s="50"/>
      <c r="H277" s="50"/>
      <c r="I277" s="50"/>
      <c r="J277" s="50"/>
      <c r="K277" s="50"/>
      <c r="L277" s="136">
        <f t="shared" si="16"/>
        <v>0</v>
      </c>
      <c r="M277" s="136">
        <f t="shared" si="17"/>
        <v>0</v>
      </c>
      <c r="N277" s="54"/>
      <c r="O277" s="138">
        <f t="shared" si="18"/>
        <v>0</v>
      </c>
      <c r="P277" s="54"/>
      <c r="Q277" s="54"/>
      <c r="R277" s="138">
        <f t="shared" si="19"/>
        <v>0</v>
      </c>
      <c r="S277" s="50"/>
      <c r="T277" s="50"/>
      <c r="U277" s="50"/>
      <c r="V277" s="50"/>
      <c r="W277" s="50"/>
      <c r="X277" s="50"/>
      <c r="Y277" s="50"/>
      <c r="Z277" s="50"/>
      <c r="AA277" s="50"/>
      <c r="AB277" s="50"/>
    </row>
    <row r="278" spans="1:28" x14ac:dyDescent="0.2">
      <c r="A278" s="50"/>
      <c r="B278" s="50"/>
      <c r="C278" s="50"/>
      <c r="D278" s="50"/>
      <c r="E278" s="50"/>
      <c r="F278" s="50"/>
      <c r="G278" s="50"/>
      <c r="H278" s="50"/>
      <c r="I278" s="50"/>
      <c r="J278" s="50"/>
      <c r="K278" s="50"/>
      <c r="L278" s="136">
        <f t="shared" si="16"/>
        <v>0</v>
      </c>
      <c r="M278" s="136">
        <f t="shared" si="17"/>
        <v>0</v>
      </c>
      <c r="N278" s="54"/>
      <c r="O278" s="138">
        <f t="shared" si="18"/>
        <v>0</v>
      </c>
      <c r="P278" s="54"/>
      <c r="Q278" s="54"/>
      <c r="R278" s="138">
        <f t="shared" si="19"/>
        <v>0</v>
      </c>
      <c r="S278" s="50"/>
      <c r="T278" s="50"/>
      <c r="U278" s="50"/>
      <c r="V278" s="50"/>
      <c r="W278" s="50"/>
      <c r="X278" s="50"/>
      <c r="Y278" s="50"/>
      <c r="Z278" s="50"/>
      <c r="AA278" s="50"/>
      <c r="AB278" s="50"/>
    </row>
    <row r="279" spans="1:28" x14ac:dyDescent="0.2">
      <c r="A279" s="50"/>
      <c r="B279" s="50"/>
      <c r="C279" s="50"/>
      <c r="D279" s="50"/>
      <c r="E279" s="50"/>
      <c r="F279" s="50"/>
      <c r="G279" s="50"/>
      <c r="H279" s="50"/>
      <c r="I279" s="50"/>
      <c r="J279" s="50"/>
      <c r="K279" s="50"/>
      <c r="L279" s="136">
        <f t="shared" si="16"/>
        <v>0</v>
      </c>
      <c r="M279" s="136">
        <f t="shared" si="17"/>
        <v>0</v>
      </c>
      <c r="N279" s="54"/>
      <c r="O279" s="138">
        <f t="shared" si="18"/>
        <v>0</v>
      </c>
      <c r="P279" s="54"/>
      <c r="Q279" s="54"/>
      <c r="R279" s="138">
        <f t="shared" si="19"/>
        <v>0</v>
      </c>
      <c r="S279" s="50"/>
      <c r="T279" s="50"/>
      <c r="U279" s="50"/>
      <c r="V279" s="50"/>
      <c r="W279" s="50"/>
      <c r="X279" s="50"/>
      <c r="Y279" s="50"/>
      <c r="Z279" s="50"/>
      <c r="AA279" s="50"/>
      <c r="AB279" s="50"/>
    </row>
    <row r="280" spans="1:28" x14ac:dyDescent="0.2">
      <c r="A280" s="50"/>
      <c r="B280" s="50"/>
      <c r="C280" s="50"/>
      <c r="D280" s="50"/>
      <c r="E280" s="50"/>
      <c r="F280" s="50"/>
      <c r="G280" s="50"/>
      <c r="H280" s="50"/>
      <c r="I280" s="50"/>
      <c r="J280" s="50"/>
      <c r="K280" s="50"/>
      <c r="L280" s="136">
        <f t="shared" si="16"/>
        <v>0</v>
      </c>
      <c r="M280" s="136">
        <f t="shared" si="17"/>
        <v>0</v>
      </c>
      <c r="N280" s="54"/>
      <c r="O280" s="138">
        <f t="shared" si="18"/>
        <v>0</v>
      </c>
      <c r="P280" s="54"/>
      <c r="Q280" s="54"/>
      <c r="R280" s="138">
        <f t="shared" si="19"/>
        <v>0</v>
      </c>
      <c r="S280" s="50"/>
      <c r="T280" s="50"/>
      <c r="U280" s="50"/>
      <c r="V280" s="50"/>
      <c r="W280" s="50"/>
      <c r="X280" s="50"/>
      <c r="Y280" s="50"/>
      <c r="Z280" s="50"/>
      <c r="AA280" s="50"/>
      <c r="AB280" s="50"/>
    </row>
    <row r="281" spans="1:28" x14ac:dyDescent="0.2">
      <c r="A281" s="50"/>
      <c r="B281" s="50"/>
      <c r="C281" s="50"/>
      <c r="D281" s="50"/>
      <c r="E281" s="50"/>
      <c r="F281" s="50"/>
      <c r="G281" s="50"/>
      <c r="H281" s="50"/>
      <c r="I281" s="50"/>
      <c r="J281" s="50"/>
      <c r="K281" s="50"/>
      <c r="L281" s="136">
        <f t="shared" si="16"/>
        <v>0</v>
      </c>
      <c r="M281" s="136">
        <f t="shared" si="17"/>
        <v>0</v>
      </c>
      <c r="N281" s="54"/>
      <c r="O281" s="138">
        <f t="shared" si="18"/>
        <v>0</v>
      </c>
      <c r="P281" s="54"/>
      <c r="Q281" s="54"/>
      <c r="R281" s="138">
        <f t="shared" si="19"/>
        <v>0</v>
      </c>
      <c r="S281" s="50"/>
      <c r="T281" s="50"/>
      <c r="U281" s="50"/>
      <c r="V281" s="50"/>
      <c r="W281" s="50"/>
      <c r="X281" s="50"/>
      <c r="Y281" s="50"/>
      <c r="Z281" s="50"/>
      <c r="AA281" s="50"/>
      <c r="AB281" s="50"/>
    </row>
    <row r="282" spans="1:28" x14ac:dyDescent="0.2">
      <c r="A282" s="50"/>
      <c r="B282" s="50"/>
      <c r="C282" s="50"/>
      <c r="D282" s="50"/>
      <c r="E282" s="50"/>
      <c r="F282" s="50"/>
      <c r="G282" s="50"/>
      <c r="H282" s="50"/>
      <c r="I282" s="50"/>
      <c r="J282" s="50"/>
      <c r="K282" s="50"/>
      <c r="L282" s="136">
        <f t="shared" si="16"/>
        <v>0</v>
      </c>
      <c r="M282" s="136">
        <f t="shared" si="17"/>
        <v>0</v>
      </c>
      <c r="N282" s="54"/>
      <c r="O282" s="138">
        <f t="shared" si="18"/>
        <v>0</v>
      </c>
      <c r="P282" s="54"/>
      <c r="Q282" s="54"/>
      <c r="R282" s="138">
        <f t="shared" si="19"/>
        <v>0</v>
      </c>
      <c r="S282" s="50"/>
      <c r="T282" s="50"/>
      <c r="U282" s="50"/>
      <c r="V282" s="50"/>
      <c r="W282" s="50"/>
      <c r="X282" s="50"/>
      <c r="Y282" s="50"/>
      <c r="Z282" s="50"/>
      <c r="AA282" s="50"/>
      <c r="AB282" s="50"/>
    </row>
    <row r="283" spans="1:28" x14ac:dyDescent="0.2">
      <c r="A283" s="50"/>
      <c r="B283" s="50"/>
      <c r="C283" s="50"/>
      <c r="D283" s="50"/>
      <c r="E283" s="50"/>
      <c r="F283" s="50"/>
      <c r="G283" s="50"/>
      <c r="H283" s="50"/>
      <c r="I283" s="50"/>
      <c r="J283" s="50"/>
      <c r="K283" s="50"/>
      <c r="L283" s="136">
        <f t="shared" si="16"/>
        <v>0</v>
      </c>
      <c r="M283" s="136">
        <f t="shared" si="17"/>
        <v>0</v>
      </c>
      <c r="N283" s="54"/>
      <c r="O283" s="138">
        <f t="shared" si="18"/>
        <v>0</v>
      </c>
      <c r="P283" s="54"/>
      <c r="Q283" s="54"/>
      <c r="R283" s="138">
        <f t="shared" si="19"/>
        <v>0</v>
      </c>
      <c r="S283" s="50"/>
      <c r="T283" s="50"/>
      <c r="U283" s="50"/>
      <c r="V283" s="50"/>
      <c r="W283" s="50"/>
      <c r="X283" s="50"/>
      <c r="Y283" s="50"/>
      <c r="Z283" s="50"/>
      <c r="AA283" s="50"/>
      <c r="AB283" s="50"/>
    </row>
    <row r="284" spans="1:28" x14ac:dyDescent="0.2">
      <c r="A284" s="50"/>
      <c r="B284" s="50"/>
      <c r="C284" s="50"/>
      <c r="D284" s="50"/>
      <c r="E284" s="50"/>
      <c r="F284" s="50"/>
      <c r="G284" s="50"/>
      <c r="H284" s="50"/>
      <c r="I284" s="50"/>
      <c r="J284" s="50"/>
      <c r="K284" s="50"/>
      <c r="L284" s="136">
        <f t="shared" si="16"/>
        <v>0</v>
      </c>
      <c r="M284" s="136">
        <f t="shared" si="17"/>
        <v>0</v>
      </c>
      <c r="N284" s="54"/>
      <c r="O284" s="138">
        <f t="shared" si="18"/>
        <v>0</v>
      </c>
      <c r="P284" s="54"/>
      <c r="Q284" s="54"/>
      <c r="R284" s="138">
        <f t="shared" si="19"/>
        <v>0</v>
      </c>
      <c r="S284" s="50"/>
      <c r="T284" s="50"/>
      <c r="U284" s="50"/>
      <c r="V284" s="50"/>
      <c r="W284" s="50"/>
      <c r="X284" s="50"/>
      <c r="Y284" s="50"/>
      <c r="Z284" s="50"/>
      <c r="AA284" s="50"/>
      <c r="AB284" s="50"/>
    </row>
    <row r="285" spans="1:28" x14ac:dyDescent="0.2">
      <c r="A285" s="50"/>
      <c r="B285" s="50"/>
      <c r="C285" s="50"/>
      <c r="D285" s="50"/>
      <c r="E285" s="50"/>
      <c r="F285" s="50"/>
      <c r="G285" s="50"/>
      <c r="H285" s="50"/>
      <c r="I285" s="50"/>
      <c r="J285" s="50"/>
      <c r="K285" s="50"/>
      <c r="L285" s="136">
        <f t="shared" si="16"/>
        <v>0</v>
      </c>
      <c r="M285" s="136">
        <f t="shared" si="17"/>
        <v>0</v>
      </c>
      <c r="N285" s="54"/>
      <c r="O285" s="138">
        <f t="shared" si="18"/>
        <v>0</v>
      </c>
      <c r="P285" s="54"/>
      <c r="Q285" s="54"/>
      <c r="R285" s="138">
        <f t="shared" si="19"/>
        <v>0</v>
      </c>
      <c r="S285" s="50"/>
      <c r="T285" s="50"/>
      <c r="U285" s="50"/>
      <c r="V285" s="50"/>
      <c r="W285" s="50"/>
      <c r="X285" s="50"/>
      <c r="Y285" s="50"/>
      <c r="Z285" s="50"/>
      <c r="AA285" s="50"/>
      <c r="AB285" s="50"/>
    </row>
    <row r="286" spans="1:28" x14ac:dyDescent="0.2">
      <c r="A286" s="50"/>
      <c r="B286" s="50"/>
      <c r="C286" s="50"/>
      <c r="D286" s="50"/>
      <c r="E286" s="50"/>
      <c r="F286" s="50"/>
      <c r="G286" s="50"/>
      <c r="H286" s="50"/>
      <c r="I286" s="50"/>
      <c r="J286" s="50"/>
      <c r="K286" s="50"/>
      <c r="L286" s="136">
        <f t="shared" si="16"/>
        <v>0</v>
      </c>
      <c r="M286" s="136">
        <f t="shared" si="17"/>
        <v>0</v>
      </c>
      <c r="N286" s="54"/>
      <c r="O286" s="138">
        <f t="shared" si="18"/>
        <v>0</v>
      </c>
      <c r="P286" s="54"/>
      <c r="Q286" s="54"/>
      <c r="R286" s="138">
        <f t="shared" si="19"/>
        <v>0</v>
      </c>
      <c r="S286" s="50"/>
      <c r="T286" s="50"/>
      <c r="U286" s="50"/>
      <c r="V286" s="50"/>
      <c r="W286" s="50"/>
      <c r="X286" s="50"/>
      <c r="Y286" s="50"/>
      <c r="Z286" s="50"/>
      <c r="AA286" s="50"/>
      <c r="AB286" s="50"/>
    </row>
    <row r="287" spans="1:28" x14ac:dyDescent="0.2">
      <c r="A287" s="50"/>
      <c r="B287" s="50"/>
      <c r="C287" s="50"/>
      <c r="D287" s="50"/>
      <c r="E287" s="50"/>
      <c r="F287" s="50"/>
      <c r="G287" s="50"/>
      <c r="H287" s="50"/>
      <c r="I287" s="50"/>
      <c r="J287" s="50"/>
      <c r="K287" s="50"/>
      <c r="L287" s="136">
        <f t="shared" si="16"/>
        <v>0</v>
      </c>
      <c r="M287" s="136">
        <f t="shared" si="17"/>
        <v>0</v>
      </c>
      <c r="N287" s="54"/>
      <c r="O287" s="138">
        <f t="shared" si="18"/>
        <v>0</v>
      </c>
      <c r="P287" s="54"/>
      <c r="Q287" s="54"/>
      <c r="R287" s="138">
        <f t="shared" si="19"/>
        <v>0</v>
      </c>
      <c r="S287" s="50"/>
      <c r="T287" s="50"/>
      <c r="U287" s="50"/>
      <c r="V287" s="50"/>
      <c r="W287" s="50"/>
      <c r="X287" s="50"/>
      <c r="Y287" s="50"/>
      <c r="Z287" s="50"/>
      <c r="AA287" s="50"/>
      <c r="AB287" s="50"/>
    </row>
    <row r="288" spans="1:28" x14ac:dyDescent="0.2">
      <c r="A288" s="50"/>
      <c r="B288" s="50"/>
      <c r="C288" s="50"/>
      <c r="D288" s="50"/>
      <c r="E288" s="50"/>
      <c r="F288" s="50"/>
      <c r="G288" s="50"/>
      <c r="H288" s="50"/>
      <c r="I288" s="50"/>
      <c r="J288" s="50"/>
      <c r="K288" s="50"/>
      <c r="L288" s="136">
        <f t="shared" si="16"/>
        <v>0</v>
      </c>
      <c r="M288" s="136">
        <f t="shared" si="17"/>
        <v>0</v>
      </c>
      <c r="N288" s="54"/>
      <c r="O288" s="138">
        <f t="shared" si="18"/>
        <v>0</v>
      </c>
      <c r="P288" s="54"/>
      <c r="Q288" s="54"/>
      <c r="R288" s="138">
        <f t="shared" si="19"/>
        <v>0</v>
      </c>
      <c r="S288" s="50"/>
      <c r="T288" s="50"/>
      <c r="U288" s="50"/>
      <c r="V288" s="50"/>
      <c r="W288" s="50"/>
      <c r="X288" s="50"/>
      <c r="Y288" s="50"/>
      <c r="Z288" s="50"/>
      <c r="AA288" s="50"/>
      <c r="AB288" s="50"/>
    </row>
    <row r="289" spans="1:28" x14ac:dyDescent="0.2">
      <c r="A289" s="50"/>
      <c r="B289" s="50"/>
      <c r="C289" s="50"/>
      <c r="D289" s="50"/>
      <c r="E289" s="50"/>
      <c r="F289" s="50"/>
      <c r="G289" s="50"/>
      <c r="H289" s="50"/>
      <c r="I289" s="50"/>
      <c r="J289" s="50"/>
      <c r="K289" s="50"/>
      <c r="L289" s="136">
        <f t="shared" si="16"/>
        <v>0</v>
      </c>
      <c r="M289" s="136">
        <f t="shared" si="17"/>
        <v>0</v>
      </c>
      <c r="N289" s="54"/>
      <c r="O289" s="138">
        <f t="shared" si="18"/>
        <v>0</v>
      </c>
      <c r="P289" s="54"/>
      <c r="Q289" s="54"/>
      <c r="R289" s="138">
        <f t="shared" si="19"/>
        <v>0</v>
      </c>
      <c r="S289" s="50"/>
      <c r="T289" s="50"/>
      <c r="U289" s="50"/>
      <c r="V289" s="50"/>
      <c r="W289" s="50"/>
      <c r="X289" s="50"/>
      <c r="Y289" s="50"/>
      <c r="Z289" s="50"/>
      <c r="AA289" s="50"/>
      <c r="AB289" s="50"/>
    </row>
    <row r="290" spans="1:28" x14ac:dyDescent="0.2">
      <c r="A290" s="50"/>
      <c r="B290" s="50"/>
      <c r="C290" s="50"/>
      <c r="D290" s="50"/>
      <c r="E290" s="50"/>
      <c r="F290" s="50"/>
      <c r="G290" s="50"/>
      <c r="H290" s="50"/>
      <c r="I290" s="50"/>
      <c r="J290" s="50"/>
      <c r="K290" s="50"/>
      <c r="L290" s="136">
        <f t="shared" si="16"/>
        <v>0</v>
      </c>
      <c r="M290" s="136">
        <f t="shared" si="17"/>
        <v>0</v>
      </c>
      <c r="N290" s="54"/>
      <c r="O290" s="138">
        <f t="shared" si="18"/>
        <v>0</v>
      </c>
      <c r="P290" s="54"/>
      <c r="Q290" s="54"/>
      <c r="R290" s="138">
        <f t="shared" si="19"/>
        <v>0</v>
      </c>
      <c r="S290" s="50"/>
      <c r="T290" s="50"/>
      <c r="U290" s="50"/>
      <c r="V290" s="50"/>
      <c r="W290" s="50"/>
      <c r="X290" s="50"/>
      <c r="Y290" s="50"/>
      <c r="Z290" s="50"/>
      <c r="AA290" s="50"/>
      <c r="AB290" s="50"/>
    </row>
    <row r="291" spans="1:28" x14ac:dyDescent="0.2">
      <c r="A291" s="50"/>
      <c r="B291" s="50"/>
      <c r="C291" s="50"/>
      <c r="D291" s="50"/>
      <c r="E291" s="50"/>
      <c r="F291" s="50"/>
      <c r="G291" s="50"/>
      <c r="H291" s="50"/>
      <c r="I291" s="50"/>
      <c r="J291" s="50"/>
      <c r="K291" s="50"/>
      <c r="L291" s="136">
        <f t="shared" si="16"/>
        <v>0</v>
      </c>
      <c r="M291" s="136">
        <f t="shared" si="17"/>
        <v>0</v>
      </c>
      <c r="N291" s="54"/>
      <c r="O291" s="138">
        <f t="shared" si="18"/>
        <v>0</v>
      </c>
      <c r="P291" s="54"/>
      <c r="Q291" s="54"/>
      <c r="R291" s="138">
        <f t="shared" si="19"/>
        <v>0</v>
      </c>
      <c r="S291" s="50"/>
      <c r="T291" s="50"/>
      <c r="U291" s="50"/>
      <c r="V291" s="50"/>
      <c r="W291" s="50"/>
      <c r="X291" s="50"/>
      <c r="Y291" s="50"/>
      <c r="Z291" s="50"/>
      <c r="AA291" s="50"/>
      <c r="AB291" s="50"/>
    </row>
    <row r="292" spans="1:28" x14ac:dyDescent="0.2">
      <c r="A292" s="50"/>
      <c r="B292" s="50"/>
      <c r="C292" s="50"/>
      <c r="D292" s="50"/>
      <c r="E292" s="50"/>
      <c r="F292" s="50"/>
      <c r="G292" s="50"/>
      <c r="H292" s="50"/>
      <c r="I292" s="50"/>
      <c r="J292" s="50"/>
      <c r="K292" s="50"/>
      <c r="L292" s="136">
        <f t="shared" si="16"/>
        <v>0</v>
      </c>
      <c r="M292" s="136">
        <f t="shared" si="17"/>
        <v>0</v>
      </c>
      <c r="N292" s="54"/>
      <c r="O292" s="138">
        <f t="shared" si="18"/>
        <v>0</v>
      </c>
      <c r="P292" s="54"/>
      <c r="Q292" s="54"/>
      <c r="R292" s="138">
        <f t="shared" si="19"/>
        <v>0</v>
      </c>
      <c r="S292" s="50"/>
      <c r="T292" s="50"/>
      <c r="U292" s="50"/>
      <c r="V292" s="50"/>
      <c r="W292" s="50"/>
      <c r="X292" s="50"/>
      <c r="Y292" s="50"/>
      <c r="Z292" s="50"/>
      <c r="AA292" s="50"/>
      <c r="AB292" s="50"/>
    </row>
    <row r="293" spans="1:28" x14ac:dyDescent="0.2">
      <c r="A293" s="50"/>
      <c r="B293" s="50"/>
      <c r="C293" s="50"/>
      <c r="D293" s="50"/>
      <c r="E293" s="50"/>
      <c r="F293" s="50"/>
      <c r="G293" s="50"/>
      <c r="H293" s="50"/>
      <c r="I293" s="50"/>
      <c r="J293" s="50"/>
      <c r="K293" s="50"/>
      <c r="L293" s="136">
        <f t="shared" si="16"/>
        <v>0</v>
      </c>
      <c r="M293" s="136">
        <f t="shared" si="17"/>
        <v>0</v>
      </c>
      <c r="N293" s="54"/>
      <c r="O293" s="138">
        <f t="shared" si="18"/>
        <v>0</v>
      </c>
      <c r="P293" s="54"/>
      <c r="Q293" s="54"/>
      <c r="R293" s="138">
        <f t="shared" si="19"/>
        <v>0</v>
      </c>
      <c r="S293" s="50"/>
      <c r="T293" s="50"/>
      <c r="U293" s="50"/>
      <c r="V293" s="50"/>
      <c r="W293" s="50"/>
      <c r="X293" s="50"/>
      <c r="Y293" s="50"/>
      <c r="Z293" s="50"/>
      <c r="AA293" s="50"/>
      <c r="AB293" s="50"/>
    </row>
    <row r="294" spans="1:28" x14ac:dyDescent="0.2">
      <c r="A294" s="50"/>
      <c r="B294" s="50"/>
      <c r="C294" s="50"/>
      <c r="D294" s="50"/>
      <c r="E294" s="50"/>
      <c r="F294" s="50"/>
      <c r="G294" s="50"/>
      <c r="H294" s="50"/>
      <c r="I294" s="50"/>
      <c r="J294" s="50"/>
      <c r="K294" s="50"/>
      <c r="L294" s="136">
        <f t="shared" si="16"/>
        <v>0</v>
      </c>
      <c r="M294" s="136">
        <f t="shared" si="17"/>
        <v>0</v>
      </c>
      <c r="N294" s="54"/>
      <c r="O294" s="138">
        <f t="shared" si="18"/>
        <v>0</v>
      </c>
      <c r="P294" s="54"/>
      <c r="Q294" s="54"/>
      <c r="R294" s="138">
        <f t="shared" si="19"/>
        <v>0</v>
      </c>
      <c r="S294" s="50"/>
      <c r="T294" s="50"/>
      <c r="U294" s="50"/>
      <c r="V294" s="50"/>
      <c r="W294" s="50"/>
      <c r="X294" s="50"/>
      <c r="Y294" s="50"/>
      <c r="Z294" s="50"/>
      <c r="AA294" s="50"/>
      <c r="AB294" s="50"/>
    </row>
    <row r="295" spans="1:28" x14ac:dyDescent="0.2">
      <c r="A295" s="50"/>
      <c r="B295" s="50"/>
      <c r="C295" s="50"/>
      <c r="D295" s="50"/>
      <c r="E295" s="50"/>
      <c r="F295" s="50"/>
      <c r="G295" s="50"/>
      <c r="H295" s="50"/>
      <c r="I295" s="50"/>
      <c r="J295" s="50"/>
      <c r="K295" s="50"/>
      <c r="L295" s="136">
        <f t="shared" si="16"/>
        <v>0</v>
      </c>
      <c r="M295" s="136">
        <f t="shared" si="17"/>
        <v>0</v>
      </c>
      <c r="N295" s="54"/>
      <c r="O295" s="138">
        <f t="shared" si="18"/>
        <v>0</v>
      </c>
      <c r="P295" s="54"/>
      <c r="Q295" s="54"/>
      <c r="R295" s="138">
        <f t="shared" si="19"/>
        <v>0</v>
      </c>
      <c r="S295" s="50"/>
      <c r="T295" s="50"/>
      <c r="U295" s="50"/>
      <c r="V295" s="50"/>
      <c r="W295" s="50"/>
      <c r="X295" s="50"/>
      <c r="Y295" s="50"/>
      <c r="Z295" s="50"/>
      <c r="AA295" s="50"/>
      <c r="AB295" s="50"/>
    </row>
    <row r="296" spans="1:28" x14ac:dyDescent="0.2">
      <c r="A296" s="50"/>
      <c r="B296" s="50"/>
      <c r="C296" s="50"/>
      <c r="D296" s="50"/>
      <c r="E296" s="50"/>
      <c r="F296" s="50"/>
      <c r="G296" s="50"/>
      <c r="H296" s="50"/>
      <c r="I296" s="50"/>
      <c r="J296" s="50"/>
      <c r="K296" s="50"/>
      <c r="L296" s="136">
        <f t="shared" si="16"/>
        <v>0</v>
      </c>
      <c r="M296" s="136">
        <f t="shared" si="17"/>
        <v>0</v>
      </c>
      <c r="N296" s="54"/>
      <c r="O296" s="138">
        <f t="shared" si="18"/>
        <v>0</v>
      </c>
      <c r="P296" s="54"/>
      <c r="Q296" s="54"/>
      <c r="R296" s="138">
        <f t="shared" si="19"/>
        <v>0</v>
      </c>
      <c r="S296" s="50"/>
      <c r="T296" s="50"/>
      <c r="U296" s="50"/>
      <c r="V296" s="50"/>
      <c r="W296" s="50"/>
      <c r="X296" s="50"/>
      <c r="Y296" s="50"/>
      <c r="Z296" s="50"/>
      <c r="AA296" s="50"/>
      <c r="AB296" s="50"/>
    </row>
    <row r="297" spans="1:28" x14ac:dyDescent="0.2">
      <c r="A297" s="50"/>
      <c r="B297" s="50"/>
      <c r="C297" s="50"/>
      <c r="D297" s="50"/>
      <c r="E297" s="50"/>
      <c r="F297" s="50"/>
      <c r="G297" s="50"/>
      <c r="H297" s="50"/>
      <c r="I297" s="50"/>
      <c r="J297" s="50"/>
      <c r="K297" s="50"/>
      <c r="L297" s="136">
        <f t="shared" si="16"/>
        <v>0</v>
      </c>
      <c r="M297" s="136">
        <f t="shared" si="17"/>
        <v>0</v>
      </c>
      <c r="N297" s="54"/>
      <c r="O297" s="138">
        <f t="shared" si="18"/>
        <v>0</v>
      </c>
      <c r="P297" s="54"/>
      <c r="Q297" s="54"/>
      <c r="R297" s="138">
        <f t="shared" si="19"/>
        <v>0</v>
      </c>
      <c r="S297" s="50"/>
      <c r="T297" s="50"/>
      <c r="U297" s="50"/>
      <c r="V297" s="50"/>
      <c r="W297" s="50"/>
      <c r="X297" s="50"/>
      <c r="Y297" s="50"/>
      <c r="Z297" s="50"/>
      <c r="AA297" s="50"/>
      <c r="AB297" s="50"/>
    </row>
    <row r="298" spans="1:28" x14ac:dyDescent="0.2">
      <c r="A298" s="50"/>
      <c r="B298" s="50"/>
      <c r="C298" s="50"/>
      <c r="D298" s="50"/>
      <c r="E298" s="50"/>
      <c r="F298" s="50"/>
      <c r="G298" s="50"/>
      <c r="H298" s="50"/>
      <c r="I298" s="50"/>
      <c r="J298" s="50"/>
      <c r="K298" s="50"/>
      <c r="L298" s="136">
        <f t="shared" si="16"/>
        <v>0</v>
      </c>
      <c r="M298" s="136">
        <f t="shared" si="17"/>
        <v>0</v>
      </c>
      <c r="N298" s="54"/>
      <c r="O298" s="138">
        <f t="shared" si="18"/>
        <v>0</v>
      </c>
      <c r="P298" s="54"/>
      <c r="Q298" s="54"/>
      <c r="R298" s="138">
        <f t="shared" si="19"/>
        <v>0</v>
      </c>
      <c r="S298" s="50"/>
      <c r="T298" s="50"/>
      <c r="U298" s="50"/>
      <c r="V298" s="50"/>
      <c r="W298" s="50"/>
      <c r="X298" s="50"/>
      <c r="Y298" s="50"/>
      <c r="Z298" s="50"/>
      <c r="AA298" s="50"/>
      <c r="AB298" s="50"/>
    </row>
    <row r="299" spans="1:28" x14ac:dyDescent="0.2">
      <c r="A299" s="50"/>
      <c r="B299" s="50"/>
      <c r="C299" s="50"/>
      <c r="D299" s="50"/>
      <c r="E299" s="50"/>
      <c r="F299" s="50"/>
      <c r="G299" s="50"/>
      <c r="H299" s="50"/>
      <c r="I299" s="50"/>
      <c r="J299" s="50"/>
      <c r="K299" s="50"/>
      <c r="L299" s="136">
        <f t="shared" si="16"/>
        <v>0</v>
      </c>
      <c r="M299" s="136">
        <f t="shared" si="17"/>
        <v>0</v>
      </c>
      <c r="N299" s="54"/>
      <c r="O299" s="138">
        <f t="shared" si="18"/>
        <v>0</v>
      </c>
      <c r="P299" s="54"/>
      <c r="Q299" s="54"/>
      <c r="R299" s="138">
        <f t="shared" si="19"/>
        <v>0</v>
      </c>
      <c r="S299" s="50"/>
      <c r="T299" s="50"/>
      <c r="U299" s="50"/>
      <c r="V299" s="50"/>
      <c r="W299" s="50"/>
      <c r="X299" s="50"/>
      <c r="Y299" s="50"/>
      <c r="Z299" s="50"/>
      <c r="AA299" s="50"/>
      <c r="AB299" s="50"/>
    </row>
    <row r="300" spans="1:28" x14ac:dyDescent="0.2">
      <c r="A300" s="50"/>
      <c r="B300" s="50"/>
      <c r="C300" s="50"/>
      <c r="D300" s="50"/>
      <c r="E300" s="50"/>
      <c r="F300" s="50"/>
      <c r="G300" s="50"/>
      <c r="H300" s="50"/>
      <c r="I300" s="50"/>
      <c r="J300" s="50"/>
      <c r="K300" s="50"/>
      <c r="L300" s="136">
        <f t="shared" si="16"/>
        <v>0</v>
      </c>
      <c r="M300" s="136">
        <f t="shared" si="17"/>
        <v>0</v>
      </c>
      <c r="N300" s="54"/>
      <c r="O300" s="138">
        <f t="shared" si="18"/>
        <v>0</v>
      </c>
      <c r="P300" s="54"/>
      <c r="Q300" s="54"/>
      <c r="R300" s="138">
        <f t="shared" si="19"/>
        <v>0</v>
      </c>
      <c r="S300" s="50"/>
      <c r="T300" s="50"/>
      <c r="U300" s="50"/>
      <c r="V300" s="50"/>
      <c r="W300" s="50"/>
      <c r="X300" s="50"/>
      <c r="Y300" s="50"/>
      <c r="Z300" s="50"/>
      <c r="AA300" s="50"/>
      <c r="AB300" s="50"/>
    </row>
    <row r="301" spans="1:28" x14ac:dyDescent="0.2">
      <c r="A301" s="50"/>
      <c r="B301" s="50"/>
      <c r="C301" s="50"/>
      <c r="D301" s="50"/>
      <c r="E301" s="50"/>
      <c r="F301" s="50"/>
      <c r="G301" s="50"/>
      <c r="H301" s="50"/>
      <c r="I301" s="50"/>
      <c r="J301" s="50"/>
      <c r="K301" s="50"/>
      <c r="L301" s="136">
        <f t="shared" si="16"/>
        <v>0</v>
      </c>
      <c r="M301" s="136">
        <f t="shared" si="17"/>
        <v>0</v>
      </c>
      <c r="N301" s="54"/>
      <c r="O301" s="138">
        <f t="shared" si="18"/>
        <v>0</v>
      </c>
      <c r="P301" s="54"/>
      <c r="Q301" s="54"/>
      <c r="R301" s="138">
        <f t="shared" si="19"/>
        <v>0</v>
      </c>
      <c r="S301" s="50"/>
      <c r="T301" s="50"/>
      <c r="U301" s="50"/>
      <c r="V301" s="50"/>
      <c r="W301" s="50"/>
      <c r="X301" s="50"/>
      <c r="Y301" s="50"/>
      <c r="Z301" s="50"/>
      <c r="AA301" s="50"/>
      <c r="AB301" s="50"/>
    </row>
    <row r="302" spans="1:28" x14ac:dyDescent="0.2">
      <c r="A302" s="50"/>
      <c r="B302" s="50"/>
      <c r="C302" s="50"/>
      <c r="D302" s="50"/>
      <c r="E302" s="50"/>
      <c r="F302" s="50"/>
      <c r="G302" s="50"/>
      <c r="H302" s="50"/>
      <c r="I302" s="50"/>
      <c r="J302" s="50"/>
      <c r="K302" s="50"/>
      <c r="L302" s="136">
        <f t="shared" si="16"/>
        <v>0</v>
      </c>
      <c r="M302" s="136">
        <f t="shared" si="17"/>
        <v>0</v>
      </c>
      <c r="N302" s="54"/>
      <c r="O302" s="138">
        <f t="shared" si="18"/>
        <v>0</v>
      </c>
      <c r="P302" s="54"/>
      <c r="Q302" s="54"/>
      <c r="R302" s="138">
        <f t="shared" si="19"/>
        <v>0</v>
      </c>
      <c r="S302" s="50"/>
      <c r="T302" s="50"/>
      <c r="U302" s="50"/>
      <c r="V302" s="50"/>
      <c r="W302" s="50"/>
      <c r="X302" s="50"/>
      <c r="Y302" s="50"/>
      <c r="Z302" s="50"/>
      <c r="AA302" s="50"/>
      <c r="AB302" s="50"/>
    </row>
    <row r="303" spans="1:28" x14ac:dyDescent="0.2">
      <c r="A303" s="50"/>
      <c r="B303" s="50"/>
      <c r="C303" s="50"/>
      <c r="D303" s="50"/>
      <c r="E303" s="50"/>
      <c r="F303" s="50"/>
      <c r="G303" s="50"/>
      <c r="H303" s="50"/>
      <c r="I303" s="50"/>
      <c r="J303" s="50"/>
      <c r="K303" s="50"/>
      <c r="L303" s="136">
        <f t="shared" si="16"/>
        <v>0</v>
      </c>
      <c r="M303" s="136">
        <f t="shared" si="17"/>
        <v>0</v>
      </c>
      <c r="N303" s="54"/>
      <c r="O303" s="138">
        <f t="shared" si="18"/>
        <v>0</v>
      </c>
      <c r="P303" s="54"/>
      <c r="Q303" s="54"/>
      <c r="R303" s="138">
        <f t="shared" si="19"/>
        <v>0</v>
      </c>
      <c r="S303" s="50"/>
      <c r="T303" s="50"/>
      <c r="U303" s="50"/>
      <c r="V303" s="50"/>
      <c r="W303" s="50"/>
      <c r="X303" s="50"/>
      <c r="Y303" s="50"/>
      <c r="Z303" s="50"/>
      <c r="AA303" s="50"/>
      <c r="AB303" s="50"/>
    </row>
    <row r="304" spans="1:28" x14ac:dyDescent="0.2">
      <c r="A304" s="50"/>
      <c r="B304" s="50"/>
      <c r="C304" s="50"/>
      <c r="D304" s="50"/>
      <c r="E304" s="50"/>
      <c r="F304" s="50"/>
      <c r="G304" s="50"/>
      <c r="H304" s="50"/>
      <c r="I304" s="50"/>
      <c r="J304" s="50"/>
      <c r="K304" s="50"/>
      <c r="L304" s="136">
        <f t="shared" si="16"/>
        <v>0</v>
      </c>
      <c r="M304" s="136">
        <f t="shared" si="17"/>
        <v>0</v>
      </c>
      <c r="N304" s="54"/>
      <c r="O304" s="138">
        <f t="shared" si="18"/>
        <v>0</v>
      </c>
      <c r="P304" s="54"/>
      <c r="Q304" s="54"/>
      <c r="R304" s="138">
        <f t="shared" si="19"/>
        <v>0</v>
      </c>
      <c r="S304" s="50"/>
      <c r="T304" s="50"/>
      <c r="U304" s="50"/>
      <c r="V304" s="50"/>
      <c r="W304" s="50"/>
      <c r="X304" s="50"/>
      <c r="Y304" s="50"/>
      <c r="Z304" s="50"/>
      <c r="AA304" s="50"/>
      <c r="AB304" s="50"/>
    </row>
  </sheetData>
  <mergeCells count="2">
    <mergeCell ref="A2:AB2"/>
    <mergeCell ref="A1:AB1"/>
  </mergeCells>
  <dataValidations count="3">
    <dataValidation type="list" allowBlank="1" showInputMessage="1" showErrorMessage="1" errorTitle="Invalid entry" error="Select a value from the approved list." promptTitle="Controlled input" prompt="Select from the drop-down list." sqref="C5:C304" xr:uid="{00000000-0002-0000-0900-000000000000}">
      <formula1>Scenario</formula1>
    </dataValidation>
    <dataValidation type="list" allowBlank="1" showInputMessage="1" showErrorMessage="1" errorTitle="Invalid entry" error="Select a value from the approved list." promptTitle="Controlled input" prompt="Select from the drop-down list." sqref="S5:S304" xr:uid="{00000000-0002-0000-0900-000001000000}">
      <formula1>Confidence</formula1>
    </dataValidation>
    <dataValidation type="list" allowBlank="1" showInputMessage="1" showErrorMessage="1" errorTitle="Invalid entry" error="Select a value from the approved list." promptTitle="Controlled input" prompt="Select from the drop-down list." sqref="V5:V304" xr:uid="{00000000-0002-0000-0900-000002000000}">
      <formula1>Frequency</formula1>
    </dataValidation>
  </dataValidations>
  <pageMargins left="0.75" right="0.75" top="1" bottom="1" header="0.5" footer="0.5"/>
  <pageSetup fitToHeight="0" orientation="portrait"/>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M24"/>
  <sheetViews>
    <sheetView showGridLines="0" zoomScaleNormal="100" workbookViewId="0">
      <selection activeCell="B17" sqref="B17"/>
    </sheetView>
  </sheetViews>
  <sheetFormatPr baseColWidth="10" defaultColWidth="8.83203125" defaultRowHeight="15" x14ac:dyDescent="0.2"/>
  <cols>
    <col min="1" max="1" width="34" customWidth="1"/>
    <col min="2" max="4" width="18" customWidth="1"/>
    <col min="5" max="5" width="14.5" customWidth="1"/>
    <col min="6" max="6" width="34" customWidth="1"/>
    <col min="7" max="8" width="18" customWidth="1"/>
    <col min="10" max="13" width="18" customWidth="1"/>
  </cols>
  <sheetData>
    <row r="1" spans="1:13" ht="26.25" customHeight="1" x14ac:dyDescent="0.2">
      <c r="A1" s="198" t="s">
        <v>207</v>
      </c>
      <c r="B1" s="181"/>
      <c r="C1" s="181"/>
      <c r="D1" s="181"/>
      <c r="E1" s="181"/>
      <c r="F1" s="181"/>
      <c r="G1" s="181"/>
      <c r="H1" s="181"/>
    </row>
    <row r="2" spans="1:13" ht="24" customHeight="1" x14ac:dyDescent="0.2">
      <c r="A2" s="193" t="s">
        <v>385</v>
      </c>
      <c r="B2" s="181"/>
      <c r="C2" s="181"/>
      <c r="D2" s="181"/>
      <c r="E2" s="181"/>
      <c r="F2" s="181"/>
      <c r="G2" s="181"/>
      <c r="H2" s="181"/>
      <c r="J2" s="188" t="s">
        <v>386</v>
      </c>
      <c r="K2" s="181"/>
      <c r="L2" s="181"/>
      <c r="M2" s="181"/>
    </row>
    <row r="3" spans="1:13" x14ac:dyDescent="0.2">
      <c r="J3" s="181"/>
      <c r="K3" s="181"/>
      <c r="L3" s="181"/>
      <c r="M3" s="181"/>
    </row>
    <row r="4" spans="1:13" ht="29.25" customHeight="1" x14ac:dyDescent="0.2">
      <c r="A4" s="1" t="s">
        <v>387</v>
      </c>
      <c r="B4" s="8"/>
      <c r="C4" s="8"/>
      <c r="D4" s="8"/>
      <c r="J4" s="181"/>
      <c r="K4" s="181"/>
      <c r="L4" s="181"/>
      <c r="M4" s="181"/>
    </row>
    <row r="5" spans="1:13" x14ac:dyDescent="0.2">
      <c r="A5" s="2" t="s">
        <v>388</v>
      </c>
      <c r="B5" s="14">
        <f>Assumptions!$B$25</f>
        <v>2</v>
      </c>
    </row>
    <row r="6" spans="1:13" x14ac:dyDescent="0.2">
      <c r="A6" s="2" t="s">
        <v>389</v>
      </c>
      <c r="B6" s="14">
        <f>Assumptions!$B$26</f>
        <v>0.3</v>
      </c>
    </row>
    <row r="7" spans="1:13" x14ac:dyDescent="0.2">
      <c r="A7" s="2" t="s">
        <v>390</v>
      </c>
      <c r="B7" s="14">
        <f>Assumptions!$B$27</f>
        <v>1800</v>
      </c>
    </row>
    <row r="8" spans="1:13" x14ac:dyDescent="0.2">
      <c r="A8" s="2" t="s">
        <v>391</v>
      </c>
      <c r="B8" s="14">
        <f>Assumptions!$B$28</f>
        <v>350</v>
      </c>
    </row>
    <row r="9" spans="1:13" x14ac:dyDescent="0.2">
      <c r="A9" s="2" t="s">
        <v>392</v>
      </c>
      <c r="B9" s="14">
        <f>Assumptions!$B$29</f>
        <v>5000</v>
      </c>
    </row>
    <row r="10" spans="1:13" x14ac:dyDescent="0.2">
      <c r="A10" s="2" t="s">
        <v>393</v>
      </c>
      <c r="B10" s="14">
        <f>Assumptions!$B$30</f>
        <v>900</v>
      </c>
    </row>
    <row r="11" spans="1:13" x14ac:dyDescent="0.2">
      <c r="A11" s="2" t="s">
        <v>394</v>
      </c>
      <c r="B11" s="15">
        <f>Assumptions!$B$31</f>
        <v>0.25</v>
      </c>
    </row>
    <row r="12" spans="1:13" x14ac:dyDescent="0.2">
      <c r="A12" s="2" t="s">
        <v>395</v>
      </c>
      <c r="B12" s="14">
        <f>Assumptions!$B$32</f>
        <v>700</v>
      </c>
    </row>
    <row r="13" spans="1:13" x14ac:dyDescent="0.2">
      <c r="A13" s="2" t="s">
        <v>396</v>
      </c>
      <c r="B13" s="16">
        <f>Assumptions!$B$34</f>
        <v>0.4</v>
      </c>
    </row>
    <row r="14" spans="1:13" x14ac:dyDescent="0.2">
      <c r="A14" s="2" t="s">
        <v>397</v>
      </c>
      <c r="B14" s="16">
        <f>Assumptions!$B$35</f>
        <v>1.6</v>
      </c>
    </row>
    <row r="15" spans="1:13" x14ac:dyDescent="0.2">
      <c r="A15" s="2" t="s">
        <v>398</v>
      </c>
      <c r="B15" s="16">
        <f>Assumptions!$B$36</f>
        <v>2</v>
      </c>
    </row>
    <row r="16" spans="1:13" x14ac:dyDescent="0.2">
      <c r="A16" s="2" t="s">
        <v>399</v>
      </c>
      <c r="B16" s="16">
        <f>Assumptions!$B$37</f>
        <v>8</v>
      </c>
    </row>
    <row r="18" spans="1:8" ht="16" x14ac:dyDescent="0.2">
      <c r="A18" s="1" t="s">
        <v>400</v>
      </c>
      <c r="B18" s="8"/>
      <c r="C18" s="8"/>
      <c r="D18" s="8"/>
      <c r="E18" s="8"/>
      <c r="F18" s="8"/>
      <c r="G18" s="8"/>
      <c r="H18" s="8"/>
    </row>
    <row r="19" spans="1:8" ht="16" x14ac:dyDescent="0.2">
      <c r="A19" s="5" t="s">
        <v>401</v>
      </c>
      <c r="B19" s="5" t="s">
        <v>259</v>
      </c>
      <c r="C19" s="5" t="s">
        <v>402</v>
      </c>
      <c r="D19" s="5" t="s">
        <v>403</v>
      </c>
      <c r="E19" s="5" t="s">
        <v>404</v>
      </c>
      <c r="F19" s="5" t="s">
        <v>405</v>
      </c>
    </row>
    <row r="20" spans="1:8" ht="16" x14ac:dyDescent="0.2">
      <c r="A20" s="3" t="s">
        <v>406</v>
      </c>
      <c r="B20" s="6" t="s">
        <v>407</v>
      </c>
      <c r="C20" s="17">
        <f>Model_Monthly!C7</f>
        <v>1772.8200000000002</v>
      </c>
      <c r="D20" s="17">
        <f>Model_Monthly!H7</f>
        <v>3982.906243986049</v>
      </c>
      <c r="E20" s="17">
        <f>Model_Monthly!N7</f>
        <v>6687.098975267043</v>
      </c>
      <c r="F20" s="17">
        <f>Model_Monthly!T7</f>
        <v>6876.5719381733952</v>
      </c>
    </row>
    <row r="21" spans="1:8" ht="16" x14ac:dyDescent="0.2">
      <c r="A21" s="3" t="s">
        <v>408</v>
      </c>
      <c r="B21" s="6" t="s">
        <v>409</v>
      </c>
      <c r="C21" s="17">
        <f>Model_Monthly!C12+Model_Monthly!C13</f>
        <v>6958318.5000000009</v>
      </c>
      <c r="D21" s="17">
        <f>Model_Monthly!H12+Model_Monthly!H13</f>
        <v>15632907.007645244</v>
      </c>
      <c r="E21" s="17">
        <f>Model_Monthly!N12+Model_Monthly!N13</f>
        <v>26246863.477923144</v>
      </c>
      <c r="F21" s="17">
        <f>Model_Monthly!T12+Model_Monthly!T13</f>
        <v>26990544.857330576</v>
      </c>
    </row>
    <row r="22" spans="1:8" ht="16" x14ac:dyDescent="0.2">
      <c r="A22" s="3" t="s">
        <v>410</v>
      </c>
      <c r="B22" s="6" t="s">
        <v>409</v>
      </c>
      <c r="C22" s="17">
        <f>Model_Monthly!C14+Model_Monthly!C15</f>
        <v>2473083.9</v>
      </c>
      <c r="D22" s="17">
        <f>Model_Monthly!H14+Model_Monthly!H15</f>
        <v>5556154.2103605382</v>
      </c>
      <c r="E22" s="17">
        <f>Model_Monthly!N14+Model_Monthly!N15</f>
        <v>9328503.070497524</v>
      </c>
      <c r="F22" s="17">
        <f>Model_Monthly!T14+Model_Monthly!T15</f>
        <v>9592817.8537518866</v>
      </c>
    </row>
    <row r="23" spans="1:8" ht="16" x14ac:dyDescent="0.2">
      <c r="A23" s="3" t="s">
        <v>411</v>
      </c>
      <c r="B23" s="6" t="s">
        <v>412</v>
      </c>
      <c r="C23" s="18">
        <f>Model_Monthly!C50</f>
        <v>12.090632400000001</v>
      </c>
      <c r="D23" s="18">
        <f>Model_Monthly!H50</f>
        <v>27.163420583984852</v>
      </c>
      <c r="E23" s="18">
        <f>Model_Monthly!N50</f>
        <v>45.606015011321233</v>
      </c>
      <c r="F23" s="18">
        <f>Model_Monthly!T50</f>
        <v>46.898220618342556</v>
      </c>
    </row>
    <row r="24" spans="1:8" ht="16" x14ac:dyDescent="0.2">
      <c r="A24" s="19" t="s">
        <v>413</v>
      </c>
      <c r="B24" s="20" t="s">
        <v>414</v>
      </c>
      <c r="C24" s="21">
        <f>IF(Model_Monthly!C7=0,"-",Model_Monthly!C50/Model_Monthly!C7)</f>
        <v>6.8199999999999997E-3</v>
      </c>
      <c r="D24" s="21">
        <f>IF(Model_Monthly!H7=0,"-",Model_Monthly!H50/Model_Monthly!H7)</f>
        <v>6.8199999999999997E-3</v>
      </c>
      <c r="E24" s="21">
        <f>IF(Model_Monthly!N7=0,"-",Model_Monthly!N50/Model_Monthly!N7)</f>
        <v>6.8199999999999997E-3</v>
      </c>
      <c r="F24" s="21">
        <f>IF(Model_Monthly!T7=0,"-",Model_Monthly!T50/Model_Monthly!T7)</f>
        <v>6.8199999999999997E-3</v>
      </c>
    </row>
  </sheetData>
  <mergeCells count="3">
    <mergeCell ref="A2:H2"/>
    <mergeCell ref="J2:M4"/>
    <mergeCell ref="A1:H1"/>
  </mergeCells>
  <pageMargins left="0.7" right="0.7" top="0.75" bottom="0.75" header="0.3" footer="0.3"/>
  <pageSetup fitToHeight="0" orientation="portrait" horizontalDpi="0" verticalDpi="0"/>
  <headerFooter>
    <oddHeader>&amp;CPwC Model For Agent Cost Estimation</oddHeader>
    <oddFooter>&amp;CPwC Model For Agent Cost Estimation</oddFooter>
  </headerFooter>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M16"/>
  <sheetViews>
    <sheetView showGridLines="0" topLeftCell="A3" zoomScaleNormal="100" workbookViewId="0">
      <selection activeCell="D3" sqref="D3"/>
    </sheetView>
  </sheetViews>
  <sheetFormatPr baseColWidth="10" defaultColWidth="8.83203125" defaultRowHeight="15" x14ac:dyDescent="0.2"/>
  <cols>
    <col min="1" max="1" width="34" customWidth="1"/>
    <col min="2" max="2" width="18" customWidth="1"/>
    <col min="3" max="8" width="14" customWidth="1"/>
    <col min="10" max="13" width="18" customWidth="1"/>
  </cols>
  <sheetData>
    <row r="1" spans="1:13" ht="24" customHeight="1" x14ac:dyDescent="0.2">
      <c r="A1" s="198" t="s">
        <v>207</v>
      </c>
      <c r="B1" s="181"/>
      <c r="C1" s="181"/>
      <c r="D1" s="181"/>
      <c r="E1" s="181"/>
      <c r="F1" s="181"/>
      <c r="G1" s="181"/>
      <c r="H1" s="181"/>
    </row>
    <row r="2" spans="1:13" ht="24" customHeight="1" x14ac:dyDescent="0.2">
      <c r="A2" s="193" t="s">
        <v>415</v>
      </c>
      <c r="B2" s="181"/>
      <c r="C2" s="181"/>
      <c r="D2" s="181"/>
      <c r="E2" s="181"/>
      <c r="F2" s="181"/>
      <c r="G2" s="181"/>
      <c r="H2" s="181"/>
      <c r="J2" s="188" t="s">
        <v>416</v>
      </c>
      <c r="K2" s="181"/>
      <c r="L2" s="181"/>
      <c r="M2" s="181"/>
    </row>
    <row r="3" spans="1:13" x14ac:dyDescent="0.2">
      <c r="J3" s="181"/>
      <c r="K3" s="181"/>
      <c r="L3" s="181"/>
      <c r="M3" s="181"/>
    </row>
    <row r="4" spans="1:13" ht="29.25" customHeight="1" x14ac:dyDescent="0.2">
      <c r="A4" s="1" t="s">
        <v>417</v>
      </c>
      <c r="B4" s="8"/>
      <c r="C4" s="8"/>
      <c r="D4" s="8"/>
      <c r="E4" s="8"/>
      <c r="F4" s="8"/>
      <c r="G4" s="8"/>
      <c r="H4" s="8"/>
      <c r="J4" s="181"/>
      <c r="K4" s="181"/>
      <c r="L4" s="181"/>
      <c r="M4" s="181"/>
    </row>
    <row r="5" spans="1:13" x14ac:dyDescent="0.2">
      <c r="A5" s="2" t="s">
        <v>418</v>
      </c>
      <c r="B5" s="87">
        <f>Unit_Costs!$B$21</f>
        <v>2.5</v>
      </c>
    </row>
    <row r="6" spans="1:13" x14ac:dyDescent="0.2">
      <c r="A6" s="2" t="s">
        <v>419</v>
      </c>
      <c r="B6" s="88">
        <f>Unit_Costs!$B$22</f>
        <v>500</v>
      </c>
    </row>
    <row r="7" spans="1:13" x14ac:dyDescent="0.2">
      <c r="A7" s="2" t="s">
        <v>420</v>
      </c>
      <c r="B7" s="89">
        <f>Unit_Costs!$B$23</f>
        <v>15</v>
      </c>
    </row>
    <row r="8" spans="1:13" x14ac:dyDescent="0.2">
      <c r="A8" s="2" t="s">
        <v>421</v>
      </c>
      <c r="B8" s="88">
        <f>Unit_Costs!$B$24</f>
        <v>14</v>
      </c>
    </row>
    <row r="10" spans="1:13" ht="16" x14ac:dyDescent="0.2">
      <c r="A10" s="1" t="s">
        <v>422</v>
      </c>
      <c r="B10" s="8"/>
      <c r="C10" s="8"/>
      <c r="D10" s="8"/>
      <c r="E10" s="8"/>
      <c r="F10" s="8"/>
      <c r="G10" s="8"/>
      <c r="H10" s="8"/>
    </row>
    <row r="11" spans="1:13" ht="16" x14ac:dyDescent="0.2">
      <c r="A11" s="5" t="s">
        <v>401</v>
      </c>
      <c r="B11" s="5" t="s">
        <v>259</v>
      </c>
      <c r="C11" s="5" t="s">
        <v>423</v>
      </c>
      <c r="D11" s="5" t="s">
        <v>424</v>
      </c>
      <c r="E11" s="5" t="s">
        <v>425</v>
      </c>
      <c r="F11" s="5" t="s">
        <v>426</v>
      </c>
    </row>
    <row r="12" spans="1:13" ht="16" x14ac:dyDescent="0.2">
      <c r="A12" s="3" t="s">
        <v>427</v>
      </c>
      <c r="B12" s="6" t="s">
        <v>285</v>
      </c>
      <c r="C12" s="90">
        <f>Model_Monthly!C66</f>
        <v>0.44320500000000002</v>
      </c>
      <c r="D12" s="90">
        <f>Model_Monthly!H66</f>
        <v>0.99572656099651224</v>
      </c>
      <c r="E12" s="90">
        <f>Model_Monthly!N66</f>
        <v>1.6717747438167607</v>
      </c>
      <c r="F12" s="90">
        <f>Model_Monthly!T66</f>
        <v>1.7191429845433488</v>
      </c>
    </row>
    <row r="13" spans="1:13" ht="16" x14ac:dyDescent="0.2">
      <c r="A13" s="3" t="s">
        <v>428</v>
      </c>
      <c r="B13" s="6" t="s">
        <v>412</v>
      </c>
      <c r="C13" s="91">
        <f>Model_Monthly!C67</f>
        <v>1.1080125000000001</v>
      </c>
      <c r="D13" s="91">
        <f>Model_Monthly!H67</f>
        <v>2.4893164024912808</v>
      </c>
      <c r="E13" s="91">
        <f>Model_Monthly!N67</f>
        <v>4.1794368595419016</v>
      </c>
      <c r="F13" s="91">
        <f>Model_Monthly!T67</f>
        <v>4.2978574613583724</v>
      </c>
    </row>
    <row r="14" spans="1:13" ht="16" x14ac:dyDescent="0.2">
      <c r="A14" s="3" t="s">
        <v>429</v>
      </c>
      <c r="B14" s="6" t="s">
        <v>412</v>
      </c>
      <c r="C14" s="91">
        <f>Model_Monthly!C68</f>
        <v>500</v>
      </c>
      <c r="D14" s="91">
        <f>Model_Monthly!H68</f>
        <v>500</v>
      </c>
      <c r="E14" s="91">
        <f>Model_Monthly!N68</f>
        <v>500</v>
      </c>
      <c r="F14" s="91">
        <f>Model_Monthly!T68</f>
        <v>500</v>
      </c>
    </row>
    <row r="15" spans="1:13" ht="16" x14ac:dyDescent="0.2">
      <c r="A15" s="3" t="s">
        <v>430</v>
      </c>
      <c r="B15" s="6" t="s">
        <v>412</v>
      </c>
      <c r="C15" s="91">
        <f>Model_Monthly!C69</f>
        <v>210</v>
      </c>
      <c r="D15" s="91">
        <f>Model_Monthly!H69</f>
        <v>210</v>
      </c>
      <c r="E15" s="91">
        <f>Model_Monthly!N69</f>
        <v>210</v>
      </c>
      <c r="F15" s="91">
        <f>Model_Monthly!T69</f>
        <v>210</v>
      </c>
    </row>
    <row r="16" spans="1:13" ht="16" x14ac:dyDescent="0.2">
      <c r="A16" s="3" t="s">
        <v>431</v>
      </c>
      <c r="B16" s="6" t="s">
        <v>412</v>
      </c>
      <c r="C16" s="91">
        <f>Model_Monthly!C70</f>
        <v>711.10801249999997</v>
      </c>
      <c r="D16" s="91">
        <f>Model_Monthly!H70</f>
        <v>712.48931640249134</v>
      </c>
      <c r="E16" s="91">
        <f>Model_Monthly!N70</f>
        <v>714.17943685954197</v>
      </c>
      <c r="F16" s="91">
        <f>Model_Monthly!T70</f>
        <v>714.29785746135838</v>
      </c>
    </row>
  </sheetData>
  <mergeCells count="3">
    <mergeCell ref="A2:H2"/>
    <mergeCell ref="J2:M4"/>
    <mergeCell ref="A1:H1"/>
  </mergeCells>
  <pageMargins left="0.7" right="0.7" top="0.75" bottom="0.75" header="0.3" footer="0.3"/>
  <pageSetup fitToHeight="0" orientation="portrait" horizontalDpi="0" verticalDpi="0"/>
  <headerFooter>
    <oddHeader>&amp;CPwC Model For Agent Cost Estimation</oddHeader>
    <oddFooter>&amp;CPwC Model For Agent Cost Estimation</oddFooter>
  </headerFooter>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V82"/>
  <sheetViews>
    <sheetView showGridLines="0" zoomScale="90" zoomScaleNormal="90" zoomScalePageLayoutView="142" workbookViewId="0">
      <pane ySplit="4" topLeftCell="A5" activePane="bottomLeft" state="frozen"/>
      <selection pane="bottomLeft" activeCell="F7" sqref="F7"/>
    </sheetView>
  </sheetViews>
  <sheetFormatPr baseColWidth="10" defaultColWidth="8.83203125" defaultRowHeight="15" x14ac:dyDescent="0.2"/>
  <cols>
    <col min="1" max="1" width="47.33203125" customWidth="1"/>
    <col min="2" max="2" width="22.6640625" customWidth="1"/>
    <col min="3" max="6" width="13" customWidth="1"/>
    <col min="7" max="11" width="13" hidden="1" customWidth="1"/>
    <col min="12" max="12" width="13" customWidth="1"/>
    <col min="13" max="15" width="13" hidden="1" customWidth="1"/>
    <col min="16" max="16" width="13" customWidth="1"/>
    <col min="17" max="19" width="13" hidden="1" customWidth="1"/>
    <col min="20" max="20" width="13" customWidth="1"/>
    <col min="21" max="21" width="14" bestFit="1" customWidth="1"/>
    <col min="22" max="22" width="14" style="41" bestFit="1" customWidth="1"/>
  </cols>
  <sheetData>
    <row r="1" spans="1:21" ht="26.25" customHeight="1" x14ac:dyDescent="0.3">
      <c r="A1" s="199" t="s">
        <v>432</v>
      </c>
      <c r="B1" s="181"/>
      <c r="C1" s="181"/>
      <c r="D1" s="181"/>
      <c r="E1" s="181"/>
      <c r="F1" s="181"/>
      <c r="G1" s="181"/>
      <c r="H1" s="181"/>
      <c r="I1" s="181"/>
      <c r="J1" s="181"/>
      <c r="K1" s="181"/>
      <c r="L1" s="181"/>
      <c r="M1" s="181"/>
      <c r="N1" s="181"/>
      <c r="O1" s="181"/>
      <c r="P1" s="181"/>
      <c r="Q1" s="181"/>
      <c r="R1" s="181"/>
      <c r="S1" s="181"/>
      <c r="T1" s="181"/>
      <c r="U1" s="26"/>
    </row>
    <row r="2" spans="1:21" ht="20.25" customHeight="1" x14ac:dyDescent="0.2">
      <c r="A2" s="1" t="s">
        <v>433</v>
      </c>
      <c r="B2" s="8"/>
      <c r="C2" s="9"/>
      <c r="D2" s="9"/>
      <c r="E2" s="9"/>
      <c r="F2" s="46" t="s">
        <v>434</v>
      </c>
      <c r="G2" s="46" t="s">
        <v>435</v>
      </c>
      <c r="H2" s="46"/>
      <c r="I2" s="46"/>
      <c r="J2" s="46"/>
      <c r="K2" s="46"/>
      <c r="L2" s="46" t="s">
        <v>436</v>
      </c>
      <c r="M2" s="46"/>
      <c r="N2" s="46"/>
      <c r="O2" s="46"/>
      <c r="P2" s="46" t="s">
        <v>437</v>
      </c>
      <c r="Q2" s="46"/>
      <c r="R2" s="46"/>
      <c r="S2" s="46"/>
      <c r="T2" s="46" t="s">
        <v>438</v>
      </c>
      <c r="U2" s="46" t="s">
        <v>439</v>
      </c>
    </row>
    <row r="3" spans="1:21" ht="16" x14ac:dyDescent="0.2">
      <c r="A3" s="10" t="s">
        <v>440</v>
      </c>
      <c r="B3" s="11" t="s">
        <v>407</v>
      </c>
      <c r="C3" s="92">
        <f>IFERROR(INDEX(Assumptions!$G$6:$G$11,INT((COLUMN()-3)/3)+1)/INDEX(Assumptions!$H$6:$H$11,INT((COLUMN()-3)/3)+1),0)</f>
        <v>0.66666666666666663</v>
      </c>
      <c r="D3" s="92">
        <f>IFERROR(INDEX(Assumptions!$G$6:$G$11,INT((COLUMN()-3)/3)+1)/INDEX(Assumptions!$H$6:$H$11,INT((COLUMN()-3)/3)+1),0)</f>
        <v>0.66666666666666663</v>
      </c>
      <c r="E3" s="92">
        <f>IFERROR(INDEX(Assumptions!$G$6:$G$11,INT((COLUMN()-3)/3)+1)/INDEX(Assumptions!$H$6:$H$11,INT((COLUMN()-3)/3)+1),0)</f>
        <v>0.66666666666666663</v>
      </c>
      <c r="F3" s="92">
        <f>IFERROR(INDEX(Assumptions!$G$6:$G$11,INT((COLUMN()-3)/3)+1)/INDEX(Assumptions!$H$6:$H$11,INT((COLUMN()-3)/3)+1),0)</f>
        <v>0.66666666666666663</v>
      </c>
      <c r="G3" s="92">
        <f>IFERROR(INDEX(Assumptions!$G$6:$G$11,INT((COLUMN()-3)/3)+1)/INDEX(Assumptions!$H$6:$H$11,INT((COLUMN()-3)/3)+1),0)</f>
        <v>0.66666666666666663</v>
      </c>
      <c r="H3" s="92">
        <f>IFERROR(INDEX(Assumptions!$G$6:$G$11,INT((COLUMN()-3)/3)+1)/INDEX(Assumptions!$H$6:$H$11,INT((COLUMN()-3)/3)+1),0)</f>
        <v>0.66666666666666663</v>
      </c>
      <c r="I3" s="92">
        <f>IFERROR(INDEX(Assumptions!$G$6:$G$11,INT((COLUMN()-3)/3)+1)/INDEX(Assumptions!$H$6:$H$11,INT((COLUMN()-3)/3)+1),0)</f>
        <v>0.66666666666666663</v>
      </c>
      <c r="J3" s="92">
        <f>IFERROR(INDEX(Assumptions!$G$6:$G$11,INT((COLUMN()-3)/3)+1)/INDEX(Assumptions!$H$6:$H$11,INT((COLUMN()-3)/3)+1),0)</f>
        <v>0.66666666666666663</v>
      </c>
      <c r="K3" s="92">
        <f>IFERROR(INDEX(Assumptions!$G$6:$G$11,INT((COLUMN()-3)/3)+1)/INDEX(Assumptions!$H$6:$H$11,INT((COLUMN()-3)/3)+1),0)</f>
        <v>0.66666666666666663</v>
      </c>
      <c r="L3" s="92">
        <f>IFERROR(INDEX(Assumptions!$G$6:$G$11,INT((COLUMN()-3)/3)+1)/INDEX(Assumptions!$H$6:$H$11,INT((COLUMN()-3)/3)+1),0)</f>
        <v>0.66666666666666663</v>
      </c>
      <c r="M3" s="92">
        <f>IFERROR(INDEX(Assumptions!$G$6:$G$11,INT((COLUMN()-3)/3)+1)/INDEX(Assumptions!$H$6:$H$11,INT((COLUMN()-3)/3)+1),0)</f>
        <v>0.66666666666666663</v>
      </c>
      <c r="N3" s="92">
        <f>IFERROR(INDEX(Assumptions!$G$6:$G$11,INT((COLUMN()-3)/3)+1)/INDEX(Assumptions!$H$6:$H$11,INT((COLUMN()-3)/3)+1),0)</f>
        <v>0.66666666666666663</v>
      </c>
      <c r="O3" s="92">
        <f>IFERROR(INDEX(Assumptions!$G$6:$G$11,INT((COLUMN()-3)/3)+1)/INDEX(Assumptions!$H$6:$H$11,INT((COLUMN()-3)/3)+1),0)</f>
        <v>0</v>
      </c>
      <c r="P3" s="92">
        <f>IFERROR(INDEX(Assumptions!$G$6:$G$11,INT((COLUMN()-3)/3)+1)/INDEX(Assumptions!$H$6:$H$11,INT((COLUMN()-3)/3)+1),0)</f>
        <v>0</v>
      </c>
      <c r="Q3" s="92">
        <f>IFERROR(INDEX(Assumptions!$G$6:$G$11,INT((COLUMN()-3)/3)+1)/INDEX(Assumptions!$H$6:$H$11,INT((COLUMN()-3)/3)+1),0)</f>
        <v>0</v>
      </c>
      <c r="R3" s="92">
        <f>IFERROR(INDEX(Assumptions!$G$6:$G$11,INT((COLUMN()-3)/3)+1)/INDEX(Assumptions!$H$6:$H$11,INT((COLUMN()-3)/3)+1),0)</f>
        <v>0</v>
      </c>
      <c r="S3" s="92">
        <f>IFERROR(INDEX(Assumptions!$G$6:$G$11,INT((COLUMN()-3)/3)+1)/INDEX(Assumptions!$H$6:$H$11,INT((COLUMN()-3)/3)+1),0)</f>
        <v>0</v>
      </c>
      <c r="T3" s="92">
        <f>IFERROR(INDEX(Assumptions!$G$6:$G$11,INT((COLUMN()-3)/3)+1)/INDEX(Assumptions!$H$6:$H$11,INT((COLUMN()-3)/3)+1),0)</f>
        <v>0</v>
      </c>
      <c r="U3" s="92">
        <f>T3*(1-Assumptions!$B$16)+U1*Assumptions!$B$13+T1*(Assumptions!$B$14-Assumptions!$B$13)+S1*(Assumptions!$B$15-Assumptions!$B$14)</f>
        <v>0</v>
      </c>
    </row>
    <row r="4" spans="1:21" ht="16" x14ac:dyDescent="0.2">
      <c r="A4" s="10" t="s">
        <v>441</v>
      </c>
      <c r="B4" s="11" t="s">
        <v>407</v>
      </c>
      <c r="C4" s="92">
        <f>Assumptions!$B$11*(1-Assumptions!$B$16)+C3</f>
        <v>2.6566666666666667</v>
      </c>
      <c r="D4" s="92">
        <f>C4*(1-Assumptions!$B$16)+D3</f>
        <v>3.3100499999999999</v>
      </c>
      <c r="E4" s="92">
        <f>D4*(1-Assumptions!$B$16)+E3</f>
        <v>3.9601664166666666</v>
      </c>
      <c r="F4" s="92">
        <f>E4*(1-Assumptions!$B$16)+F3</f>
        <v>4.6070322512499997</v>
      </c>
      <c r="G4" s="92">
        <f>F4*(1-Assumptions!$B$16)+G3</f>
        <v>5.2506637566604164</v>
      </c>
      <c r="H4" s="92">
        <f>G4*(1-Assumptions!$B$16)+H3</f>
        <v>5.8910771045437809</v>
      </c>
      <c r="I4" s="92">
        <f>H4*(1-Assumptions!$B$16)+I3</f>
        <v>6.5282883856877287</v>
      </c>
      <c r="J4" s="92">
        <f>I4*(1-Assumptions!$B$16)+J3</f>
        <v>7.162313610425957</v>
      </c>
      <c r="K4" s="92">
        <f>J4*(1-Assumptions!$B$16)+K3</f>
        <v>7.7931687090404944</v>
      </c>
      <c r="L4" s="92">
        <f>K4*(1-Assumptions!$B$16)+L3</f>
        <v>8.4208695321619587</v>
      </c>
      <c r="M4" s="92">
        <f>L4*(1-Assumptions!$B$16)+M3</f>
        <v>9.0454318511678142</v>
      </c>
      <c r="N4" s="92">
        <f>M4*(1-Assumptions!$B$16)+N3</f>
        <v>9.666871358578641</v>
      </c>
      <c r="O4" s="92">
        <f>N4*(1-Assumptions!$B$16)+O3</f>
        <v>9.6185370017857483</v>
      </c>
      <c r="P4" s="92">
        <f>O4*(1-Assumptions!$B$16)+P3</f>
        <v>9.5704443167768201</v>
      </c>
      <c r="Q4" s="92">
        <f>P4*(1-Assumptions!$B$16)+Q3</f>
        <v>9.5225920951929357</v>
      </c>
      <c r="R4" s="92">
        <f>Q4*(1-Assumptions!$B$16)+R3</f>
        <v>9.4749791347169712</v>
      </c>
      <c r="S4" s="92">
        <f>R4*(1-Assumptions!$B$16)+S3</f>
        <v>9.4276042390433865</v>
      </c>
      <c r="T4" s="92">
        <f>S4*(1-Assumptions!$B$16)+T3</f>
        <v>9.3804662178481699</v>
      </c>
      <c r="U4" s="92">
        <f>T4*(1-Assumptions!$B$16)+U3</f>
        <v>9.3335638867589292</v>
      </c>
    </row>
    <row r="5" spans="1:21" ht="16" x14ac:dyDescent="0.2">
      <c r="A5" s="10" t="s">
        <v>442</v>
      </c>
      <c r="B5" s="11" t="s">
        <v>407</v>
      </c>
      <c r="C5" s="92">
        <f>Assumptions!$B$11+C3*Assumptions!$B$13</f>
        <v>2.2333333333333334</v>
      </c>
      <c r="D5" s="92">
        <f>C5*(1-Assumptions!$B$16)+D3*Assumptions!$B$13+C3*(Assumptions!$B$14-Assumptions!$B$13)</f>
        <v>2.6888333333333336</v>
      </c>
      <c r="E5" s="92">
        <f>D5*(1-Assumptions!$B$16)+E3*Assumptions!$B$13+D3*(Assumptions!$B$14-Assumptions!$B$13)+C3*(Assumptions!$B$15-Assumptions!$B$14)</f>
        <v>3.2753891666666672</v>
      </c>
      <c r="F5" s="92">
        <f>E5*(1-Assumptions!$B$16)+F3*Assumptions!$B$13+E3*(Assumptions!$B$14-Assumptions!$B$13)+D3*(Assumptions!$B$15-Assumptions!$B$14)</f>
        <v>3.8590122208333342</v>
      </c>
      <c r="G5" s="92">
        <f>F5*(1-Assumptions!$B$16)+G3*Assumptions!$B$13+F3*(Assumptions!$B$14-Assumptions!$B$13)+E3*(Assumptions!$B$15-Assumptions!$B$14)</f>
        <v>4.4397171597291676</v>
      </c>
      <c r="H5" s="92">
        <f>G5*(1-Assumptions!$B$16)+H3*Assumptions!$B$13+G3*(Assumptions!$B$14-Assumptions!$B$13)+F3*(Assumptions!$B$15-Assumptions!$B$14)</f>
        <v>5.0175185739305226</v>
      </c>
      <c r="I5" s="92">
        <f>H5*(1-Assumptions!$B$16)+I3*Assumptions!$B$13+H3*(Assumptions!$B$14-Assumptions!$B$13)+G3*(Assumptions!$B$15-Assumptions!$B$14)</f>
        <v>5.5924309810608701</v>
      </c>
      <c r="J5" s="92">
        <f>I5*(1-Assumptions!$B$16)+J3*Assumptions!$B$13+I3*(Assumptions!$B$14-Assumptions!$B$13)+H3*(Assumptions!$B$15-Assumptions!$B$14)</f>
        <v>6.1644688261555665</v>
      </c>
      <c r="K5" s="92">
        <f>J5*(1-Assumptions!$B$16)+K3*Assumptions!$B$13+J3*(Assumptions!$B$14-Assumptions!$B$13)+I3*(Assumptions!$B$15-Assumptions!$B$14)</f>
        <v>6.7336464820247892</v>
      </c>
      <c r="L5" s="92">
        <f>K5*(1-Assumptions!$B$16)+L3*Assumptions!$B$13+K3*(Assumptions!$B$14-Assumptions!$B$13)+J3*(Assumptions!$B$15-Assumptions!$B$14)</f>
        <v>7.2999782496146661</v>
      </c>
      <c r="M5" s="92">
        <f>L5*(1-Assumptions!$B$16)+M3*Assumptions!$B$13+L3*(Assumptions!$B$14-Assumptions!$B$13)+K3*(Assumptions!$B$15-Assumptions!$B$14)</f>
        <v>7.863478358366593</v>
      </c>
      <c r="N5" s="92">
        <f>M5*(1-Assumptions!$B$16)+N3*Assumptions!$B$13+M3*(Assumptions!$B$14-Assumptions!$B$13)+L3*(Assumptions!$B$15-Assumptions!$B$14)</f>
        <v>8.4241609665747585</v>
      </c>
      <c r="O5" s="92">
        <f>N5*(1-Assumptions!$B$16)+O3*Assumptions!$B$13+N3*(Assumptions!$B$14-Assumptions!$B$13)+M3*(Assumptions!$B$15-Assumptions!$B$14)</f>
        <v>8.748706828408551</v>
      </c>
      <c r="P5" s="92">
        <f>O5*(1-Assumptions!$B$16)+P3*Assumptions!$B$13+O3*(Assumptions!$B$14-Assumptions!$B$13)+N3*(Assumptions!$B$15-Assumptions!$B$14)</f>
        <v>8.8382966275998402</v>
      </c>
      <c r="Q5" s="92">
        <f>P5*(1-Assumptions!$B$16)+Q3*Assumptions!$B$13+P3*(Assumptions!$B$14-Assumptions!$B$13)+O3*(Assumptions!$B$15-Assumptions!$B$14)</f>
        <v>8.7941051444618417</v>
      </c>
      <c r="R5" s="92">
        <f>Q5*(1-Assumptions!$B$16)+R3*Assumptions!$B$13+Q3*(Assumptions!$B$14-Assumptions!$B$13)+P3*(Assumptions!$B$15-Assumptions!$B$14)</f>
        <v>8.7501346187395317</v>
      </c>
      <c r="S5" s="92">
        <f>R5*(1-Assumptions!$B$16)+S3*Assumptions!$B$13+R3*(Assumptions!$B$14-Assumptions!$B$13)+Q3*(Assumptions!$B$15-Assumptions!$B$14)</f>
        <v>8.7063839456458343</v>
      </c>
      <c r="T5" s="92">
        <f>S5*(1-Assumptions!$B$16)+T3*Assumptions!$B$13+S3*(Assumptions!$B$14-Assumptions!$B$13)+R3*(Assumptions!$B$15-Assumptions!$B$14)</f>
        <v>8.6628520259176049</v>
      </c>
      <c r="U5" s="92">
        <f>T5*(1-Assumptions!$B$16)+U3*Assumptions!$B$13+T3*(Assumptions!$B$14-Assumptions!$B$13)+S3*(Assumptions!$B$15-Assumptions!$B$14)</f>
        <v>8.6195377657880172</v>
      </c>
    </row>
    <row r="6" spans="1:21" ht="16" x14ac:dyDescent="0.2">
      <c r="A6" s="10" t="s">
        <v>443</v>
      </c>
      <c r="B6" s="11" t="s">
        <v>407</v>
      </c>
      <c r="C6" s="92">
        <f>C5*Assumptions!$B$19*Assumptions!$B$7</f>
        <v>1641.5</v>
      </c>
      <c r="D6" s="92">
        <f>D5*Assumptions!$B$19*Assumptions!$B$7</f>
        <v>1976.2925000000002</v>
      </c>
      <c r="E6" s="92">
        <f>E5*Assumptions!$B$19*Assumptions!$B$7</f>
        <v>2407.4110375000005</v>
      </c>
      <c r="F6" s="92">
        <f>F5*Assumptions!$B$19*Assumptions!$B$7</f>
        <v>2836.3739823125006</v>
      </c>
      <c r="G6" s="92">
        <f>G5*Assumptions!$B$19*Assumptions!$B$7</f>
        <v>3263.1921124009382</v>
      </c>
      <c r="H6" s="92">
        <f>H5*Assumptions!$B$19*Assumptions!$B$7</f>
        <v>3687.8761518389342</v>
      </c>
      <c r="I6" s="92">
        <f>I5*Assumptions!$B$19*Assumptions!$B$7</f>
        <v>4110.4367710797396</v>
      </c>
      <c r="J6" s="92">
        <f>J5*Assumptions!$B$19*Assumptions!$B$7</f>
        <v>4530.8845872243419</v>
      </c>
      <c r="K6" s="92">
        <f>K5*Assumptions!$B$19*Assumptions!$B$7</f>
        <v>4949.2301642882203</v>
      </c>
      <c r="L6" s="92">
        <f>L5*Assumptions!$B$19*Assumptions!$B$7</f>
        <v>5365.4840134667793</v>
      </c>
      <c r="M6" s="92">
        <f>M5*Assumptions!$B$19*Assumptions!$B$7</f>
        <v>5779.6565933994461</v>
      </c>
      <c r="N6" s="92">
        <f>N5*Assumptions!$B$19*Assumptions!$B$7</f>
        <v>6191.7583104324467</v>
      </c>
      <c r="O6" s="92">
        <f>O5*Assumptions!$B$19*Assumptions!$B$7</f>
        <v>6430.2995188802852</v>
      </c>
      <c r="P6" s="92">
        <f>P5*Assumptions!$B$19*Assumptions!$B$7</f>
        <v>6496.1480212858833</v>
      </c>
      <c r="Q6" s="92">
        <f>Q5*Assumptions!$B$19*Assumptions!$B$7</f>
        <v>6463.6672811794542</v>
      </c>
      <c r="R6" s="92">
        <f>R5*Assumptions!$B$19*Assumptions!$B$7</f>
        <v>6431.3489447735565</v>
      </c>
      <c r="S6" s="92">
        <f>S5*Assumptions!$B$19*Assumptions!$B$7</f>
        <v>6399.1922000496879</v>
      </c>
      <c r="T6" s="92">
        <f>T5*Assumptions!$B$19*Assumptions!$B$7</f>
        <v>6367.19623904944</v>
      </c>
      <c r="U6" s="92">
        <f>U5*Assumptions!$B$19*Assumptions!$B$7</f>
        <v>6335.3602578541932</v>
      </c>
    </row>
    <row r="7" spans="1:21" ht="16" x14ac:dyDescent="0.2">
      <c r="A7" s="10" t="s">
        <v>444</v>
      </c>
      <c r="B7" s="11" t="s">
        <v>407</v>
      </c>
      <c r="C7" s="92">
        <f>C6*(1+Assumptions!$B$21)</f>
        <v>1772.8200000000002</v>
      </c>
      <c r="D7" s="92">
        <f>D6*(1+Assumptions!$B$21)</f>
        <v>2134.3959000000004</v>
      </c>
      <c r="E7" s="92">
        <f>E6*(1+Assumptions!$B$21)</f>
        <v>2600.0039205000007</v>
      </c>
      <c r="F7" s="92">
        <f>F6*(1+Assumptions!$B$21)</f>
        <v>3063.2839008975011</v>
      </c>
      <c r="G7" s="92">
        <f>G6*(1+Assumptions!$B$21)</f>
        <v>3524.2474813930135</v>
      </c>
      <c r="H7" s="92">
        <f>H6*(1+Assumptions!$B$21)</f>
        <v>3982.906243986049</v>
      </c>
      <c r="I7" s="92">
        <f>I6*(1+Assumptions!$B$21)</f>
        <v>4439.271712766119</v>
      </c>
      <c r="J7" s="92">
        <f>J6*(1+Assumptions!$B$21)</f>
        <v>4893.3553542022892</v>
      </c>
      <c r="K7" s="92">
        <f>K6*(1+Assumptions!$B$21)</f>
        <v>5345.1685774312782</v>
      </c>
      <c r="L7" s="92">
        <f>L6*(1+Assumptions!$B$21)</f>
        <v>5794.7227345441224</v>
      </c>
      <c r="M7" s="92">
        <f>M6*(1+Assumptions!$B$21)</f>
        <v>6242.0291208714025</v>
      </c>
      <c r="N7" s="92">
        <f>N6*(1+Assumptions!$B$21)</f>
        <v>6687.098975267043</v>
      </c>
      <c r="O7" s="92">
        <f>O6*(1+Assumptions!$B$21)</f>
        <v>6944.7234803907086</v>
      </c>
      <c r="P7" s="92">
        <f>P6*(1+Assumptions!$B$21)</f>
        <v>7015.8398629887542</v>
      </c>
      <c r="Q7" s="92">
        <f>Q6*(1+Assumptions!$B$21)</f>
        <v>6980.760663673811</v>
      </c>
      <c r="R7" s="92">
        <f>R6*(1+Assumptions!$B$21)</f>
        <v>6945.8568603554413</v>
      </c>
      <c r="S7" s="92">
        <f>S6*(1+Assumptions!$B$21)</f>
        <v>6911.1275760536637</v>
      </c>
      <c r="T7" s="92">
        <f>T6*(1+Assumptions!$B$21)</f>
        <v>6876.5719381733952</v>
      </c>
      <c r="U7" s="92">
        <f>U6*(1+Assumptions!$B$21)</f>
        <v>6842.1890784825291</v>
      </c>
    </row>
    <row r="8" spans="1:21" ht="16" x14ac:dyDescent="0.2">
      <c r="A8" s="10" t="s">
        <v>445</v>
      </c>
      <c r="B8" s="11" t="s">
        <v>407</v>
      </c>
      <c r="C8" s="92">
        <f>C7*Assumptions!$B$20</f>
        <v>709.12800000000016</v>
      </c>
      <c r="D8" s="92">
        <f>D7*Assumptions!$B$20</f>
        <v>853.75836000000027</v>
      </c>
      <c r="E8" s="92">
        <f>E7*Assumptions!$B$20</f>
        <v>1040.0015682000003</v>
      </c>
      <c r="F8" s="92">
        <f>F7*Assumptions!$B$20</f>
        <v>1225.3135603590006</v>
      </c>
      <c r="G8" s="92">
        <f>G7*Assumptions!$B$20</f>
        <v>1409.6989925572054</v>
      </c>
      <c r="H8" s="92">
        <f>H7*Assumptions!$B$20</f>
        <v>1593.1624975944196</v>
      </c>
      <c r="I8" s="92">
        <f>I7*Assumptions!$B$20</f>
        <v>1775.7086851064478</v>
      </c>
      <c r="J8" s="92">
        <f>J7*Assumptions!$B$20</f>
        <v>1957.3421416809158</v>
      </c>
      <c r="K8" s="92">
        <f>K7*Assumptions!$B$20</f>
        <v>2138.0674309725114</v>
      </c>
      <c r="L8" s="92">
        <f>L7*Assumptions!$B$20</f>
        <v>2317.8890938176492</v>
      </c>
      <c r="M8" s="92">
        <f>M7*Assumptions!$B$20</f>
        <v>2496.811648348561</v>
      </c>
      <c r="N8" s="92">
        <f>N7*Assumptions!$B$20</f>
        <v>2674.8395901068175</v>
      </c>
      <c r="O8" s="92">
        <f>O7*Assumptions!$B$20</f>
        <v>2777.8893921562835</v>
      </c>
      <c r="P8" s="92">
        <f>P7*Assumptions!$B$20</f>
        <v>2806.3359451955021</v>
      </c>
      <c r="Q8" s="92">
        <f>Q7*Assumptions!$B$20</f>
        <v>2792.3042654695246</v>
      </c>
      <c r="R8" s="92">
        <f>R7*Assumptions!$B$20</f>
        <v>2778.3427441421768</v>
      </c>
      <c r="S8" s="92">
        <f>S7*Assumptions!$B$20</f>
        <v>2764.4510304214655</v>
      </c>
      <c r="T8" s="92">
        <f>T7*Assumptions!$B$20</f>
        <v>2750.6287752693584</v>
      </c>
      <c r="U8" s="92">
        <f>U7*Assumptions!$B$20</f>
        <v>2736.8756313930116</v>
      </c>
    </row>
    <row r="9" spans="1:21" ht="16" x14ac:dyDescent="0.2">
      <c r="A9" s="10" t="s">
        <v>446</v>
      </c>
      <c r="B9" s="11" t="s">
        <v>407</v>
      </c>
      <c r="C9" s="92">
        <f>C7*Assumptions!$B$25</f>
        <v>3545.6400000000003</v>
      </c>
      <c r="D9" s="92">
        <f>D7*Assumptions!$B$25</f>
        <v>4268.7918000000009</v>
      </c>
      <c r="E9" s="92">
        <f>E7*Assumptions!$B$25</f>
        <v>5200.0078410000015</v>
      </c>
      <c r="F9" s="92">
        <f>F7*Assumptions!$B$25</f>
        <v>6126.5678017950022</v>
      </c>
      <c r="G9" s="92">
        <f>G7*Assumptions!$B$25</f>
        <v>7048.4949627860269</v>
      </c>
      <c r="H9" s="92">
        <f>H7*Assumptions!$B$25</f>
        <v>7965.8124879720981</v>
      </c>
      <c r="I9" s="92">
        <f>I7*Assumptions!$B$25</f>
        <v>8878.543425532238</v>
      </c>
      <c r="J9" s="92">
        <f>J7*Assumptions!$B$25</f>
        <v>9786.7107084045783</v>
      </c>
      <c r="K9" s="92">
        <f>K7*Assumptions!$B$25</f>
        <v>10690.337154862556</v>
      </c>
      <c r="L9" s="92">
        <f>L7*Assumptions!$B$25</f>
        <v>11589.445469088245</v>
      </c>
      <c r="M9" s="92">
        <f>M7*Assumptions!$B$25</f>
        <v>12484.058241742805</v>
      </c>
      <c r="N9" s="92">
        <f>N7*Assumptions!$B$25</f>
        <v>13374.197950534086</v>
      </c>
      <c r="O9" s="92">
        <f>O7*Assumptions!$B$25</f>
        <v>13889.446960781417</v>
      </c>
      <c r="P9" s="92">
        <f>P7*Assumptions!$B$25</f>
        <v>14031.679725977508</v>
      </c>
      <c r="Q9" s="92">
        <f>Q7*Assumptions!$B$25</f>
        <v>13961.521327347622</v>
      </c>
      <c r="R9" s="92">
        <f>R7*Assumptions!$B$25</f>
        <v>13891.713720710883</v>
      </c>
      <c r="S9" s="92">
        <f>S7*Assumptions!$B$25</f>
        <v>13822.255152107327</v>
      </c>
      <c r="T9" s="92">
        <f>T7*Assumptions!$B$25</f>
        <v>13753.14387634679</v>
      </c>
      <c r="U9" s="92">
        <f>U7*Assumptions!$B$25</f>
        <v>13684.378156965058</v>
      </c>
    </row>
    <row r="10" spans="1:21" ht="16" x14ac:dyDescent="0.2">
      <c r="A10" s="10" t="s">
        <v>447</v>
      </c>
      <c r="B10" s="11" t="s">
        <v>407</v>
      </c>
      <c r="C10" s="92">
        <f>C7*Assumptions!$B$26</f>
        <v>531.846</v>
      </c>
      <c r="D10" s="92">
        <f>D7*Assumptions!$B$26</f>
        <v>640.31877000000009</v>
      </c>
      <c r="E10" s="92">
        <f>E7*Assumptions!$B$26</f>
        <v>780.00117615000022</v>
      </c>
      <c r="F10" s="92">
        <f>F7*Assumptions!$B$26</f>
        <v>918.98517026925026</v>
      </c>
      <c r="G10" s="92">
        <f>G7*Assumptions!$B$26</f>
        <v>1057.2742444179039</v>
      </c>
      <c r="H10" s="92">
        <f>H7*Assumptions!$B$26</f>
        <v>1194.8718731958147</v>
      </c>
      <c r="I10" s="92">
        <f>I7*Assumptions!$B$26</f>
        <v>1331.7815138298356</v>
      </c>
      <c r="J10" s="92">
        <f>J7*Assumptions!$B$26</f>
        <v>1468.0066062606868</v>
      </c>
      <c r="K10" s="92">
        <f>K7*Assumptions!$B$26</f>
        <v>1603.5505732293834</v>
      </c>
      <c r="L10" s="92">
        <f>L7*Assumptions!$B$26</f>
        <v>1738.4168203632366</v>
      </c>
      <c r="M10" s="92">
        <f>M7*Assumptions!$B$26</f>
        <v>1872.6087362614207</v>
      </c>
      <c r="N10" s="92">
        <f>N7*Assumptions!$B$26</f>
        <v>2006.1296925801128</v>
      </c>
      <c r="O10" s="92">
        <f>O7*Assumptions!$B$26</f>
        <v>2083.4170441172123</v>
      </c>
      <c r="P10" s="92">
        <f>P7*Assumptions!$B$26</f>
        <v>2104.7519588966261</v>
      </c>
      <c r="Q10" s="92">
        <f>Q7*Assumptions!$B$26</f>
        <v>2094.2281991021432</v>
      </c>
      <c r="R10" s="92">
        <f>R7*Assumptions!$B$26</f>
        <v>2083.7570581066325</v>
      </c>
      <c r="S10" s="92">
        <f>S7*Assumptions!$B$26</f>
        <v>2073.3382728160991</v>
      </c>
      <c r="T10" s="92">
        <f>T7*Assumptions!$B$26</f>
        <v>2062.9715814520187</v>
      </c>
      <c r="U10" s="92">
        <f>U7*Assumptions!$B$26</f>
        <v>2052.6567235447587</v>
      </c>
    </row>
    <row r="11" spans="1:21" ht="20.25" customHeight="1" x14ac:dyDescent="0.2">
      <c r="A11" s="1" t="s">
        <v>448</v>
      </c>
      <c r="B11" s="8"/>
      <c r="C11" s="9"/>
      <c r="D11" s="9"/>
      <c r="E11" s="9"/>
      <c r="F11" s="9"/>
      <c r="G11" s="9"/>
      <c r="H11" s="9"/>
      <c r="I11" s="9"/>
      <c r="J11" s="9"/>
      <c r="K11" s="9"/>
      <c r="L11" s="9"/>
      <c r="M11" s="9"/>
      <c r="N11" s="9"/>
      <c r="O11" s="9"/>
      <c r="P11" s="9"/>
      <c r="Q11" s="9"/>
      <c r="R11" s="9"/>
      <c r="S11" s="9"/>
      <c r="T11" s="9"/>
      <c r="U11" s="9"/>
    </row>
    <row r="12" spans="1:21" ht="16" x14ac:dyDescent="0.2">
      <c r="A12" s="10" t="s">
        <v>449</v>
      </c>
      <c r="B12" s="11" t="s">
        <v>409</v>
      </c>
      <c r="C12" s="92">
        <f>C9*Assumptions!$B$27*(1-Assumptions!$B$31)+C7*Assumptions!$B$32*(1-Assumptions!$B$31)</f>
        <v>5717344.5000000009</v>
      </c>
      <c r="D12" s="92">
        <f>D9*Assumptions!$B$27*(1-Assumptions!$B$31)+D7*Assumptions!$B$32*(1-Assumptions!$B$31)</f>
        <v>6883426.7775000008</v>
      </c>
      <c r="E12" s="92">
        <f>E9*Assumptions!$B$27*(1-Assumptions!$B$31)+E7*Assumptions!$B$32*(1-Assumptions!$B$31)</f>
        <v>8385012.6436125021</v>
      </c>
      <c r="F12" s="92">
        <f>F9*Assumptions!$B$27*(1-Assumptions!$B$31)+F7*Assumptions!$B$32*(1-Assumptions!$B$31)</f>
        <v>9879090.5803944431</v>
      </c>
      <c r="G12" s="92">
        <f>G9*Assumptions!$B$27*(1-Assumptions!$B$31)+G7*Assumptions!$B$32*(1-Assumptions!$B$31)</f>
        <v>11365698.127492469</v>
      </c>
      <c r="H12" s="92">
        <f>H9*Assumptions!$B$27*(1-Assumptions!$B$31)+H7*Assumptions!$B$32*(1-Assumptions!$B$31)</f>
        <v>12844872.63685501</v>
      </c>
      <c r="I12" s="92">
        <f>I9*Assumptions!$B$27*(1-Assumptions!$B$31)+I7*Assumptions!$B$32*(1-Assumptions!$B$31)</f>
        <v>14316651.273670733</v>
      </c>
      <c r="J12" s="92">
        <f>J9*Assumptions!$B$27*(1-Assumptions!$B$31)+J7*Assumptions!$B$32*(1-Assumptions!$B$31)</f>
        <v>15781071.017302383</v>
      </c>
      <c r="K12" s="92">
        <f>K9*Assumptions!$B$27*(1-Assumptions!$B$31)+K7*Assumptions!$B$32*(1-Assumptions!$B$31)</f>
        <v>17238168.66221587</v>
      </c>
      <c r="L12" s="92">
        <f>L9*Assumptions!$B$27*(1-Assumptions!$B$31)+L7*Assumptions!$B$32*(1-Assumptions!$B$31)</f>
        <v>18687980.818904795</v>
      </c>
      <c r="M12" s="92">
        <f>M9*Assumptions!$B$27*(1-Assumptions!$B$31)+M7*Assumptions!$B$32*(1-Assumptions!$B$31)</f>
        <v>20130543.914810274</v>
      </c>
      <c r="N12" s="92">
        <f>N9*Assumptions!$B$27*(1-Assumptions!$B$31)+N7*Assumptions!$B$32*(1-Assumptions!$B$31)</f>
        <v>21565894.195236214</v>
      </c>
      <c r="O12" s="92">
        <f>O9*Assumptions!$B$27*(1-Assumptions!$B$31)+O7*Assumptions!$B$32*(1-Assumptions!$B$31)</f>
        <v>22396733.224260036</v>
      </c>
      <c r="P12" s="92">
        <f>P9*Assumptions!$B$27*(1-Assumptions!$B$31)+P7*Assumptions!$B$32*(1-Assumptions!$B$31)</f>
        <v>22626083.558138732</v>
      </c>
      <c r="Q12" s="92">
        <f>Q9*Assumptions!$B$27*(1-Assumptions!$B$31)+Q7*Assumptions!$B$32*(1-Assumptions!$B$31)</f>
        <v>22512953.140348043</v>
      </c>
      <c r="R12" s="92">
        <f>R9*Assumptions!$B$27*(1-Assumptions!$B$31)+R7*Assumptions!$B$32*(1-Assumptions!$B$31)</f>
        <v>22400388.374646299</v>
      </c>
      <c r="S12" s="92">
        <f>S9*Assumptions!$B$27*(1-Assumptions!$B$31)+S7*Assumptions!$B$32*(1-Assumptions!$B$31)</f>
        <v>22288386.432773069</v>
      </c>
      <c r="T12" s="92">
        <f>T9*Assumptions!$B$27*(1-Assumptions!$B$31)+T7*Assumptions!$B$32*(1-Assumptions!$B$31)</f>
        <v>22176944.5006092</v>
      </c>
      <c r="U12" s="92">
        <f>U9*Assumptions!$B$27*(1-Assumptions!$B$31)+U7*Assumptions!$B$32*(1-Assumptions!$B$31)</f>
        <v>22066059.778106157</v>
      </c>
    </row>
    <row r="13" spans="1:21" ht="16" x14ac:dyDescent="0.2">
      <c r="A13" s="10" t="s">
        <v>450</v>
      </c>
      <c r="B13" s="11" t="s">
        <v>409</v>
      </c>
      <c r="C13" s="92">
        <f>C9*Assumptions!$B$28</f>
        <v>1240974</v>
      </c>
      <c r="D13" s="92">
        <f>D9*Assumptions!$B$28</f>
        <v>1494077.1300000004</v>
      </c>
      <c r="E13" s="92">
        <f>E9*Assumptions!$B$28</f>
        <v>1820002.7443500005</v>
      </c>
      <c r="F13" s="92">
        <f>F9*Assumptions!$B$28</f>
        <v>2144298.7306282506</v>
      </c>
      <c r="G13" s="92">
        <f>G9*Assumptions!$B$28</f>
        <v>2466973.2369751092</v>
      </c>
      <c r="H13" s="92">
        <f>H9*Assumptions!$B$28</f>
        <v>2788034.3707902343</v>
      </c>
      <c r="I13" s="92">
        <f>I9*Assumptions!$B$28</f>
        <v>3107490.1989362831</v>
      </c>
      <c r="J13" s="92">
        <f>J9*Assumptions!$B$28</f>
        <v>3425348.7479416025</v>
      </c>
      <c r="K13" s="92">
        <f>K9*Assumptions!$B$28</f>
        <v>3741618.0042018946</v>
      </c>
      <c r="L13" s="92">
        <f>L9*Assumptions!$B$28</f>
        <v>4056305.9141808855</v>
      </c>
      <c r="M13" s="92">
        <f>M9*Assumptions!$B$28</f>
        <v>4369420.3846099814</v>
      </c>
      <c r="N13" s="92">
        <f>N9*Assumptions!$B$28</f>
        <v>4680969.2826869301</v>
      </c>
      <c r="O13" s="92">
        <f>O9*Assumptions!$B$28</f>
        <v>4861306.4362734957</v>
      </c>
      <c r="P13" s="92">
        <f>P9*Assumptions!$B$28</f>
        <v>4911087.9040921284</v>
      </c>
      <c r="Q13" s="92">
        <f>Q9*Assumptions!$B$28</f>
        <v>4886532.4645716678</v>
      </c>
      <c r="R13" s="92">
        <f>R9*Assumptions!$B$28</f>
        <v>4862099.8022488086</v>
      </c>
      <c r="S13" s="92">
        <f>S9*Assumptions!$B$28</f>
        <v>4837789.3032375649</v>
      </c>
      <c r="T13" s="92">
        <f>T9*Assumptions!$B$28</f>
        <v>4813600.356721377</v>
      </c>
      <c r="U13" s="92">
        <f>U9*Assumptions!$B$28</f>
        <v>4789532.3549377704</v>
      </c>
    </row>
    <row r="14" spans="1:21" ht="16" x14ac:dyDescent="0.2">
      <c r="A14" s="10" t="s">
        <v>451</v>
      </c>
      <c r="B14" s="11" t="s">
        <v>409</v>
      </c>
      <c r="C14" s="92">
        <f>C10*Assumptions!$B$29*(1-Assumptions!$B$31)</f>
        <v>1994422.5</v>
      </c>
      <c r="D14" s="92">
        <f>D10*Assumptions!$B$29*(1-Assumptions!$B$31)</f>
        <v>2401195.3875000002</v>
      </c>
      <c r="E14" s="92">
        <f>E10*Assumptions!$B$29*(1-Assumptions!$B$31)</f>
        <v>2925004.4105625008</v>
      </c>
      <c r="F14" s="92">
        <f>F10*Assumptions!$B$29*(1-Assumptions!$B$31)</f>
        <v>3446194.3885096889</v>
      </c>
      <c r="G14" s="92">
        <f>G10*Assumptions!$B$29*(1-Assumptions!$B$31)</f>
        <v>3964778.4165671398</v>
      </c>
      <c r="H14" s="92">
        <f>H10*Assumptions!$B$29*(1-Assumptions!$B$31)</f>
        <v>4480769.5244843047</v>
      </c>
      <c r="I14" s="92">
        <f>I10*Assumptions!$B$29*(1-Assumptions!$B$31)</f>
        <v>4994180.6768618841</v>
      </c>
      <c r="J14" s="92">
        <f>J10*Assumptions!$B$29*(1-Assumptions!$B$31)</f>
        <v>5505024.7734775748</v>
      </c>
      <c r="K14" s="92">
        <f>K10*Assumptions!$B$29*(1-Assumptions!$B$31)</f>
        <v>6013314.6496101879</v>
      </c>
      <c r="L14" s="92">
        <f>L10*Assumptions!$B$29*(1-Assumptions!$B$31)</f>
        <v>6519063.0763621368</v>
      </c>
      <c r="M14" s="92">
        <f>M10*Assumptions!$B$29*(1-Assumptions!$B$31)</f>
        <v>7022282.7609803276</v>
      </c>
      <c r="N14" s="92">
        <f>N10*Assumptions!$B$29*(1-Assumptions!$B$31)</f>
        <v>7522986.3471754231</v>
      </c>
      <c r="O14" s="92">
        <f>O10*Assumptions!$B$29*(1-Assumptions!$B$31)</f>
        <v>7812813.9154395461</v>
      </c>
      <c r="P14" s="92">
        <f>P10*Assumptions!$B$29*(1-Assumptions!$B$31)</f>
        <v>7892819.8458623476</v>
      </c>
      <c r="Q14" s="92">
        <f>Q10*Assumptions!$B$29*(1-Assumptions!$B$31)</f>
        <v>7853355.746633037</v>
      </c>
      <c r="R14" s="92">
        <f>R10*Assumptions!$B$29*(1-Assumptions!$B$31)</f>
        <v>7814088.967899872</v>
      </c>
      <c r="S14" s="92">
        <f>S10*Assumptions!$B$29*(1-Assumptions!$B$31)</f>
        <v>7775018.5230603721</v>
      </c>
      <c r="T14" s="92">
        <f>T10*Assumptions!$B$29*(1-Assumptions!$B$31)</f>
        <v>7736143.4304450704</v>
      </c>
      <c r="U14" s="92">
        <f>U10*Assumptions!$B$29*(1-Assumptions!$B$31)</f>
        <v>7697462.7132928446</v>
      </c>
    </row>
    <row r="15" spans="1:21" ht="16" x14ac:dyDescent="0.2">
      <c r="A15" s="10" t="s">
        <v>452</v>
      </c>
      <c r="B15" s="11" t="s">
        <v>409</v>
      </c>
      <c r="C15" s="92">
        <f>C10*Assumptions!$B$30</f>
        <v>478661.4</v>
      </c>
      <c r="D15" s="92">
        <f>D10*Assumptions!$B$30</f>
        <v>576286.89300000004</v>
      </c>
      <c r="E15" s="92">
        <f>E10*Assumptions!$B$30</f>
        <v>702001.05853500019</v>
      </c>
      <c r="F15" s="92">
        <f>F10*Assumptions!$B$30</f>
        <v>827086.65324232518</v>
      </c>
      <c r="G15" s="92">
        <f>G10*Assumptions!$B$30</f>
        <v>951546.8199761135</v>
      </c>
      <c r="H15" s="92">
        <f>H10*Assumptions!$B$30</f>
        <v>1075384.6858762333</v>
      </c>
      <c r="I15" s="92">
        <f>I10*Assumptions!$B$30</f>
        <v>1198603.362446852</v>
      </c>
      <c r="J15" s="92">
        <f>J10*Assumptions!$B$30</f>
        <v>1321205.9456346182</v>
      </c>
      <c r="K15" s="92">
        <f>K10*Assumptions!$B$30</f>
        <v>1443195.515906445</v>
      </c>
      <c r="L15" s="92">
        <f>L10*Assumptions!$B$30</f>
        <v>1564575.1383269129</v>
      </c>
      <c r="M15" s="92">
        <f>M10*Assumptions!$B$30</f>
        <v>1685347.8626352786</v>
      </c>
      <c r="N15" s="92">
        <f>N10*Assumptions!$B$30</f>
        <v>1805516.7233221014</v>
      </c>
      <c r="O15" s="92">
        <f>O10*Assumptions!$B$30</f>
        <v>1875075.339705491</v>
      </c>
      <c r="P15" s="92">
        <f>P10*Assumptions!$B$30</f>
        <v>1894276.7630069635</v>
      </c>
      <c r="Q15" s="92">
        <f>Q10*Assumptions!$B$30</f>
        <v>1884805.3791919288</v>
      </c>
      <c r="R15" s="92">
        <f>R10*Assumptions!$B$30</f>
        <v>1875381.3522959691</v>
      </c>
      <c r="S15" s="92">
        <f>S10*Assumptions!$B$30</f>
        <v>1866004.4455344891</v>
      </c>
      <c r="T15" s="92">
        <f>T10*Assumptions!$B$30</f>
        <v>1856674.4233068167</v>
      </c>
      <c r="U15" s="92">
        <f>U10*Assumptions!$B$30</f>
        <v>1847391.0511902829</v>
      </c>
    </row>
    <row r="16" spans="1:21" ht="16" x14ac:dyDescent="0.2">
      <c r="A16" s="10" t="s">
        <v>453</v>
      </c>
      <c r="B16" s="11" t="s">
        <v>409</v>
      </c>
      <c r="C16" s="92">
        <f t="shared" ref="C16:U16" si="0">SUM(C12:C15)</f>
        <v>9431402.4000000004</v>
      </c>
      <c r="D16" s="92">
        <f t="shared" si="0"/>
        <v>11354986.188000001</v>
      </c>
      <c r="E16" s="92">
        <f t="shared" si="0"/>
        <v>13832020.857060004</v>
      </c>
      <c r="F16" s="92">
        <f t="shared" si="0"/>
        <v>16296670.352774708</v>
      </c>
      <c r="G16" s="92">
        <f t="shared" si="0"/>
        <v>18748996.601010833</v>
      </c>
      <c r="H16" s="92">
        <f t="shared" si="0"/>
        <v>21189061.21800578</v>
      </c>
      <c r="I16" s="92">
        <f t="shared" si="0"/>
        <v>23616925.511915751</v>
      </c>
      <c r="J16" s="92">
        <f t="shared" si="0"/>
        <v>26032650.48435618</v>
      </c>
      <c r="K16" s="92">
        <f t="shared" si="0"/>
        <v>28436296.831934396</v>
      </c>
      <c r="L16" s="92">
        <f t="shared" si="0"/>
        <v>30827924.947774731</v>
      </c>
      <c r="M16" s="92">
        <f t="shared" si="0"/>
        <v>33207594.92303586</v>
      </c>
      <c r="N16" s="92">
        <f t="shared" si="0"/>
        <v>35575366.548420668</v>
      </c>
      <c r="O16" s="92">
        <f t="shared" si="0"/>
        <v>36945928.915678568</v>
      </c>
      <c r="P16" s="92">
        <f t="shared" si="0"/>
        <v>37324268.071100168</v>
      </c>
      <c r="Q16" s="92">
        <f t="shared" si="0"/>
        <v>37137646.730744675</v>
      </c>
      <c r="R16" s="92">
        <f t="shared" si="0"/>
        <v>36951958.497090951</v>
      </c>
      <c r="S16" s="92">
        <f t="shared" si="0"/>
        <v>36767198.704605497</v>
      </c>
      <c r="T16" s="92">
        <f t="shared" si="0"/>
        <v>36583362.711082458</v>
      </c>
      <c r="U16" s="92">
        <f t="shared" si="0"/>
        <v>36400445.897527047</v>
      </c>
    </row>
    <row r="17" spans="1:22" x14ac:dyDescent="0.2">
      <c r="A17" s="10"/>
      <c r="B17" s="11"/>
      <c r="C17" s="92">
        <f t="shared" ref="C17:U17" si="1">C16/30</f>
        <v>314380.08</v>
      </c>
      <c r="D17" s="92">
        <f t="shared" si="1"/>
        <v>378499.53960000002</v>
      </c>
      <c r="E17" s="92">
        <f t="shared" si="1"/>
        <v>461067.36190200015</v>
      </c>
      <c r="F17" s="92">
        <f t="shared" si="1"/>
        <v>543222.3450924902</v>
      </c>
      <c r="G17" s="92">
        <f t="shared" si="1"/>
        <v>624966.55336702778</v>
      </c>
      <c r="H17" s="92">
        <f t="shared" si="1"/>
        <v>706302.04060019262</v>
      </c>
      <c r="I17" s="92">
        <f t="shared" si="1"/>
        <v>787230.85039719171</v>
      </c>
      <c r="J17" s="92">
        <f t="shared" si="1"/>
        <v>867755.01614520594</v>
      </c>
      <c r="K17" s="92">
        <f t="shared" si="1"/>
        <v>947876.56106447987</v>
      </c>
      <c r="L17" s="92">
        <f t="shared" si="1"/>
        <v>1027597.4982591576</v>
      </c>
      <c r="M17" s="92">
        <f t="shared" si="1"/>
        <v>1106919.830767862</v>
      </c>
      <c r="N17" s="92">
        <f t="shared" si="1"/>
        <v>1185845.5516140223</v>
      </c>
      <c r="O17" s="92">
        <f t="shared" si="1"/>
        <v>1231530.9638559523</v>
      </c>
      <c r="P17" s="92">
        <f t="shared" si="1"/>
        <v>1244142.2690366723</v>
      </c>
      <c r="Q17" s="92">
        <f t="shared" si="1"/>
        <v>1237921.5576914891</v>
      </c>
      <c r="R17" s="92">
        <f t="shared" si="1"/>
        <v>1231731.9499030316</v>
      </c>
      <c r="S17" s="92">
        <f t="shared" si="1"/>
        <v>1225573.2901535167</v>
      </c>
      <c r="T17" s="92">
        <f t="shared" si="1"/>
        <v>1219445.4237027487</v>
      </c>
      <c r="U17" s="92">
        <f t="shared" si="1"/>
        <v>1213348.1965842349</v>
      </c>
    </row>
    <row r="18" spans="1:22" ht="18.75" customHeight="1" x14ac:dyDescent="0.2">
      <c r="A18" s="31" t="s">
        <v>454</v>
      </c>
      <c r="B18" s="44" t="s">
        <v>455</v>
      </c>
      <c r="C18" s="45"/>
      <c r="D18" s="45"/>
      <c r="E18" s="45"/>
      <c r="F18" s="46" t="s">
        <v>434</v>
      </c>
      <c r="G18" s="46" t="s">
        <v>435</v>
      </c>
      <c r="H18" s="46"/>
      <c r="I18" s="46"/>
      <c r="J18" s="46"/>
      <c r="K18" s="46"/>
      <c r="L18" s="46" t="s">
        <v>436</v>
      </c>
      <c r="M18" s="46"/>
      <c r="N18" s="46"/>
      <c r="O18" s="46"/>
      <c r="P18" s="46" t="s">
        <v>437</v>
      </c>
      <c r="Q18" s="46"/>
      <c r="R18" s="46"/>
      <c r="S18" s="46"/>
      <c r="T18" s="46" t="s">
        <v>438</v>
      </c>
      <c r="U18" s="46" t="s">
        <v>439</v>
      </c>
    </row>
    <row r="19" spans="1:22" ht="43.5" customHeight="1" x14ac:dyDescent="0.2">
      <c r="A19" s="10" t="s">
        <v>456</v>
      </c>
      <c r="B19" s="30" t="s">
        <v>457</v>
      </c>
      <c r="C19" s="12"/>
      <c r="D19" s="12"/>
      <c r="E19" s="12"/>
      <c r="F19" s="94">
        <f t="shared" ref="F19:U19" si="2">F7</f>
        <v>3063.2839008975011</v>
      </c>
      <c r="G19" s="94">
        <f t="shared" si="2"/>
        <v>3524.2474813930135</v>
      </c>
      <c r="H19" s="94">
        <f t="shared" si="2"/>
        <v>3982.906243986049</v>
      </c>
      <c r="I19" s="94">
        <f t="shared" si="2"/>
        <v>4439.271712766119</v>
      </c>
      <c r="J19" s="94">
        <f t="shared" si="2"/>
        <v>4893.3553542022892</v>
      </c>
      <c r="K19" s="94">
        <f t="shared" si="2"/>
        <v>5345.1685774312782</v>
      </c>
      <c r="L19" s="94">
        <f t="shared" si="2"/>
        <v>5794.7227345441224</v>
      </c>
      <c r="M19" s="94">
        <f t="shared" si="2"/>
        <v>6242.0291208714025</v>
      </c>
      <c r="N19" s="94">
        <f t="shared" si="2"/>
        <v>6687.098975267043</v>
      </c>
      <c r="O19" s="94">
        <f t="shared" si="2"/>
        <v>6944.7234803907086</v>
      </c>
      <c r="P19" s="94">
        <f t="shared" si="2"/>
        <v>7015.8398629887542</v>
      </c>
      <c r="Q19" s="94">
        <f t="shared" si="2"/>
        <v>6980.760663673811</v>
      </c>
      <c r="R19" s="94">
        <f t="shared" si="2"/>
        <v>6945.8568603554413</v>
      </c>
      <c r="S19" s="94">
        <f t="shared" si="2"/>
        <v>6911.1275760536637</v>
      </c>
      <c r="T19" s="94">
        <f t="shared" si="2"/>
        <v>6876.5719381733952</v>
      </c>
      <c r="U19" s="94">
        <f t="shared" si="2"/>
        <v>6842.1890784825291</v>
      </c>
    </row>
    <row r="20" spans="1:22" ht="15.75" customHeight="1" x14ac:dyDescent="0.2">
      <c r="A20" s="32" t="s">
        <v>458</v>
      </c>
      <c r="B20" s="10"/>
      <c r="C20" s="12"/>
      <c r="D20" s="12"/>
      <c r="E20" s="12"/>
      <c r="F20" s="95"/>
      <c r="G20" s="95"/>
      <c r="H20" s="95"/>
      <c r="I20" s="95"/>
      <c r="J20" s="95"/>
      <c r="K20" s="95"/>
      <c r="L20" s="95"/>
      <c r="M20" s="95"/>
      <c r="N20" s="95"/>
      <c r="O20" s="95"/>
      <c r="P20" s="95"/>
      <c r="Q20" s="95"/>
      <c r="R20" s="95"/>
      <c r="S20" s="95"/>
      <c r="T20" s="95"/>
      <c r="U20" s="95"/>
    </row>
    <row r="21" spans="1:22" ht="16" x14ac:dyDescent="0.2">
      <c r="A21" s="10" t="s">
        <v>459</v>
      </c>
      <c r="B21" s="10"/>
      <c r="C21" s="12"/>
      <c r="D21" s="12"/>
      <c r="E21" s="12"/>
      <c r="F21" s="95" t="s">
        <v>460</v>
      </c>
      <c r="G21" s="95" t="s">
        <v>460</v>
      </c>
      <c r="H21" s="95" t="s">
        <v>460</v>
      </c>
      <c r="I21" s="95" t="s">
        <v>460</v>
      </c>
      <c r="J21" s="95" t="s">
        <v>460</v>
      </c>
      <c r="K21" s="95" t="s">
        <v>460</v>
      </c>
      <c r="L21" s="95" t="s">
        <v>460</v>
      </c>
      <c r="M21" s="95" t="s">
        <v>460</v>
      </c>
      <c r="N21" s="95" t="s">
        <v>460</v>
      </c>
      <c r="O21" s="95" t="s">
        <v>460</v>
      </c>
      <c r="P21" s="95" t="s">
        <v>460</v>
      </c>
      <c r="Q21" s="95" t="s">
        <v>460</v>
      </c>
      <c r="R21" s="95" t="s">
        <v>460</v>
      </c>
      <c r="S21" s="95" t="s">
        <v>460</v>
      </c>
      <c r="T21" s="95" t="s">
        <v>460</v>
      </c>
      <c r="U21" s="95" t="s">
        <v>460</v>
      </c>
    </row>
    <row r="22" spans="1:22" ht="16" x14ac:dyDescent="0.2">
      <c r="A22" s="10" t="s">
        <v>461</v>
      </c>
      <c r="B22" s="10"/>
      <c r="C22" s="12"/>
      <c r="D22" s="12"/>
      <c r="E22" s="12"/>
      <c r="F22" s="95" t="s">
        <v>462</v>
      </c>
      <c r="G22" s="95" t="s">
        <v>462</v>
      </c>
      <c r="H22" s="95" t="s">
        <v>462</v>
      </c>
      <c r="I22" s="95" t="s">
        <v>462</v>
      </c>
      <c r="J22" s="95" t="s">
        <v>462</v>
      </c>
      <c r="K22" s="95" t="s">
        <v>462</v>
      </c>
      <c r="L22" s="95" t="s">
        <v>462</v>
      </c>
      <c r="M22" s="95" t="s">
        <v>462</v>
      </c>
      <c r="N22" s="95" t="s">
        <v>462</v>
      </c>
      <c r="O22" s="95" t="s">
        <v>462</v>
      </c>
      <c r="P22" s="95" t="s">
        <v>462</v>
      </c>
      <c r="Q22" s="95" t="s">
        <v>462</v>
      </c>
      <c r="R22" s="95" t="s">
        <v>462</v>
      </c>
      <c r="S22" s="95" t="s">
        <v>462</v>
      </c>
      <c r="T22" s="95" t="s">
        <v>462</v>
      </c>
      <c r="U22" s="95" t="s">
        <v>462</v>
      </c>
    </row>
    <row r="23" spans="1:22" ht="16" x14ac:dyDescent="0.2">
      <c r="A23" s="33" t="s">
        <v>463</v>
      </c>
      <c r="B23" s="34" t="s">
        <v>412</v>
      </c>
      <c r="C23" s="35"/>
      <c r="D23" s="35"/>
      <c r="E23" s="35"/>
      <c r="F23" s="38">
        <v>0</v>
      </c>
      <c r="G23" s="38">
        <v>1500</v>
      </c>
      <c r="H23" s="38">
        <v>1500</v>
      </c>
      <c r="I23" s="38">
        <v>1500</v>
      </c>
      <c r="J23" s="38">
        <v>1500</v>
      </c>
      <c r="K23" s="38">
        <v>1500</v>
      </c>
      <c r="L23" s="38">
        <v>0</v>
      </c>
      <c r="M23" s="38">
        <v>1500</v>
      </c>
      <c r="N23" s="38">
        <v>1500</v>
      </c>
      <c r="O23" s="38">
        <v>1500</v>
      </c>
      <c r="P23" s="38">
        <v>0</v>
      </c>
      <c r="Q23" s="38">
        <v>1500</v>
      </c>
      <c r="R23" s="38">
        <v>1500</v>
      </c>
      <c r="S23" s="38">
        <v>1500</v>
      </c>
      <c r="T23" s="38">
        <v>0</v>
      </c>
      <c r="U23" s="38">
        <v>0</v>
      </c>
    </row>
    <row r="24" spans="1:22" ht="31" customHeight="1" x14ac:dyDescent="0.2">
      <c r="A24" s="32" t="s">
        <v>464</v>
      </c>
      <c r="B24" s="10"/>
      <c r="C24" s="12"/>
      <c r="D24" s="12"/>
      <c r="E24" s="12"/>
      <c r="F24" s="95"/>
      <c r="G24" s="95"/>
      <c r="H24" s="95"/>
      <c r="I24" s="95"/>
      <c r="J24" s="95"/>
      <c r="K24" s="95"/>
      <c r="L24" s="95"/>
      <c r="M24" s="95"/>
      <c r="N24" s="95"/>
      <c r="O24" s="95"/>
      <c r="P24" s="95"/>
      <c r="Q24" s="95"/>
      <c r="R24" s="95"/>
      <c r="S24" s="95"/>
      <c r="T24" s="95"/>
      <c r="U24" s="95"/>
    </row>
    <row r="25" spans="1:22" ht="29.25" customHeight="1" x14ac:dyDescent="0.2">
      <c r="A25" s="10" t="s">
        <v>465</v>
      </c>
      <c r="B25" s="29" t="s">
        <v>466</v>
      </c>
      <c r="C25" s="12"/>
      <c r="D25" s="12"/>
      <c r="E25" s="12"/>
      <c r="F25" s="93">
        <f t="shared" ref="F25:U25" si="3">F9+F10</f>
        <v>7045.5529720642526</v>
      </c>
      <c r="G25" s="93">
        <f t="shared" si="3"/>
        <v>8105.7692072039308</v>
      </c>
      <c r="H25" s="93">
        <f t="shared" si="3"/>
        <v>9160.6843611679124</v>
      </c>
      <c r="I25" s="93">
        <f t="shared" si="3"/>
        <v>10210.324939362074</v>
      </c>
      <c r="J25" s="93">
        <f t="shared" si="3"/>
        <v>11254.717314665266</v>
      </c>
      <c r="K25" s="93">
        <f t="shared" si="3"/>
        <v>12293.887728091941</v>
      </c>
      <c r="L25" s="93">
        <f t="shared" si="3"/>
        <v>13327.862289451481</v>
      </c>
      <c r="M25" s="93">
        <f t="shared" si="3"/>
        <v>14356.666978004225</v>
      </c>
      <c r="N25" s="93">
        <f t="shared" si="3"/>
        <v>15380.327643114199</v>
      </c>
      <c r="O25" s="93">
        <f t="shared" si="3"/>
        <v>15972.864004898629</v>
      </c>
      <c r="P25" s="93">
        <f t="shared" si="3"/>
        <v>16136.431684874135</v>
      </c>
      <c r="Q25" s="93">
        <f t="shared" si="3"/>
        <v>16055.749526449765</v>
      </c>
      <c r="R25" s="93">
        <f t="shared" si="3"/>
        <v>15975.470778817515</v>
      </c>
      <c r="S25" s="93">
        <f t="shared" si="3"/>
        <v>15895.593424923427</v>
      </c>
      <c r="T25" s="93">
        <f t="shared" si="3"/>
        <v>15816.115457798809</v>
      </c>
      <c r="U25" s="93">
        <f t="shared" si="3"/>
        <v>15737.034880509817</v>
      </c>
    </row>
    <row r="26" spans="1:22" ht="43.5" customHeight="1" x14ac:dyDescent="0.2">
      <c r="A26" s="10" t="s">
        <v>467</v>
      </c>
      <c r="B26" s="30" t="s">
        <v>468</v>
      </c>
      <c r="C26" s="12"/>
      <c r="D26" s="12"/>
      <c r="E26" s="12"/>
      <c r="F26" s="93">
        <f t="shared" ref="F26:U26" si="4">F25/30</f>
        <v>234.85176573547508</v>
      </c>
      <c r="G26" s="93">
        <f t="shared" si="4"/>
        <v>270.19230690679768</v>
      </c>
      <c r="H26" s="93">
        <f t="shared" si="4"/>
        <v>305.35614537226377</v>
      </c>
      <c r="I26" s="93">
        <f t="shared" si="4"/>
        <v>340.34416464540243</v>
      </c>
      <c r="J26" s="93">
        <f t="shared" si="4"/>
        <v>375.15724382217553</v>
      </c>
      <c r="K26" s="93">
        <f t="shared" si="4"/>
        <v>409.7962576030647</v>
      </c>
      <c r="L26" s="93">
        <f t="shared" si="4"/>
        <v>444.26207631504934</v>
      </c>
      <c r="M26" s="93">
        <f t="shared" si="4"/>
        <v>478.55556593347416</v>
      </c>
      <c r="N26" s="93">
        <f t="shared" si="4"/>
        <v>512.67758810380667</v>
      </c>
      <c r="O26" s="93">
        <f t="shared" si="4"/>
        <v>532.42880016328763</v>
      </c>
      <c r="P26" s="93">
        <f t="shared" si="4"/>
        <v>537.88105616247117</v>
      </c>
      <c r="Q26" s="93">
        <f t="shared" si="4"/>
        <v>535.1916508816588</v>
      </c>
      <c r="R26" s="93">
        <f t="shared" si="4"/>
        <v>532.51569262725047</v>
      </c>
      <c r="S26" s="93">
        <f t="shared" si="4"/>
        <v>529.85311416411423</v>
      </c>
      <c r="T26" s="93">
        <f t="shared" si="4"/>
        <v>527.20384859329363</v>
      </c>
      <c r="U26" s="93">
        <f t="shared" si="4"/>
        <v>524.5678293503272</v>
      </c>
    </row>
    <row r="27" spans="1:22" ht="29.25" customHeight="1" x14ac:dyDescent="0.2">
      <c r="A27" s="10" t="s">
        <v>469</v>
      </c>
      <c r="B27" s="10" t="s">
        <v>470</v>
      </c>
      <c r="C27" s="12"/>
      <c r="D27" s="12"/>
      <c r="E27" s="12"/>
      <c r="F27" s="93">
        <v>0</v>
      </c>
      <c r="G27" s="93">
        <v>2</v>
      </c>
      <c r="H27" s="93">
        <v>3</v>
      </c>
      <c r="I27" s="93">
        <v>4</v>
      </c>
      <c r="J27" s="93">
        <v>5</v>
      </c>
      <c r="K27" s="93">
        <v>6</v>
      </c>
      <c r="L27" s="93">
        <v>0</v>
      </c>
      <c r="M27" s="93">
        <v>8</v>
      </c>
      <c r="N27" s="93">
        <v>9</v>
      </c>
      <c r="O27" s="93">
        <v>10</v>
      </c>
      <c r="P27" s="93">
        <v>0</v>
      </c>
      <c r="Q27" s="93">
        <v>12</v>
      </c>
      <c r="R27" s="93">
        <v>13</v>
      </c>
      <c r="S27" s="93">
        <v>14</v>
      </c>
      <c r="T27" s="93">
        <v>0</v>
      </c>
      <c r="U27" s="93">
        <v>0</v>
      </c>
    </row>
    <row r="28" spans="1:22" ht="16" x14ac:dyDescent="0.2">
      <c r="A28" s="10" t="s">
        <v>471</v>
      </c>
      <c r="B28" s="10"/>
      <c r="C28" s="12"/>
      <c r="D28" s="12"/>
      <c r="E28" s="12"/>
      <c r="F28" s="93">
        <f t="shared" ref="F28:U28" si="5">(F12+F14)/F25</f>
        <v>1891.3043478260872</v>
      </c>
      <c r="G28" s="93">
        <f t="shared" si="5"/>
        <v>1891.304347826087</v>
      </c>
      <c r="H28" s="93">
        <f t="shared" si="5"/>
        <v>1891.304347826087</v>
      </c>
      <c r="I28" s="93">
        <f t="shared" si="5"/>
        <v>1891.3043478260868</v>
      </c>
      <c r="J28" s="93">
        <f t="shared" si="5"/>
        <v>1891.3043478260865</v>
      </c>
      <c r="K28" s="93">
        <f t="shared" si="5"/>
        <v>1891.3043478260868</v>
      </c>
      <c r="L28" s="93">
        <f t="shared" si="5"/>
        <v>1891.304347826087</v>
      </c>
      <c r="M28" s="93">
        <f t="shared" si="5"/>
        <v>1891.304347826087</v>
      </c>
      <c r="N28" s="93">
        <f t="shared" si="5"/>
        <v>1891.304347826087</v>
      </c>
      <c r="O28" s="93">
        <f t="shared" si="5"/>
        <v>1891.304347826087</v>
      </c>
      <c r="P28" s="93">
        <f t="shared" si="5"/>
        <v>1891.304347826087</v>
      </c>
      <c r="Q28" s="93">
        <f t="shared" si="5"/>
        <v>1891.3043478260872</v>
      </c>
      <c r="R28" s="93">
        <f t="shared" si="5"/>
        <v>1891.3043478260872</v>
      </c>
      <c r="S28" s="93">
        <f t="shared" si="5"/>
        <v>1891.3043478260872</v>
      </c>
      <c r="T28" s="93">
        <f t="shared" si="5"/>
        <v>1891.304347826087</v>
      </c>
      <c r="U28" s="93">
        <f t="shared" si="5"/>
        <v>1891.304347826087</v>
      </c>
    </row>
    <row r="29" spans="1:22" ht="16" x14ac:dyDescent="0.2">
      <c r="A29" s="10" t="s">
        <v>472</v>
      </c>
      <c r="B29" s="11"/>
      <c r="C29" s="12"/>
      <c r="D29" s="12"/>
      <c r="E29" s="12"/>
      <c r="F29" s="93">
        <f t="shared" ref="F29:U29" si="6">(F13+F15)/F25</f>
        <v>421.73913043478251</v>
      </c>
      <c r="G29" s="93">
        <f t="shared" si="6"/>
        <v>421.73913043478262</v>
      </c>
      <c r="H29" s="93">
        <f t="shared" si="6"/>
        <v>421.73913043478262</v>
      </c>
      <c r="I29" s="93">
        <f t="shared" si="6"/>
        <v>421.73913043478262</v>
      </c>
      <c r="J29" s="93">
        <f t="shared" si="6"/>
        <v>421.73913043478257</v>
      </c>
      <c r="K29" s="93">
        <f t="shared" si="6"/>
        <v>421.73913043478257</v>
      </c>
      <c r="L29" s="93">
        <f t="shared" si="6"/>
        <v>421.73913043478257</v>
      </c>
      <c r="M29" s="93">
        <f t="shared" si="6"/>
        <v>421.73913043478257</v>
      </c>
      <c r="N29" s="93">
        <f t="shared" si="6"/>
        <v>421.73913043478257</v>
      </c>
      <c r="O29" s="93">
        <f t="shared" si="6"/>
        <v>421.73913043478257</v>
      </c>
      <c r="P29" s="93">
        <f t="shared" si="6"/>
        <v>421.73913043478262</v>
      </c>
      <c r="Q29" s="93">
        <f t="shared" si="6"/>
        <v>421.73913043478262</v>
      </c>
      <c r="R29" s="93">
        <f t="shared" si="6"/>
        <v>421.73913043478262</v>
      </c>
      <c r="S29" s="93">
        <f t="shared" si="6"/>
        <v>421.73913043478262</v>
      </c>
      <c r="T29" s="93">
        <f t="shared" si="6"/>
        <v>421.73913043478268</v>
      </c>
      <c r="U29" s="93">
        <f t="shared" si="6"/>
        <v>421.73913043478262</v>
      </c>
    </row>
    <row r="30" spans="1:22" ht="16" x14ac:dyDescent="0.2">
      <c r="A30" s="10" t="s">
        <v>473</v>
      </c>
      <c r="B30" s="11"/>
      <c r="C30" s="12"/>
      <c r="D30" s="12"/>
      <c r="E30" s="12"/>
      <c r="F30" s="93">
        <v>0</v>
      </c>
      <c r="G30" s="93">
        <v>301</v>
      </c>
      <c r="H30" s="93">
        <v>302</v>
      </c>
      <c r="I30" s="93">
        <v>303</v>
      </c>
      <c r="J30" s="93">
        <v>304</v>
      </c>
      <c r="K30" s="93">
        <v>305</v>
      </c>
      <c r="L30" s="93">
        <v>0</v>
      </c>
      <c r="M30" s="93">
        <v>307</v>
      </c>
      <c r="N30" s="93">
        <v>308</v>
      </c>
      <c r="O30" s="93">
        <v>309</v>
      </c>
      <c r="P30" s="93">
        <v>0</v>
      </c>
      <c r="Q30" s="93">
        <v>311</v>
      </c>
      <c r="R30" s="93">
        <v>312</v>
      </c>
      <c r="S30" s="93">
        <v>313</v>
      </c>
      <c r="T30" s="93">
        <v>0</v>
      </c>
      <c r="U30" s="93">
        <v>0</v>
      </c>
    </row>
    <row r="31" spans="1:22" ht="16" x14ac:dyDescent="0.2">
      <c r="A31" s="33" t="s">
        <v>474</v>
      </c>
      <c r="B31" s="34" t="s">
        <v>412</v>
      </c>
      <c r="C31" s="35"/>
      <c r="D31" s="35"/>
      <c r="E31" s="35"/>
      <c r="F31" s="96">
        <v>0</v>
      </c>
      <c r="G31" s="96"/>
      <c r="H31" s="96"/>
      <c r="I31" s="96"/>
      <c r="J31" s="96"/>
      <c r="K31" s="96"/>
      <c r="L31" s="96">
        <v>0</v>
      </c>
      <c r="M31" s="96"/>
      <c r="N31" s="96"/>
      <c r="O31" s="96"/>
      <c r="P31" s="96">
        <v>0</v>
      </c>
      <c r="Q31" s="96"/>
      <c r="R31" s="96"/>
      <c r="S31" s="96"/>
      <c r="T31" s="96">
        <v>0</v>
      </c>
      <c r="U31" s="96">
        <v>0</v>
      </c>
    </row>
    <row r="32" spans="1:22" x14ac:dyDescent="0.2">
      <c r="A32" s="33"/>
      <c r="B32" s="34"/>
      <c r="C32" s="35"/>
      <c r="D32" s="35"/>
      <c r="E32" s="35"/>
      <c r="F32" s="38"/>
      <c r="G32" s="38"/>
      <c r="H32" s="38"/>
      <c r="I32" s="38"/>
      <c r="J32" s="38"/>
      <c r="K32" s="38"/>
      <c r="L32" s="38"/>
      <c r="M32" s="38"/>
      <c r="N32" s="38"/>
      <c r="O32" s="38"/>
      <c r="P32" s="38"/>
      <c r="Q32" s="38"/>
      <c r="R32" s="38"/>
      <c r="S32" s="38"/>
      <c r="T32" s="38"/>
      <c r="U32" s="38"/>
      <c r="V32" s="42"/>
    </row>
    <row r="33" spans="1:22" ht="15.75" customHeight="1" x14ac:dyDescent="0.2">
      <c r="A33" s="32" t="s">
        <v>475</v>
      </c>
      <c r="B33" s="11"/>
      <c r="C33" s="12"/>
      <c r="D33" s="12"/>
      <c r="E33" s="12"/>
      <c r="F33" s="37"/>
      <c r="G33" s="37"/>
      <c r="H33" s="37"/>
      <c r="I33" s="37"/>
      <c r="J33" s="37"/>
      <c r="K33" s="37"/>
      <c r="L33" s="37"/>
      <c r="M33" s="37"/>
      <c r="N33" s="37"/>
      <c r="O33" s="37"/>
      <c r="P33" s="37"/>
      <c r="Q33" s="37"/>
      <c r="R33" s="37"/>
      <c r="S33" s="37"/>
      <c r="T33" s="37"/>
      <c r="U33" s="37"/>
    </row>
    <row r="34" spans="1:22" ht="16" x14ac:dyDescent="0.2">
      <c r="A34" s="10" t="s">
        <v>476</v>
      </c>
      <c r="B34" s="11"/>
      <c r="C34" s="12"/>
      <c r="D34" s="28" t="s">
        <v>477</v>
      </c>
      <c r="E34" s="12"/>
      <c r="F34" s="37" t="s">
        <v>285</v>
      </c>
      <c r="G34" s="37" t="s">
        <v>478</v>
      </c>
      <c r="H34" s="37" t="s">
        <v>478</v>
      </c>
      <c r="I34" s="37" t="s">
        <v>478</v>
      </c>
      <c r="J34" s="37" t="s">
        <v>478</v>
      </c>
      <c r="K34" s="37" t="s">
        <v>478</v>
      </c>
      <c r="L34" s="37" t="s">
        <v>285</v>
      </c>
      <c r="M34" s="37" t="s">
        <v>478</v>
      </c>
      <c r="N34" s="37" t="s">
        <v>478</v>
      </c>
      <c r="O34" s="37" t="s">
        <v>478</v>
      </c>
      <c r="P34" s="37" t="s">
        <v>285</v>
      </c>
      <c r="Q34" s="37" t="s">
        <v>478</v>
      </c>
      <c r="R34" s="37" t="s">
        <v>478</v>
      </c>
      <c r="S34" s="37" t="s">
        <v>478</v>
      </c>
      <c r="T34" s="37" t="s">
        <v>285</v>
      </c>
      <c r="U34" s="37" t="s">
        <v>285</v>
      </c>
    </row>
    <row r="35" spans="1:22" ht="29.25" customHeight="1" x14ac:dyDescent="0.2">
      <c r="A35" s="10" t="s">
        <v>479</v>
      </c>
      <c r="B35" s="27" t="s">
        <v>480</v>
      </c>
      <c r="C35" s="12"/>
      <c r="D35" s="12"/>
      <c r="E35" s="12"/>
      <c r="F35" s="95">
        <v>0</v>
      </c>
      <c r="G35" s="95">
        <v>501</v>
      </c>
      <c r="H35" s="95">
        <v>502</v>
      </c>
      <c r="I35" s="95">
        <v>503</v>
      </c>
      <c r="J35" s="95">
        <v>504</v>
      </c>
      <c r="K35" s="95">
        <v>505</v>
      </c>
      <c r="L35" s="95">
        <v>0</v>
      </c>
      <c r="M35" s="95">
        <v>507</v>
      </c>
      <c r="N35" s="95">
        <v>508</v>
      </c>
      <c r="O35" s="95">
        <v>509</v>
      </c>
      <c r="P35" s="95">
        <v>0</v>
      </c>
      <c r="Q35" s="95">
        <v>511</v>
      </c>
      <c r="R35" s="95">
        <v>512</v>
      </c>
      <c r="S35" s="95">
        <v>513</v>
      </c>
      <c r="T35" s="95">
        <v>0</v>
      </c>
      <c r="U35" s="95">
        <v>0</v>
      </c>
    </row>
    <row r="36" spans="1:22" ht="16" x14ac:dyDescent="0.2">
      <c r="A36" s="33" t="s">
        <v>481</v>
      </c>
      <c r="B36" s="34" t="s">
        <v>412</v>
      </c>
      <c r="C36" s="35"/>
      <c r="D36" s="35"/>
      <c r="E36" s="35"/>
      <c r="F36" s="38">
        <v>0</v>
      </c>
      <c r="G36" s="38"/>
      <c r="H36" s="38"/>
      <c r="I36" s="38"/>
      <c r="J36" s="38"/>
      <c r="K36" s="38"/>
      <c r="L36" s="38">
        <v>0</v>
      </c>
      <c r="M36" s="38"/>
      <c r="N36" s="38"/>
      <c r="O36" s="38"/>
      <c r="P36" s="38">
        <v>0</v>
      </c>
      <c r="Q36" s="38"/>
      <c r="R36" s="38"/>
      <c r="S36" s="38"/>
      <c r="T36" s="38">
        <v>0</v>
      </c>
      <c r="U36" s="38">
        <v>0</v>
      </c>
    </row>
    <row r="37" spans="1:22" ht="15.75" customHeight="1" x14ac:dyDescent="0.2">
      <c r="A37" s="32" t="s">
        <v>482</v>
      </c>
      <c r="B37" s="11" t="s">
        <v>483</v>
      </c>
      <c r="C37" s="12"/>
      <c r="D37" s="12"/>
      <c r="E37" s="12"/>
      <c r="F37" s="95"/>
      <c r="G37" s="95"/>
      <c r="H37" s="95"/>
      <c r="I37" s="95"/>
      <c r="J37" s="95"/>
      <c r="K37" s="95"/>
      <c r="L37" s="95"/>
      <c r="M37" s="95"/>
      <c r="N37" s="95"/>
      <c r="O37" s="95"/>
      <c r="P37" s="95"/>
      <c r="Q37" s="95"/>
      <c r="R37" s="95"/>
      <c r="S37" s="95"/>
      <c r="T37" s="95"/>
      <c r="U37" s="95"/>
    </row>
    <row r="38" spans="1:22" ht="15.75" customHeight="1" x14ac:dyDescent="0.2">
      <c r="A38" s="32" t="s">
        <v>484</v>
      </c>
      <c r="B38" s="11"/>
      <c r="C38" s="12"/>
      <c r="D38" s="12"/>
      <c r="E38" s="12"/>
      <c r="F38" s="95"/>
      <c r="G38" s="95"/>
      <c r="H38" s="95"/>
      <c r="I38" s="95"/>
      <c r="J38" s="95"/>
      <c r="K38" s="95"/>
      <c r="L38" s="95"/>
      <c r="M38" s="95"/>
      <c r="N38" s="95"/>
      <c r="O38" s="95"/>
      <c r="P38" s="95"/>
      <c r="Q38" s="95"/>
      <c r="R38" s="95"/>
      <c r="S38" s="95"/>
      <c r="T38" s="95"/>
      <c r="U38" s="95"/>
    </row>
    <row r="39" spans="1:22" ht="29.25" customHeight="1" x14ac:dyDescent="0.2">
      <c r="A39" s="32" t="s">
        <v>485</v>
      </c>
      <c r="B39" s="11" t="s">
        <v>486</v>
      </c>
      <c r="C39" s="12"/>
      <c r="D39" s="12"/>
      <c r="E39" s="12"/>
      <c r="F39" s="93">
        <f t="shared" ref="F39:U39" si="7">F19*3</f>
        <v>9189.8517026925037</v>
      </c>
      <c r="G39" s="93">
        <f t="shared" si="7"/>
        <v>10572.742444179041</v>
      </c>
      <c r="H39" s="93">
        <f t="shared" si="7"/>
        <v>11948.718731958146</v>
      </c>
      <c r="I39" s="93">
        <f t="shared" si="7"/>
        <v>13317.815138298356</v>
      </c>
      <c r="J39" s="93">
        <f t="shared" si="7"/>
        <v>14680.066062606867</v>
      </c>
      <c r="K39" s="93">
        <f t="shared" si="7"/>
        <v>16035.505732293834</v>
      </c>
      <c r="L39" s="93">
        <f t="shared" si="7"/>
        <v>17384.168203632369</v>
      </c>
      <c r="M39" s="93">
        <f t="shared" si="7"/>
        <v>18726.087362614206</v>
      </c>
      <c r="N39" s="93">
        <f t="shared" si="7"/>
        <v>20061.296925801129</v>
      </c>
      <c r="O39" s="93">
        <f t="shared" si="7"/>
        <v>20834.170441172126</v>
      </c>
      <c r="P39" s="93">
        <f t="shared" si="7"/>
        <v>21047.519588966265</v>
      </c>
      <c r="Q39" s="93">
        <f t="shared" si="7"/>
        <v>20942.281991021431</v>
      </c>
      <c r="R39" s="93">
        <f t="shared" si="7"/>
        <v>20837.570581066324</v>
      </c>
      <c r="S39" s="93">
        <f t="shared" si="7"/>
        <v>20733.382728160992</v>
      </c>
      <c r="T39" s="93">
        <f t="shared" si="7"/>
        <v>20629.715814520187</v>
      </c>
      <c r="U39" s="93">
        <f t="shared" si="7"/>
        <v>20526.567235447586</v>
      </c>
    </row>
    <row r="40" spans="1:22" ht="16" x14ac:dyDescent="0.2">
      <c r="A40" s="10" t="s">
        <v>487</v>
      </c>
      <c r="C40" s="12"/>
      <c r="D40" s="12"/>
      <c r="E40" s="12"/>
      <c r="F40" s="95">
        <v>0</v>
      </c>
      <c r="G40" s="95">
        <v>4</v>
      </c>
      <c r="H40" s="95">
        <v>5</v>
      </c>
      <c r="I40" s="95">
        <v>6</v>
      </c>
      <c r="J40" s="95">
        <v>7</v>
      </c>
      <c r="K40" s="95">
        <v>8</v>
      </c>
      <c r="L40" s="95">
        <v>0</v>
      </c>
      <c r="M40" s="95">
        <v>10</v>
      </c>
      <c r="N40" s="95">
        <v>11</v>
      </c>
      <c r="O40" s="95">
        <v>12</v>
      </c>
      <c r="P40" s="95">
        <v>0</v>
      </c>
      <c r="Q40" s="95">
        <v>14</v>
      </c>
      <c r="R40" s="95">
        <v>15</v>
      </c>
      <c r="S40" s="95">
        <v>16</v>
      </c>
      <c r="T40" s="95">
        <v>0</v>
      </c>
      <c r="U40" s="95">
        <v>0</v>
      </c>
    </row>
    <row r="41" spans="1:22" ht="29.25" customHeight="1" x14ac:dyDescent="0.2">
      <c r="A41" s="10" t="s">
        <v>488</v>
      </c>
      <c r="B41" s="11" t="s">
        <v>489</v>
      </c>
      <c r="C41" s="12"/>
      <c r="D41" s="12"/>
      <c r="E41" s="12"/>
      <c r="F41" s="93">
        <f t="shared" ref="F41:U41" si="8">(F12+F15)/F39/3</f>
        <v>388.33333333333343</v>
      </c>
      <c r="G41" s="93">
        <f t="shared" si="8"/>
        <v>388.33333333333331</v>
      </c>
      <c r="H41" s="93">
        <f t="shared" si="8"/>
        <v>388.33333333333343</v>
      </c>
      <c r="I41" s="93">
        <f t="shared" si="8"/>
        <v>388.33333333333331</v>
      </c>
      <c r="J41" s="93">
        <f t="shared" si="8"/>
        <v>388.33333333333331</v>
      </c>
      <c r="K41" s="93">
        <f t="shared" si="8"/>
        <v>388.33333333333331</v>
      </c>
      <c r="L41" s="93">
        <f t="shared" si="8"/>
        <v>388.33333333333326</v>
      </c>
      <c r="M41" s="93">
        <f t="shared" si="8"/>
        <v>388.33333333333331</v>
      </c>
      <c r="N41" s="93">
        <f t="shared" si="8"/>
        <v>388.33333333333331</v>
      </c>
      <c r="O41" s="93">
        <f t="shared" si="8"/>
        <v>388.33333333333331</v>
      </c>
      <c r="P41" s="93">
        <f t="shared" si="8"/>
        <v>388.33333333333326</v>
      </c>
      <c r="Q41" s="93">
        <f t="shared" si="8"/>
        <v>388.33333333333343</v>
      </c>
      <c r="R41" s="93">
        <f t="shared" si="8"/>
        <v>388.33333333333331</v>
      </c>
      <c r="S41" s="93">
        <f t="shared" si="8"/>
        <v>388.33333333333343</v>
      </c>
      <c r="T41" s="93">
        <f t="shared" si="8"/>
        <v>388.33333333333331</v>
      </c>
      <c r="U41" s="93">
        <f t="shared" si="8"/>
        <v>388.33333333333331</v>
      </c>
    </row>
    <row r="42" spans="1:22" ht="29.25" customHeight="1" x14ac:dyDescent="0.2">
      <c r="A42" s="10" t="s">
        <v>490</v>
      </c>
      <c r="B42" s="11" t="s">
        <v>489</v>
      </c>
      <c r="C42" s="12"/>
      <c r="D42" s="12"/>
      <c r="E42" s="12"/>
      <c r="F42" s="93">
        <f t="shared" ref="F42:U42" si="9">IFERROR((F13+F15)/F39/F40,0)</f>
        <v>0</v>
      </c>
      <c r="G42" s="93">
        <f t="shared" si="9"/>
        <v>80.833333333333329</v>
      </c>
      <c r="H42" s="93">
        <f t="shared" si="9"/>
        <v>64.666666666666657</v>
      </c>
      <c r="I42" s="93">
        <f t="shared" si="9"/>
        <v>53.888888888888893</v>
      </c>
      <c r="J42" s="93">
        <f t="shared" si="9"/>
        <v>46.19047619047619</v>
      </c>
      <c r="K42" s="93">
        <f t="shared" si="9"/>
        <v>40.416666666666664</v>
      </c>
      <c r="L42" s="93">
        <f t="shared" si="9"/>
        <v>0</v>
      </c>
      <c r="M42" s="93">
        <f t="shared" si="9"/>
        <v>32.333333333333329</v>
      </c>
      <c r="N42" s="93">
        <f t="shared" si="9"/>
        <v>29.393939393939391</v>
      </c>
      <c r="O42" s="93">
        <f t="shared" si="9"/>
        <v>26.944444444444439</v>
      </c>
      <c r="P42" s="93">
        <f t="shared" si="9"/>
        <v>0</v>
      </c>
      <c r="Q42" s="93">
        <f t="shared" si="9"/>
        <v>23.095238095238098</v>
      </c>
      <c r="R42" s="93">
        <f t="shared" si="9"/>
        <v>21.555555555555554</v>
      </c>
      <c r="S42" s="93">
        <f t="shared" si="9"/>
        <v>20.208333333333332</v>
      </c>
      <c r="T42" s="93">
        <f t="shared" si="9"/>
        <v>0</v>
      </c>
      <c r="U42" s="93">
        <f t="shared" si="9"/>
        <v>0</v>
      </c>
    </row>
    <row r="43" spans="1:22" ht="16" x14ac:dyDescent="0.2">
      <c r="A43" s="33" t="s">
        <v>491</v>
      </c>
      <c r="B43" s="34" t="s">
        <v>412</v>
      </c>
      <c r="C43" s="35"/>
      <c r="D43" s="35"/>
      <c r="E43" s="35"/>
      <c r="F43" s="96">
        <v>0</v>
      </c>
      <c r="G43" s="96"/>
      <c r="H43" s="96"/>
      <c r="I43" s="96"/>
      <c r="J43" s="96"/>
      <c r="K43" s="96"/>
      <c r="L43" s="96">
        <v>0</v>
      </c>
      <c r="M43" s="96"/>
      <c r="N43" s="96"/>
      <c r="O43" s="96"/>
      <c r="P43" s="96">
        <v>0</v>
      </c>
      <c r="Q43" s="96"/>
      <c r="R43" s="96"/>
      <c r="S43" s="96"/>
      <c r="T43" s="96">
        <v>0</v>
      </c>
      <c r="U43" s="96">
        <v>0</v>
      </c>
    </row>
    <row r="44" spans="1:22" ht="16" x14ac:dyDescent="0.2">
      <c r="A44" s="10" t="s">
        <v>492</v>
      </c>
      <c r="B44" s="11"/>
      <c r="C44" s="12"/>
      <c r="D44" s="12"/>
      <c r="E44" s="12"/>
      <c r="F44" s="93">
        <f t="shared" ref="F44:U44" si="10">F23+F31+F36+F43</f>
        <v>0</v>
      </c>
      <c r="G44" s="93">
        <f t="shared" si="10"/>
        <v>1500</v>
      </c>
      <c r="H44" s="93">
        <f t="shared" si="10"/>
        <v>1500</v>
      </c>
      <c r="I44" s="93">
        <f t="shared" si="10"/>
        <v>1500</v>
      </c>
      <c r="J44" s="93">
        <f t="shared" si="10"/>
        <v>1500</v>
      </c>
      <c r="K44" s="93">
        <f t="shared" si="10"/>
        <v>1500</v>
      </c>
      <c r="L44" s="93">
        <f t="shared" si="10"/>
        <v>0</v>
      </c>
      <c r="M44" s="93">
        <f t="shared" si="10"/>
        <v>1500</v>
      </c>
      <c r="N44" s="93">
        <f t="shared" si="10"/>
        <v>1500</v>
      </c>
      <c r="O44" s="93">
        <f t="shared" si="10"/>
        <v>1500</v>
      </c>
      <c r="P44" s="93">
        <f t="shared" si="10"/>
        <v>0</v>
      </c>
      <c r="Q44" s="93">
        <f t="shared" si="10"/>
        <v>1500</v>
      </c>
      <c r="R44" s="93">
        <f t="shared" si="10"/>
        <v>1500</v>
      </c>
      <c r="S44" s="93">
        <f t="shared" si="10"/>
        <v>1500</v>
      </c>
      <c r="T44" s="93">
        <f t="shared" si="10"/>
        <v>0</v>
      </c>
      <c r="U44" s="93">
        <f t="shared" si="10"/>
        <v>0</v>
      </c>
    </row>
    <row r="45" spans="1:22" ht="29.25" customHeight="1" x14ac:dyDescent="0.2">
      <c r="A45" s="39" t="s">
        <v>1110</v>
      </c>
      <c r="B45" s="40" t="s">
        <v>412</v>
      </c>
      <c r="C45" s="39"/>
      <c r="D45" s="39"/>
      <c r="E45" s="39"/>
      <c r="F45" s="97">
        <f t="shared" ref="F45:U45" si="11">F44*12</f>
        <v>0</v>
      </c>
      <c r="G45" s="97">
        <f t="shared" si="11"/>
        <v>18000</v>
      </c>
      <c r="H45" s="97">
        <f t="shared" si="11"/>
        <v>18000</v>
      </c>
      <c r="I45" s="97">
        <f t="shared" si="11"/>
        <v>18000</v>
      </c>
      <c r="J45" s="97">
        <f t="shared" si="11"/>
        <v>18000</v>
      </c>
      <c r="K45" s="97">
        <f t="shared" si="11"/>
        <v>18000</v>
      </c>
      <c r="L45" s="97">
        <f t="shared" si="11"/>
        <v>0</v>
      </c>
      <c r="M45" s="97">
        <f t="shared" si="11"/>
        <v>18000</v>
      </c>
      <c r="N45" s="97">
        <f t="shared" si="11"/>
        <v>18000</v>
      </c>
      <c r="O45" s="97">
        <f t="shared" si="11"/>
        <v>18000</v>
      </c>
      <c r="P45" s="97">
        <f t="shared" si="11"/>
        <v>0</v>
      </c>
      <c r="Q45" s="97">
        <f t="shared" si="11"/>
        <v>18000</v>
      </c>
      <c r="R45" s="97">
        <f t="shared" si="11"/>
        <v>18000</v>
      </c>
      <c r="S45" s="97">
        <f t="shared" si="11"/>
        <v>18000</v>
      </c>
      <c r="T45" s="97">
        <f t="shared" si="11"/>
        <v>0</v>
      </c>
      <c r="U45" s="97">
        <f t="shared" si="11"/>
        <v>0</v>
      </c>
    </row>
    <row r="46" spans="1:22" ht="29.25" customHeight="1" x14ac:dyDescent="0.2">
      <c r="A46" s="47" t="s">
        <v>1111</v>
      </c>
      <c r="B46" s="48"/>
      <c r="C46" s="36"/>
      <c r="D46" s="36"/>
      <c r="E46" s="36"/>
      <c r="F46" s="98">
        <f t="shared" ref="F46:U46" si="12">F45</f>
        <v>0</v>
      </c>
      <c r="G46" s="98">
        <f t="shared" si="12"/>
        <v>18000</v>
      </c>
      <c r="H46" s="98">
        <f t="shared" si="12"/>
        <v>18000</v>
      </c>
      <c r="I46" s="98">
        <f t="shared" si="12"/>
        <v>18000</v>
      </c>
      <c r="J46" s="98">
        <f t="shared" si="12"/>
        <v>18000</v>
      </c>
      <c r="K46" s="98">
        <f t="shared" si="12"/>
        <v>18000</v>
      </c>
      <c r="L46" s="98">
        <f t="shared" si="12"/>
        <v>0</v>
      </c>
      <c r="M46" s="98">
        <f t="shared" si="12"/>
        <v>18000</v>
      </c>
      <c r="N46" s="98">
        <f t="shared" si="12"/>
        <v>18000</v>
      </c>
      <c r="O46" s="98">
        <f t="shared" si="12"/>
        <v>18000</v>
      </c>
      <c r="P46" s="98">
        <f t="shared" si="12"/>
        <v>0</v>
      </c>
      <c r="Q46" s="98">
        <f t="shared" si="12"/>
        <v>18000</v>
      </c>
      <c r="R46" s="98">
        <f t="shared" si="12"/>
        <v>18000</v>
      </c>
      <c r="S46" s="98">
        <f t="shared" si="12"/>
        <v>18000</v>
      </c>
      <c r="T46" s="98">
        <f t="shared" si="12"/>
        <v>0</v>
      </c>
      <c r="U46" s="98">
        <f t="shared" si="12"/>
        <v>0</v>
      </c>
      <c r="V46" s="43"/>
    </row>
    <row r="47" spans="1:22" ht="20.25" customHeight="1" x14ac:dyDescent="0.2">
      <c r="A47" s="1" t="s">
        <v>493</v>
      </c>
      <c r="B47" s="8"/>
      <c r="C47" s="9"/>
      <c r="D47" s="9"/>
      <c r="E47" s="9"/>
      <c r="F47" s="9"/>
      <c r="G47" s="9"/>
      <c r="H47" s="9"/>
      <c r="I47" s="9"/>
      <c r="J47" s="9"/>
      <c r="K47" s="9"/>
      <c r="L47" s="9"/>
      <c r="M47" s="9"/>
      <c r="N47" s="9"/>
      <c r="O47" s="9"/>
      <c r="P47" s="9"/>
      <c r="Q47" s="9"/>
      <c r="R47" s="9"/>
      <c r="S47" s="9"/>
      <c r="T47" s="9"/>
      <c r="U47" s="9"/>
    </row>
    <row r="48" spans="1:22" ht="16" customHeight="1" x14ac:dyDescent="0.2">
      <c r="A48" s="7" t="s">
        <v>494</v>
      </c>
      <c r="B48" s="11" t="s">
        <v>412</v>
      </c>
      <c r="C48" s="13">
        <f>(C12/1000000)*Assumptions!$B$34+(C13/1000000)*Assumptions!$B$35</f>
        <v>4.2724962000000009</v>
      </c>
      <c r="D48" s="13">
        <f>(D12/1000000)*Assumptions!$B$34+(D13/1000000)*Assumptions!$B$35</f>
        <v>5.1438941190000014</v>
      </c>
      <c r="E48" s="13">
        <f>(E12/1000000)*Assumptions!$B$34+(E13/1000000)*Assumptions!$B$35</f>
        <v>6.2660094484050015</v>
      </c>
      <c r="F48" s="99">
        <f>(F12/1000000)*Assumptions!$B$34+(F13/1000000)*Assumptions!$B$35</f>
        <v>7.3825142011629792</v>
      </c>
      <c r="G48" s="100">
        <f>(G12/1000000)*Assumptions!$B$34+(G13/1000000)*Assumptions!$B$35</f>
        <v>8.4934364301571623</v>
      </c>
      <c r="H48" s="99">
        <f>(H12/1000000)*Assumptions!$B$34+(H13/1000000)*Assumptions!$B$35</f>
        <v>9.5988040480063788</v>
      </c>
      <c r="I48" s="99">
        <f>(I12/1000000)*Assumptions!$B$34+(I13/1000000)*Assumptions!$B$35</f>
        <v>10.698644827766348</v>
      </c>
      <c r="J48" s="99">
        <f>(J12/1000000)*Assumptions!$B$34+(J13/1000000)*Assumptions!$B$35</f>
        <v>11.792986403627518</v>
      </c>
      <c r="K48" s="99">
        <f>(K12/1000000)*Assumptions!$B$34+(K13/1000000)*Assumptions!$B$35</f>
        <v>12.881856271609379</v>
      </c>
      <c r="L48" s="99">
        <f>(L12/1000000)*Assumptions!$B$34+(L13/1000000)*Assumptions!$B$35</f>
        <v>13.965281790251336</v>
      </c>
      <c r="M48" s="99">
        <f>(M12/1000000)*Assumptions!$B$34+(M13/1000000)*Assumptions!$B$35</f>
        <v>15.04329018130008</v>
      </c>
      <c r="N48" s="99">
        <f>(N12/1000000)*Assumptions!$B$34+(N13/1000000)*Assumptions!$B$35</f>
        <v>16.115908530393575</v>
      </c>
      <c r="O48" s="99">
        <f>(O12/1000000)*Assumptions!$B$34+(O13/1000000)*Assumptions!$B$35</f>
        <v>16.736783587741606</v>
      </c>
      <c r="P48" s="99">
        <f>(P12/1000000)*Assumptions!$B$34+(P13/1000000)*Assumptions!$B$35</f>
        <v>16.908174069802897</v>
      </c>
      <c r="Q48" s="99">
        <f>(Q12/1000000)*Assumptions!$B$34+(Q13/1000000)*Assumptions!$B$35</f>
        <v>16.823633199453887</v>
      </c>
      <c r="R48" s="99">
        <f>(R12/1000000)*Assumptions!$B$34+(R13/1000000)*Assumptions!$B$35</f>
        <v>16.739515033456613</v>
      </c>
      <c r="S48" s="99">
        <f>(S12/1000000)*Assumptions!$B$34+(S13/1000000)*Assumptions!$B$35</f>
        <v>16.655817458289334</v>
      </c>
      <c r="T48" s="99">
        <f>(T12/1000000)*Assumptions!$B$34+(T13/1000000)*Assumptions!$B$35</f>
        <v>16.572538370997883</v>
      </c>
      <c r="U48" s="99">
        <f>(U12/1000000)*Assumptions!$B$34+(U13/1000000)*Assumptions!$B$35</f>
        <v>16.489675679142895</v>
      </c>
    </row>
    <row r="49" spans="1:21" ht="16" x14ac:dyDescent="0.2">
      <c r="A49" s="7" t="s">
        <v>495</v>
      </c>
      <c r="B49" s="11" t="s">
        <v>412</v>
      </c>
      <c r="C49" s="13">
        <f>(C14/1000000)*Assumptions!$B$36+(C15/1000000)*Assumptions!$B$37</f>
        <v>7.8181361999999996</v>
      </c>
      <c r="D49" s="13">
        <f>(D14/1000000)*Assumptions!$B$36+(D15/1000000)*Assumptions!$B$37</f>
        <v>9.4126859190000012</v>
      </c>
      <c r="E49" s="13">
        <f>(E14/1000000)*Assumptions!$B$36+(E15/1000000)*Assumptions!$B$37</f>
        <v>11.466017289405002</v>
      </c>
      <c r="F49" s="99">
        <f>(F14/1000000)*Assumptions!$B$36+(F15/1000000)*Assumptions!$B$37</f>
        <v>13.50908200295798</v>
      </c>
      <c r="G49" s="100">
        <f>(G14/1000000)*Assumptions!$B$36+(G15/1000000)*Assumptions!$B$37</f>
        <v>15.541931392943187</v>
      </c>
      <c r="H49" s="99">
        <f>(H14/1000000)*Assumptions!$B$36+(H15/1000000)*Assumptions!$B$37</f>
        <v>17.564616535978473</v>
      </c>
      <c r="I49" s="99">
        <f>(I14/1000000)*Assumptions!$B$36+(I15/1000000)*Assumptions!$B$37</f>
        <v>19.577188253298583</v>
      </c>
      <c r="J49" s="99">
        <f>(J14/1000000)*Assumptions!$B$36+(J15/1000000)*Assumptions!$B$37</f>
        <v>21.579697112032093</v>
      </c>
      <c r="K49" s="99">
        <f>(K14/1000000)*Assumptions!$B$36+(K15/1000000)*Assumptions!$B$37</f>
        <v>23.572193426471934</v>
      </c>
      <c r="L49" s="99">
        <f>(L14/1000000)*Assumptions!$B$36+(L15/1000000)*Assumptions!$B$37</f>
        <v>25.554727259339579</v>
      </c>
      <c r="M49" s="99">
        <f>(M14/1000000)*Assumptions!$B$36+(M15/1000000)*Assumptions!$B$37</f>
        <v>27.527348423042884</v>
      </c>
      <c r="N49" s="99">
        <f>(N14/1000000)*Assumptions!$B$36+(N15/1000000)*Assumptions!$B$37</f>
        <v>29.490106480927658</v>
      </c>
      <c r="O49" s="99">
        <f>(O14/1000000)*Assumptions!$B$36+(O15/1000000)*Assumptions!$B$37</f>
        <v>30.626230548523019</v>
      </c>
      <c r="P49" s="99">
        <f>(P14/1000000)*Assumptions!$B$36+(P15/1000000)*Assumptions!$B$37</f>
        <v>30.939853795780401</v>
      </c>
      <c r="Q49" s="99">
        <f>(Q14/1000000)*Assumptions!$B$36+(Q15/1000000)*Assumptions!$B$37</f>
        <v>30.785154526801506</v>
      </c>
      <c r="R49" s="99">
        <f>(R14/1000000)*Assumptions!$B$36+(R15/1000000)*Assumptions!$B$37</f>
        <v>30.631228754167498</v>
      </c>
      <c r="S49" s="99">
        <f>(S14/1000000)*Assumptions!$B$36+(S15/1000000)*Assumptions!$B$37</f>
        <v>30.478072610396659</v>
      </c>
      <c r="T49" s="99">
        <f>(T14/1000000)*Assumptions!$B$36+(T15/1000000)*Assumptions!$B$37</f>
        <v>30.325682247344673</v>
      </c>
      <c r="U49" s="99">
        <f>(U14/1000000)*Assumptions!$B$36+(U15/1000000)*Assumptions!$B$37</f>
        <v>30.174053836107952</v>
      </c>
    </row>
    <row r="50" spans="1:21" ht="16" x14ac:dyDescent="0.2">
      <c r="A50" s="80" t="s">
        <v>411</v>
      </c>
      <c r="B50" s="81" t="s">
        <v>412</v>
      </c>
      <c r="C50" s="82">
        <f t="shared" ref="C50:U50" si="13">SUM(C48:C49)</f>
        <v>12.090632400000001</v>
      </c>
      <c r="D50" s="82">
        <f t="shared" si="13"/>
        <v>14.556580038000003</v>
      </c>
      <c r="E50" s="82">
        <f t="shared" si="13"/>
        <v>17.732026737810003</v>
      </c>
      <c r="F50" s="101">
        <f t="shared" si="13"/>
        <v>20.891596204120958</v>
      </c>
      <c r="G50" s="102">
        <f t="shared" si="13"/>
        <v>24.035367823100351</v>
      </c>
      <c r="H50" s="101">
        <f t="shared" si="13"/>
        <v>27.163420583984852</v>
      </c>
      <c r="I50" s="101">
        <f t="shared" si="13"/>
        <v>30.275833081064931</v>
      </c>
      <c r="J50" s="101">
        <f t="shared" si="13"/>
        <v>33.37268351565961</v>
      </c>
      <c r="K50" s="101">
        <f t="shared" si="13"/>
        <v>36.454049698081313</v>
      </c>
      <c r="L50" s="101">
        <f t="shared" si="13"/>
        <v>39.520009049590911</v>
      </c>
      <c r="M50" s="101">
        <f t="shared" si="13"/>
        <v>42.57063860434296</v>
      </c>
      <c r="N50" s="101">
        <f t="shared" si="13"/>
        <v>45.606015011321233</v>
      </c>
      <c r="O50" s="101">
        <f t="shared" si="13"/>
        <v>47.363014136264624</v>
      </c>
      <c r="P50" s="101">
        <f t="shared" si="13"/>
        <v>47.848027865583298</v>
      </c>
      <c r="Q50" s="101">
        <f t="shared" si="13"/>
        <v>47.608787726255393</v>
      </c>
      <c r="R50" s="101">
        <f t="shared" si="13"/>
        <v>47.370743787624107</v>
      </c>
      <c r="S50" s="101">
        <f t="shared" si="13"/>
        <v>47.133890068685993</v>
      </c>
      <c r="T50" s="101">
        <f t="shared" si="13"/>
        <v>46.898220618342556</v>
      </c>
      <c r="U50" s="101">
        <f t="shared" si="13"/>
        <v>46.66372951525085</v>
      </c>
    </row>
    <row r="51" spans="1:21" ht="20.25" customHeight="1" x14ac:dyDescent="0.2">
      <c r="A51" s="1" t="s">
        <v>496</v>
      </c>
      <c r="B51" s="8" t="s">
        <v>497</v>
      </c>
      <c r="C51" s="9"/>
      <c r="D51" s="9"/>
      <c r="E51" s="9"/>
      <c r="F51" s="9"/>
      <c r="G51" s="9"/>
      <c r="H51" s="9"/>
      <c r="I51" s="9"/>
      <c r="J51" s="9"/>
      <c r="K51" s="9"/>
      <c r="L51" s="9"/>
      <c r="M51" s="9"/>
      <c r="N51" s="9"/>
      <c r="O51" s="9"/>
      <c r="P51" s="9"/>
      <c r="Q51" s="9"/>
      <c r="R51" s="9"/>
      <c r="S51" s="9"/>
      <c r="T51" s="9"/>
      <c r="U51" s="9"/>
    </row>
    <row r="52" spans="1:21" ht="16" x14ac:dyDescent="0.2">
      <c r="A52" s="10" t="s">
        <v>498</v>
      </c>
      <c r="B52" s="11" t="s">
        <v>407</v>
      </c>
      <c r="C52" s="12">
        <f>CEILING(C5/10*Unit_Costs!$B$7,1)</f>
        <v>1</v>
      </c>
      <c r="D52" s="12">
        <f>CEILING(D5/10*Unit_Costs!$B$7,1)</f>
        <v>1</v>
      </c>
      <c r="E52" s="12">
        <f>CEILING(E5/10*Unit_Costs!$B$7,1)</f>
        <v>1</v>
      </c>
      <c r="F52" s="103">
        <f>CEILING(F5/10*Unit_Costs!$B$7,1)</f>
        <v>1</v>
      </c>
      <c r="G52" s="103">
        <f>CEILING(G5/10*Unit_Costs!$B$7,1)</f>
        <v>1</v>
      </c>
      <c r="H52" s="103">
        <f>CEILING(H5/10*Unit_Costs!$B$7,1)</f>
        <v>1</v>
      </c>
      <c r="I52" s="103">
        <f>CEILING(I5/10*Unit_Costs!$B$7,1)</f>
        <v>1</v>
      </c>
      <c r="J52" s="103">
        <f>CEILING(J5/10*Unit_Costs!$B$7,1)</f>
        <v>1</v>
      </c>
      <c r="K52" s="103">
        <f>CEILING(K5/10*Unit_Costs!$B$7,1)</f>
        <v>2</v>
      </c>
      <c r="L52" s="103">
        <f>CEILING(L5/10*Unit_Costs!$B$7,1)</f>
        <v>2</v>
      </c>
      <c r="M52" s="103">
        <f>CEILING(M5/10*Unit_Costs!$B$7,1)</f>
        <v>2</v>
      </c>
      <c r="N52" s="103">
        <f>CEILING(N5/10*Unit_Costs!$B$7,1)</f>
        <v>2</v>
      </c>
      <c r="O52" s="103">
        <f>CEILING(O5/10*Unit_Costs!$B$7,1)</f>
        <v>2</v>
      </c>
      <c r="P52" s="103">
        <f>CEILING(P5/10*Unit_Costs!$B$7,1)</f>
        <v>2</v>
      </c>
      <c r="Q52" s="103">
        <f>CEILING(Q5/10*Unit_Costs!$B$7,1)</f>
        <v>2</v>
      </c>
      <c r="R52" s="103">
        <f>CEILING(R5/10*Unit_Costs!$B$7,1)</f>
        <v>2</v>
      </c>
      <c r="S52" s="103">
        <f>CEILING(S5/10*Unit_Costs!$B$7,1)</f>
        <v>2</v>
      </c>
      <c r="T52" s="103">
        <f>CEILING(T5/10*Unit_Costs!$B$7,1)</f>
        <v>2</v>
      </c>
      <c r="U52" s="103">
        <f>CEILING(U5/10*Unit_Costs!$B$7,1)</f>
        <v>2</v>
      </c>
    </row>
    <row r="53" spans="1:21" ht="16" x14ac:dyDescent="0.2">
      <c r="A53" s="7" t="s">
        <v>499</v>
      </c>
      <c r="B53" s="11" t="s">
        <v>412</v>
      </c>
      <c r="C53" s="13">
        <f>C52*Unit_Costs!$B$6</f>
        <v>350</v>
      </c>
      <c r="D53" s="13">
        <f>D52*Unit_Costs!$B$6</f>
        <v>350</v>
      </c>
      <c r="E53" s="13">
        <f>E52*Unit_Costs!$B$6</f>
        <v>350</v>
      </c>
      <c r="F53" s="99">
        <f>F52*Unit_Costs!$B$6</f>
        <v>350</v>
      </c>
      <c r="G53" s="99">
        <f>G52*Unit_Costs!$B$6</f>
        <v>350</v>
      </c>
      <c r="H53" s="99">
        <f>H52*Unit_Costs!$B$6</f>
        <v>350</v>
      </c>
      <c r="I53" s="99">
        <f>I52*Unit_Costs!$B$6</f>
        <v>350</v>
      </c>
      <c r="J53" s="99">
        <f>J52*Unit_Costs!$B$6</f>
        <v>350</v>
      </c>
      <c r="K53" s="99">
        <f>K52*Unit_Costs!$B$6</f>
        <v>700</v>
      </c>
      <c r="L53" s="99">
        <f>L52*Unit_Costs!$B$6</f>
        <v>700</v>
      </c>
      <c r="M53" s="99">
        <f>M52*Unit_Costs!$B$6</f>
        <v>700</v>
      </c>
      <c r="N53" s="99">
        <f>N52*Unit_Costs!$B$6</f>
        <v>700</v>
      </c>
      <c r="O53" s="99">
        <f>O52*Unit_Costs!$B$6</f>
        <v>700</v>
      </c>
      <c r="P53" s="99">
        <f>P52*Unit_Costs!$B$6</f>
        <v>700</v>
      </c>
      <c r="Q53" s="99">
        <f>Q52*Unit_Costs!$B$6</f>
        <v>700</v>
      </c>
      <c r="R53" s="99">
        <f>R52*Unit_Costs!$B$6</f>
        <v>700</v>
      </c>
      <c r="S53" s="99">
        <f>S52*Unit_Costs!$B$6</f>
        <v>700</v>
      </c>
      <c r="T53" s="99">
        <f>T52*Unit_Costs!$B$6</f>
        <v>700</v>
      </c>
      <c r="U53" s="99">
        <f>U52*Unit_Costs!$B$6</f>
        <v>700</v>
      </c>
    </row>
    <row r="54" spans="1:21" ht="16" x14ac:dyDescent="0.2">
      <c r="A54" s="10" t="s">
        <v>500</v>
      </c>
      <c r="B54" s="11" t="s">
        <v>407</v>
      </c>
      <c r="C54" s="12">
        <f>C7*Unit_Costs!$B$8</f>
        <v>5318.4600000000009</v>
      </c>
      <c r="D54" s="12">
        <f>D7*Unit_Costs!$B$8</f>
        <v>6403.1877000000013</v>
      </c>
      <c r="E54" s="12">
        <f>E7*Unit_Costs!$B$8</f>
        <v>7800.0117615000017</v>
      </c>
      <c r="F54" s="103">
        <f>F7*Unit_Costs!$B$8</f>
        <v>9189.8517026925037</v>
      </c>
      <c r="G54" s="103">
        <f>G7*Unit_Costs!$B$8</f>
        <v>10572.742444179041</v>
      </c>
      <c r="H54" s="103">
        <f>H7*Unit_Costs!$B$8</f>
        <v>11948.718731958146</v>
      </c>
      <c r="I54" s="103">
        <f>I7*Unit_Costs!$B$8</f>
        <v>13317.815138298356</v>
      </c>
      <c r="J54" s="103">
        <f>J7*Unit_Costs!$B$8</f>
        <v>14680.066062606867</v>
      </c>
      <c r="K54" s="103">
        <f>K7*Unit_Costs!$B$8</f>
        <v>16035.505732293834</v>
      </c>
      <c r="L54" s="103">
        <f>L7*Unit_Costs!$B$8</f>
        <v>17384.168203632369</v>
      </c>
      <c r="M54" s="103">
        <f>M7*Unit_Costs!$B$8</f>
        <v>18726.087362614206</v>
      </c>
      <c r="N54" s="103">
        <f>N7*Unit_Costs!$B$8</f>
        <v>20061.296925801129</v>
      </c>
      <c r="O54" s="103">
        <f>O7*Unit_Costs!$B$8</f>
        <v>20834.170441172126</v>
      </c>
      <c r="P54" s="103">
        <f>P7*Unit_Costs!$B$8</f>
        <v>21047.519588966265</v>
      </c>
      <c r="Q54" s="103">
        <f>Q7*Unit_Costs!$B$8</f>
        <v>20942.281991021431</v>
      </c>
      <c r="R54" s="103">
        <f>R7*Unit_Costs!$B$8</f>
        <v>20837.570581066324</v>
      </c>
      <c r="S54" s="103">
        <f>S7*Unit_Costs!$B$8</f>
        <v>20733.382728160992</v>
      </c>
      <c r="T54" s="103">
        <f>T7*Unit_Costs!$B$8</f>
        <v>20629.715814520187</v>
      </c>
      <c r="U54" s="103">
        <f>U7*Unit_Costs!$B$8</f>
        <v>20526.567235447586</v>
      </c>
    </row>
    <row r="55" spans="1:21" ht="16" x14ac:dyDescent="0.2">
      <c r="A55" s="10" t="s">
        <v>501</v>
      </c>
      <c r="B55" s="11" t="s">
        <v>502</v>
      </c>
      <c r="C55" s="12">
        <f>C54*Unit_Costs!$B$9</f>
        <v>1329.6150000000002</v>
      </c>
      <c r="D55" s="12">
        <f>D54*Unit_Costs!$B$9</f>
        <v>1600.7969250000003</v>
      </c>
      <c r="E55" s="12">
        <f>E54*Unit_Costs!$B$9</f>
        <v>1950.0029403750004</v>
      </c>
      <c r="F55" s="103">
        <f>F54*Unit_Costs!$B$9</f>
        <v>2297.4629256731259</v>
      </c>
      <c r="G55" s="103">
        <f>G54*Unit_Costs!$B$9</f>
        <v>2643.1856110447602</v>
      </c>
      <c r="H55" s="103">
        <f>H54*Unit_Costs!$B$9</f>
        <v>2987.1796829895366</v>
      </c>
      <c r="I55" s="103">
        <f>I54*Unit_Costs!$B$9</f>
        <v>3329.453784574589</v>
      </c>
      <c r="J55" s="103">
        <f>J54*Unit_Costs!$B$9</f>
        <v>3670.0165156517169</v>
      </c>
      <c r="K55" s="103">
        <f>K54*Unit_Costs!$B$9</f>
        <v>4008.8764330734584</v>
      </c>
      <c r="L55" s="103">
        <f>L54*Unit_Costs!$B$9</f>
        <v>4346.0420509080923</v>
      </c>
      <c r="M55" s="103">
        <f>M54*Unit_Costs!$B$9</f>
        <v>4681.5218406535514</v>
      </c>
      <c r="N55" s="103">
        <f>N54*Unit_Costs!$B$9</f>
        <v>5015.3242314502822</v>
      </c>
      <c r="O55" s="103">
        <f>O54*Unit_Costs!$B$9</f>
        <v>5208.5426102930314</v>
      </c>
      <c r="P55" s="103">
        <f>P54*Unit_Costs!$B$9</f>
        <v>5261.8798972415661</v>
      </c>
      <c r="Q55" s="103">
        <f>Q54*Unit_Costs!$B$9</f>
        <v>5235.5704977553578</v>
      </c>
      <c r="R55" s="103">
        <f>R54*Unit_Costs!$B$9</f>
        <v>5209.392645266581</v>
      </c>
      <c r="S55" s="103">
        <f>S54*Unit_Costs!$B$9</f>
        <v>5183.345682040248</v>
      </c>
      <c r="T55" s="103">
        <f>T54*Unit_Costs!$B$9</f>
        <v>5157.4289536300466</v>
      </c>
      <c r="U55" s="103">
        <f>U54*Unit_Costs!$B$9</f>
        <v>5131.6418088618966</v>
      </c>
    </row>
    <row r="56" spans="1:21" ht="16" x14ac:dyDescent="0.2">
      <c r="A56" s="7" t="s">
        <v>503</v>
      </c>
      <c r="B56" s="11" t="s">
        <v>412</v>
      </c>
      <c r="C56" s="13">
        <f>MAX(0,C54-Unit_Costs!$B$12)/1000000*Unit_Costs!$B$10+MAX(0,C55-Unit_Costs!$B$13)*Unit_Costs!$B$11</f>
        <v>0</v>
      </c>
      <c r="D56" s="13">
        <f>MAX(0,D54-Unit_Costs!$B$12)/1000000*Unit_Costs!$B$10+MAX(0,D55-Unit_Costs!$B$13)*Unit_Costs!$B$11</f>
        <v>0</v>
      </c>
      <c r="E56" s="13">
        <f>MAX(0,E54-Unit_Costs!$B$12)/1000000*Unit_Costs!$B$10+MAX(0,E55-Unit_Costs!$B$13)*Unit_Costs!$B$11</f>
        <v>0</v>
      </c>
      <c r="F56" s="99">
        <f>MAX(0,F54-Unit_Costs!$B$12)/1000000*Unit_Costs!$B$10+MAX(0,F55-Unit_Costs!$B$13)*Unit_Costs!$B$11</f>
        <v>0</v>
      </c>
      <c r="G56" s="99">
        <f>MAX(0,G54-Unit_Costs!$B$12)/1000000*Unit_Costs!$B$10+MAX(0,G55-Unit_Costs!$B$13)*Unit_Costs!$B$11</f>
        <v>0</v>
      </c>
      <c r="H56" s="99">
        <f>MAX(0,H54-Unit_Costs!$B$12)/1000000*Unit_Costs!$B$10+MAX(0,H55-Unit_Costs!$B$13)*Unit_Costs!$B$11</f>
        <v>0</v>
      </c>
      <c r="I56" s="99">
        <f>MAX(0,I54-Unit_Costs!$B$12)/1000000*Unit_Costs!$B$10+MAX(0,I55-Unit_Costs!$B$13)*Unit_Costs!$B$11</f>
        <v>0</v>
      </c>
      <c r="J56" s="99">
        <f>MAX(0,J54-Unit_Costs!$B$12)/1000000*Unit_Costs!$B$10+MAX(0,J55-Unit_Costs!$B$13)*Unit_Costs!$B$11</f>
        <v>0</v>
      </c>
      <c r="K56" s="99">
        <f>MAX(0,K54-Unit_Costs!$B$12)/1000000*Unit_Costs!$B$10+MAX(0,K55-Unit_Costs!$B$13)*Unit_Costs!$B$11</f>
        <v>0</v>
      </c>
      <c r="L56" s="99">
        <f>MAX(0,L54-Unit_Costs!$B$12)/1000000*Unit_Costs!$B$10+MAX(0,L55-Unit_Costs!$B$13)*Unit_Costs!$B$11</f>
        <v>0</v>
      </c>
      <c r="M56" s="99">
        <f>MAX(0,M54-Unit_Costs!$B$12)/1000000*Unit_Costs!$B$10+MAX(0,M55-Unit_Costs!$B$13)*Unit_Costs!$B$11</f>
        <v>0</v>
      </c>
      <c r="N56" s="99">
        <f>MAX(0,N54-Unit_Costs!$B$12)/1000000*Unit_Costs!$B$10+MAX(0,N55-Unit_Costs!$B$13)*Unit_Costs!$B$11</f>
        <v>0</v>
      </c>
      <c r="O56" s="99">
        <f>MAX(0,O54-Unit_Costs!$B$12)/1000000*Unit_Costs!$B$10+MAX(0,O55-Unit_Costs!$B$13)*Unit_Costs!$B$11</f>
        <v>0</v>
      </c>
      <c r="P56" s="99">
        <f>MAX(0,P54-Unit_Costs!$B$12)/1000000*Unit_Costs!$B$10+MAX(0,P55-Unit_Costs!$B$13)*Unit_Costs!$B$11</f>
        <v>0</v>
      </c>
      <c r="Q56" s="99">
        <f>MAX(0,Q54-Unit_Costs!$B$12)/1000000*Unit_Costs!$B$10+MAX(0,Q55-Unit_Costs!$B$13)*Unit_Costs!$B$11</f>
        <v>0</v>
      </c>
      <c r="R56" s="99">
        <f>MAX(0,R54-Unit_Costs!$B$12)/1000000*Unit_Costs!$B$10+MAX(0,R55-Unit_Costs!$B$13)*Unit_Costs!$B$11</f>
        <v>0</v>
      </c>
      <c r="S56" s="99">
        <f>MAX(0,S54-Unit_Costs!$B$12)/1000000*Unit_Costs!$B$10+MAX(0,S55-Unit_Costs!$B$13)*Unit_Costs!$B$11</f>
        <v>0</v>
      </c>
      <c r="T56" s="99">
        <f>MAX(0,T54-Unit_Costs!$B$12)/1000000*Unit_Costs!$B$10+MAX(0,T55-Unit_Costs!$B$13)*Unit_Costs!$B$11</f>
        <v>0</v>
      </c>
      <c r="U56" s="99">
        <f>MAX(0,U54-Unit_Costs!$B$12)/1000000*Unit_Costs!$B$10+MAX(0,U55-Unit_Costs!$B$13)*Unit_Costs!$B$11</f>
        <v>0</v>
      </c>
    </row>
    <row r="57" spans="1:21" ht="16" x14ac:dyDescent="0.2">
      <c r="A57" s="10" t="s">
        <v>504</v>
      </c>
      <c r="B57" s="11" t="s">
        <v>285</v>
      </c>
      <c r="C57" s="12">
        <f>Infra_Sizing!$B$5+(C7/1000)*Unit_Costs!$B$15</f>
        <v>501.063692</v>
      </c>
      <c r="D57" s="12">
        <f>C57+(D7/1000)*Unit_Costs!$B$15</f>
        <v>502.34432953999999</v>
      </c>
      <c r="E57" s="12">
        <f>D57+(E7/1000)*Unit_Costs!$B$15</f>
        <v>503.90433189229998</v>
      </c>
      <c r="F57" s="103">
        <f>E57+(F7/1000)*Unit_Costs!$B$15</f>
        <v>505.74230223283848</v>
      </c>
      <c r="G57" s="103">
        <f>F57+(G7/1000)*Unit_Costs!$B$15</f>
        <v>507.85685072167428</v>
      </c>
      <c r="H57" s="103">
        <f>G57+(H7/1000)*Unit_Costs!$B$15</f>
        <v>510.24659446806589</v>
      </c>
      <c r="I57" s="103">
        <f>H57+(I7/1000)*Unit_Costs!$B$15</f>
        <v>512.91015749572557</v>
      </c>
      <c r="J57" s="103">
        <f>I57+(J7/1000)*Unit_Costs!$B$15</f>
        <v>515.84617070824697</v>
      </c>
      <c r="K57" s="103">
        <f>J57+(K7/1000)*Unit_Costs!$B$15</f>
        <v>519.05327185470571</v>
      </c>
      <c r="L57" s="103">
        <f>K57+(L7/1000)*Unit_Costs!$B$15</f>
        <v>522.53010549543217</v>
      </c>
      <c r="M57" s="103">
        <f>L57+(M7/1000)*Unit_Costs!$B$15</f>
        <v>526.27532296795505</v>
      </c>
      <c r="N57" s="103">
        <f>M57+(N7/1000)*Unit_Costs!$B$15</f>
        <v>530.28758235311523</v>
      </c>
      <c r="O57" s="103">
        <f>N57+(O7/1000)*Unit_Costs!$B$15</f>
        <v>534.45441644134962</v>
      </c>
      <c r="P57" s="103">
        <f>O57+(P7/1000)*Unit_Costs!$B$15</f>
        <v>538.66392035914282</v>
      </c>
      <c r="Q57" s="103">
        <f>P57+(Q7/1000)*Unit_Costs!$B$15</f>
        <v>542.85237675734709</v>
      </c>
      <c r="R57" s="103">
        <f>Q57+(R7/1000)*Unit_Costs!$B$15</f>
        <v>547.01989087356037</v>
      </c>
      <c r="S57" s="103">
        <f>R57+(S7/1000)*Unit_Costs!$B$15</f>
        <v>551.16656741919257</v>
      </c>
      <c r="T57" s="103">
        <f>S57+(T7/1000)*Unit_Costs!$B$15</f>
        <v>555.29251058209661</v>
      </c>
      <c r="U57" s="103">
        <f>T57+(U7/1000)*Unit_Costs!$B$15</f>
        <v>559.39782402918615</v>
      </c>
    </row>
    <row r="58" spans="1:21" ht="16" x14ac:dyDescent="0.2">
      <c r="A58" s="7" t="s">
        <v>275</v>
      </c>
      <c r="B58" s="11" t="s">
        <v>412</v>
      </c>
      <c r="C58" s="13">
        <f>C57*Unit_Costs!$B$14</f>
        <v>10.021273840000001</v>
      </c>
      <c r="D58" s="13">
        <f>D57*Unit_Costs!$B$14</f>
        <v>10.0468865908</v>
      </c>
      <c r="E58" s="13">
        <f>E57*Unit_Costs!$B$14</f>
        <v>10.078086637845999</v>
      </c>
      <c r="F58" s="99">
        <f>F57*Unit_Costs!$B$14</f>
        <v>10.114846044656771</v>
      </c>
      <c r="G58" s="99">
        <f>G57*Unit_Costs!$B$14</f>
        <v>10.157137014433486</v>
      </c>
      <c r="H58" s="99">
        <f>H57*Unit_Costs!$B$14</f>
        <v>10.204931889361317</v>
      </c>
      <c r="I58" s="99">
        <f>I57*Unit_Costs!$B$14</f>
        <v>10.258203149914511</v>
      </c>
      <c r="J58" s="99">
        <f>J57*Unit_Costs!$B$14</f>
        <v>10.31692341416494</v>
      </c>
      <c r="K58" s="99">
        <f>K57*Unit_Costs!$B$14</f>
        <v>10.381065437094115</v>
      </c>
      <c r="L58" s="99">
        <f>L57*Unit_Costs!$B$14</f>
        <v>10.450602109908644</v>
      </c>
      <c r="M58" s="99">
        <f>M57*Unit_Costs!$B$14</f>
        <v>10.525506459359102</v>
      </c>
      <c r="N58" s="99">
        <f>N57*Unit_Costs!$B$14</f>
        <v>10.605751647062304</v>
      </c>
      <c r="O58" s="99">
        <f>O57*Unit_Costs!$B$14</f>
        <v>10.689088328826992</v>
      </c>
      <c r="P58" s="99">
        <f>P57*Unit_Costs!$B$14</f>
        <v>10.773278407182856</v>
      </c>
      <c r="Q58" s="99">
        <f>Q57*Unit_Costs!$B$14</f>
        <v>10.857047535146942</v>
      </c>
      <c r="R58" s="99">
        <f>R57*Unit_Costs!$B$14</f>
        <v>10.940397817471208</v>
      </c>
      <c r="S58" s="99">
        <f>S57*Unit_Costs!$B$14</f>
        <v>11.023331348383852</v>
      </c>
      <c r="T58" s="99">
        <f>T57*Unit_Costs!$B$14</f>
        <v>11.105850211641933</v>
      </c>
      <c r="U58" s="99">
        <f>U57*Unit_Costs!$B$14</f>
        <v>11.187956480583724</v>
      </c>
    </row>
    <row r="59" spans="1:21" ht="16" x14ac:dyDescent="0.2">
      <c r="A59" s="10" t="s">
        <v>505</v>
      </c>
      <c r="B59" s="11" t="s">
        <v>506</v>
      </c>
      <c r="C59" s="12">
        <f>Unit_Costs!$B$18*730</f>
        <v>2920</v>
      </c>
      <c r="D59" s="12">
        <f>Unit_Costs!$B$18*730</f>
        <v>2920</v>
      </c>
      <c r="E59" s="12">
        <f>Unit_Costs!$B$18*730</f>
        <v>2920</v>
      </c>
      <c r="F59" s="103">
        <f>Unit_Costs!$B$18*730</f>
        <v>2920</v>
      </c>
      <c r="G59" s="103">
        <f>Unit_Costs!$B$18*730</f>
        <v>2920</v>
      </c>
      <c r="H59" s="103">
        <f>Unit_Costs!$B$18*730</f>
        <v>2920</v>
      </c>
      <c r="I59" s="103">
        <f>Unit_Costs!$B$18*730</f>
        <v>2920</v>
      </c>
      <c r="J59" s="103">
        <f>Unit_Costs!$B$18*730</f>
        <v>2920</v>
      </c>
      <c r="K59" s="103">
        <f>Unit_Costs!$B$18*730</f>
        <v>2920</v>
      </c>
      <c r="L59" s="103">
        <f>Unit_Costs!$B$18*730</f>
        <v>2920</v>
      </c>
      <c r="M59" s="103">
        <f>Unit_Costs!$B$18*730</f>
        <v>2920</v>
      </c>
      <c r="N59" s="103">
        <f>Unit_Costs!$B$18*730</f>
        <v>2920</v>
      </c>
      <c r="O59" s="103">
        <f>Unit_Costs!$B$18*730</f>
        <v>2920</v>
      </c>
      <c r="P59" s="103">
        <f>Unit_Costs!$B$18*730</f>
        <v>2920</v>
      </c>
      <c r="Q59" s="103">
        <f>Unit_Costs!$B$18*730</f>
        <v>2920</v>
      </c>
      <c r="R59" s="103">
        <f>Unit_Costs!$B$18*730</f>
        <v>2920</v>
      </c>
      <c r="S59" s="103">
        <f>Unit_Costs!$B$18*730</f>
        <v>2920</v>
      </c>
      <c r="T59" s="103">
        <f>Unit_Costs!$B$18*730</f>
        <v>2920</v>
      </c>
      <c r="U59" s="103">
        <f>Unit_Costs!$B$18*730</f>
        <v>2920</v>
      </c>
    </row>
    <row r="60" spans="1:21" ht="16" x14ac:dyDescent="0.2">
      <c r="A60" s="7" t="s">
        <v>507</v>
      </c>
      <c r="B60" s="11" t="s">
        <v>412</v>
      </c>
      <c r="C60" s="13">
        <f>C59*Unit_Costs!$B$16</f>
        <v>1021.9999999999999</v>
      </c>
      <c r="D60" s="13">
        <f>D59*Unit_Costs!$B$16</f>
        <v>1021.9999999999999</v>
      </c>
      <c r="E60" s="13">
        <f>E59*Unit_Costs!$B$16</f>
        <v>1021.9999999999999</v>
      </c>
      <c r="F60" s="99">
        <f>F59*Unit_Costs!$B$16</f>
        <v>1021.9999999999999</v>
      </c>
      <c r="G60" s="99">
        <f>G59*Unit_Costs!$B$16</f>
        <v>1021.9999999999999</v>
      </c>
      <c r="H60" s="99">
        <f>H59*Unit_Costs!$B$16</f>
        <v>1021.9999999999999</v>
      </c>
      <c r="I60" s="99">
        <f>I59*Unit_Costs!$B$16</f>
        <v>1021.9999999999999</v>
      </c>
      <c r="J60" s="99">
        <f>J59*Unit_Costs!$B$16</f>
        <v>1021.9999999999999</v>
      </c>
      <c r="K60" s="99">
        <f>K59*Unit_Costs!$B$16</f>
        <v>1021.9999999999999</v>
      </c>
      <c r="L60" s="99">
        <f>L59*Unit_Costs!$B$16</f>
        <v>1021.9999999999999</v>
      </c>
      <c r="M60" s="99">
        <f>M59*Unit_Costs!$B$16</f>
        <v>1021.9999999999999</v>
      </c>
      <c r="N60" s="99">
        <f>N59*Unit_Costs!$B$16</f>
        <v>1021.9999999999999</v>
      </c>
      <c r="O60" s="99">
        <f>O59*Unit_Costs!$B$16</f>
        <v>1021.9999999999999</v>
      </c>
      <c r="P60" s="99">
        <f>P59*Unit_Costs!$B$16</f>
        <v>1021.9999999999999</v>
      </c>
      <c r="Q60" s="99">
        <f>Q59*Unit_Costs!$B$16</f>
        <v>1021.9999999999999</v>
      </c>
      <c r="R60" s="99">
        <f>R59*Unit_Costs!$B$16</f>
        <v>1021.9999999999999</v>
      </c>
      <c r="S60" s="99">
        <f>S59*Unit_Costs!$B$16</f>
        <v>1021.9999999999999</v>
      </c>
      <c r="T60" s="99">
        <f>T59*Unit_Costs!$B$16</f>
        <v>1021.9999999999999</v>
      </c>
      <c r="U60" s="99">
        <f>U59*Unit_Costs!$B$16</f>
        <v>1021.9999999999999</v>
      </c>
    </row>
    <row r="61" spans="1:21" ht="16" x14ac:dyDescent="0.2">
      <c r="A61" s="10" t="s">
        <v>508</v>
      </c>
      <c r="B61" s="11" t="s">
        <v>285</v>
      </c>
      <c r="C61" s="12">
        <f>Unit_Costs!$B$19+(C7/1000)*Infra_Sizing!$B$6</f>
        <v>250.26592299999999</v>
      </c>
      <c r="D61" s="12">
        <f>C61+(D7/1000)*Infra_Sizing!$B$6</f>
        <v>250.586082385</v>
      </c>
      <c r="E61" s="12">
        <f>D61+(E7/1000)*Infra_Sizing!$B$6</f>
        <v>250.97608297307499</v>
      </c>
      <c r="F61" s="103">
        <f>E61+(F7/1000)*Infra_Sizing!$B$6</f>
        <v>251.43557555820962</v>
      </c>
      <c r="G61" s="103">
        <f>F61+(G7/1000)*Infra_Sizing!$B$6</f>
        <v>251.96421268041857</v>
      </c>
      <c r="H61" s="103">
        <f>G61+(H7/1000)*Infra_Sizing!$B$6</f>
        <v>252.56164861701649</v>
      </c>
      <c r="I61" s="103">
        <f>H61+(I7/1000)*Infra_Sizing!$B$6</f>
        <v>253.22753937393139</v>
      </c>
      <c r="J61" s="103">
        <f>I61+(J7/1000)*Infra_Sizing!$B$6</f>
        <v>253.96154267706174</v>
      </c>
      <c r="K61" s="103">
        <f>J61+(K7/1000)*Infra_Sizing!$B$6</f>
        <v>254.76331796367643</v>
      </c>
      <c r="L61" s="103">
        <f>K61+(L7/1000)*Infra_Sizing!$B$6</f>
        <v>255.63252637385804</v>
      </c>
      <c r="M61" s="103">
        <f>L61+(M7/1000)*Infra_Sizing!$B$6</f>
        <v>256.56883074198873</v>
      </c>
      <c r="N61" s="103">
        <f>M61+(N7/1000)*Infra_Sizing!$B$6</f>
        <v>257.57189558827878</v>
      </c>
      <c r="O61" s="103">
        <f>N61+(O7/1000)*Infra_Sizing!$B$6</f>
        <v>258.61360411033741</v>
      </c>
      <c r="P61" s="103">
        <f>O61+(P7/1000)*Infra_Sizing!$B$6</f>
        <v>259.66598008978571</v>
      </c>
      <c r="Q61" s="103">
        <f>P61+(Q7/1000)*Infra_Sizing!$B$6</f>
        <v>260.7130941893368</v>
      </c>
      <c r="R61" s="103">
        <f>Q61+(R7/1000)*Infra_Sizing!$B$6</f>
        <v>261.75497271839009</v>
      </c>
      <c r="S61" s="103">
        <f>R61+(S7/1000)*Infra_Sizing!$B$6</f>
        <v>262.79164185479812</v>
      </c>
      <c r="T61" s="103">
        <f>S61+(T7/1000)*Infra_Sizing!$B$6</f>
        <v>263.82312764552415</v>
      </c>
      <c r="U61" s="103">
        <f>T61+(U7/1000)*Infra_Sizing!$B$6</f>
        <v>264.84945600729651</v>
      </c>
    </row>
    <row r="62" spans="1:21" ht="16" x14ac:dyDescent="0.2">
      <c r="A62" s="7" t="s">
        <v>281</v>
      </c>
      <c r="B62" s="11" t="s">
        <v>412</v>
      </c>
      <c r="C62" s="13">
        <f>C61*Unit_Costs!$B$17</f>
        <v>30.031910759999999</v>
      </c>
      <c r="D62" s="13">
        <f>D61*Unit_Costs!$B$17</f>
        <v>30.0703298862</v>
      </c>
      <c r="E62" s="13">
        <f>E61*Unit_Costs!$B$17</f>
        <v>30.117129956768999</v>
      </c>
      <c r="F62" s="99">
        <f>F61*Unit_Costs!$B$17</f>
        <v>30.172269066985152</v>
      </c>
      <c r="G62" s="99">
        <f>G61*Unit_Costs!$B$17</f>
        <v>30.235705521650228</v>
      </c>
      <c r="H62" s="99">
        <f>H61*Unit_Costs!$B$17</f>
        <v>30.307397834041979</v>
      </c>
      <c r="I62" s="99">
        <f>I61*Unit_Costs!$B$17</f>
        <v>30.387304724871765</v>
      </c>
      <c r="J62" s="99">
        <f>J61*Unit_Costs!$B$17</f>
        <v>30.47538512124741</v>
      </c>
      <c r="K62" s="99">
        <f>K61*Unit_Costs!$B$17</f>
        <v>30.571598155641169</v>
      </c>
      <c r="L62" s="99">
        <f>L61*Unit_Costs!$B$17</f>
        <v>30.675903164862962</v>
      </c>
      <c r="M62" s="99">
        <f>M61*Unit_Costs!$B$17</f>
        <v>30.788259689038647</v>
      </c>
      <c r="N62" s="99">
        <f>N61*Unit_Costs!$B$17</f>
        <v>30.908627470593451</v>
      </c>
      <c r="O62" s="99">
        <f>O61*Unit_Costs!$B$17</f>
        <v>31.033632493240489</v>
      </c>
      <c r="P62" s="99">
        <f>P61*Unit_Costs!$B$17</f>
        <v>31.159917610774283</v>
      </c>
      <c r="Q62" s="99">
        <f>Q61*Unit_Costs!$B$17</f>
        <v>31.285571302720413</v>
      </c>
      <c r="R62" s="99">
        <f>R61*Unit_Costs!$B$17</f>
        <v>31.410596726206808</v>
      </c>
      <c r="S62" s="99">
        <f>S61*Unit_Costs!$B$17</f>
        <v>31.534997022575773</v>
      </c>
      <c r="T62" s="99">
        <f>T61*Unit_Costs!$B$17</f>
        <v>31.658775317462897</v>
      </c>
      <c r="U62" s="99">
        <f>U61*Unit_Costs!$B$17</f>
        <v>31.781934720875579</v>
      </c>
    </row>
    <row r="63" spans="1:21" ht="16" x14ac:dyDescent="0.2">
      <c r="A63" s="10" t="s">
        <v>509</v>
      </c>
      <c r="B63" s="11" t="s">
        <v>412</v>
      </c>
      <c r="C63" s="13">
        <f>SUM(Infra_Sizing!$B$7:$B$11)</f>
        <v>2000</v>
      </c>
      <c r="D63" s="13">
        <f>SUM(Infra_Sizing!$B$7:$B$11)</f>
        <v>2000</v>
      </c>
      <c r="E63" s="13">
        <f>SUM(Infra_Sizing!$B$7:$B$11)</f>
        <v>2000</v>
      </c>
      <c r="F63" s="99">
        <f>SUM(Infra_Sizing!$B$7:$B$11)</f>
        <v>2000</v>
      </c>
      <c r="G63" s="99">
        <f>SUM(Infra_Sizing!$B$7:$B$11)</f>
        <v>2000</v>
      </c>
      <c r="H63" s="99">
        <f>SUM(Infra_Sizing!$B$7:$B$11)</f>
        <v>2000</v>
      </c>
      <c r="I63" s="99">
        <f>SUM(Infra_Sizing!$B$7:$B$11)</f>
        <v>2000</v>
      </c>
      <c r="J63" s="99">
        <f>SUM(Infra_Sizing!$B$7:$B$11)</f>
        <v>2000</v>
      </c>
      <c r="K63" s="99">
        <f>SUM(Infra_Sizing!$B$7:$B$11)</f>
        <v>2000</v>
      </c>
      <c r="L63" s="99">
        <f>SUM(Infra_Sizing!$B$7:$B$11)</f>
        <v>2000</v>
      </c>
      <c r="M63" s="99">
        <f>SUM(Infra_Sizing!$B$7:$B$11)</f>
        <v>2000</v>
      </c>
      <c r="N63" s="99">
        <f>SUM(Infra_Sizing!$B$7:$B$11)</f>
        <v>2000</v>
      </c>
      <c r="O63" s="99">
        <f>SUM(Infra_Sizing!$B$7:$B$11)</f>
        <v>2000</v>
      </c>
      <c r="P63" s="99">
        <f>SUM(Infra_Sizing!$B$7:$B$11)</f>
        <v>2000</v>
      </c>
      <c r="Q63" s="99">
        <f>SUM(Infra_Sizing!$B$7:$B$11)</f>
        <v>2000</v>
      </c>
      <c r="R63" s="99">
        <f>SUM(Infra_Sizing!$B$7:$B$11)</f>
        <v>2000</v>
      </c>
      <c r="S63" s="99">
        <f>SUM(Infra_Sizing!$B$7:$B$11)</f>
        <v>2000</v>
      </c>
      <c r="T63" s="99">
        <f>SUM(Infra_Sizing!$B$7:$B$11)</f>
        <v>2000</v>
      </c>
      <c r="U63" s="99">
        <f>SUM(Infra_Sizing!$B$7:$B$11)</f>
        <v>2000</v>
      </c>
    </row>
    <row r="64" spans="1:21" ht="16" x14ac:dyDescent="0.2">
      <c r="A64" s="10" t="s">
        <v>510</v>
      </c>
      <c r="B64" s="11" t="s">
        <v>412</v>
      </c>
      <c r="C64" s="13">
        <f>Infra_Sizing!$B$12*(C53+C56+C58+C60+C62+C63)</f>
        <v>409.44638215199996</v>
      </c>
      <c r="D64" s="13">
        <f>Infra_Sizing!$B$12*(D53+D56+D58+D60+D62+D63)</f>
        <v>409.45406597723996</v>
      </c>
      <c r="E64" s="13">
        <f>Infra_Sizing!$B$12*(E53+E56+E58+E60+E62+E63)</f>
        <v>409.4634259913538</v>
      </c>
      <c r="F64" s="99">
        <f>Infra_Sizing!$B$12*(F53+F56+F58+F60+F62+F63)</f>
        <v>409.47445381339696</v>
      </c>
      <c r="G64" s="99">
        <f>Infra_Sizing!$B$12*(G53+G56+G58+G60+G62+G63)</f>
        <v>409.48714110433002</v>
      </c>
      <c r="H64" s="99">
        <f>Infra_Sizing!$B$12*(H53+H56+H58+H60+H62+H63)</f>
        <v>409.50147956680837</v>
      </c>
      <c r="I64" s="99">
        <f>Infra_Sizing!$B$12*(I53+I56+I58+I60+I62+I63)</f>
        <v>409.51746094497429</v>
      </c>
      <c r="J64" s="99">
        <f>Infra_Sizing!$B$12*(J53+J56+J58+J60+J62+J63)</f>
        <v>409.53507702424946</v>
      </c>
      <c r="K64" s="99">
        <f>Infra_Sizing!$B$12*(K53+K56+K58+K60+K62+K63)</f>
        <v>451.55431963112818</v>
      </c>
      <c r="L64" s="99">
        <f>Infra_Sizing!$B$12*(L53+L56+L58+L60+L62+L63)</f>
        <v>451.5751806329726</v>
      </c>
      <c r="M64" s="99">
        <f>Infra_Sizing!$B$12*(M53+M56+M58+M60+M62+M63)</f>
        <v>451.59765193780765</v>
      </c>
      <c r="N64" s="99">
        <f>Infra_Sizing!$B$12*(N53+N56+N58+N60+N62+N63)</f>
        <v>451.62172549411872</v>
      </c>
      <c r="O64" s="99">
        <f>Infra_Sizing!$B$12*(O53+O56+O58+O60+O62+O63)</f>
        <v>451.64672649864809</v>
      </c>
      <c r="P64" s="99">
        <f>Infra_Sizing!$B$12*(P53+P56+P58+P60+P62+P63)</f>
        <v>451.67198352215485</v>
      </c>
      <c r="Q64" s="99">
        <f>Infra_Sizing!$B$12*(Q53+Q56+Q58+Q60+Q62+Q63)</f>
        <v>451.69711426054408</v>
      </c>
      <c r="R64" s="99">
        <f>Infra_Sizing!$B$12*(R53+R56+R58+R60+R62+R63)</f>
        <v>451.72211934524137</v>
      </c>
      <c r="S64" s="99">
        <f>Infra_Sizing!$B$12*(S53+S56+S58+S60+S62+S63)</f>
        <v>451.74699940451512</v>
      </c>
      <c r="T64" s="99">
        <f>Infra_Sizing!$B$12*(T53+T56+T58+T60+T62+T63)</f>
        <v>451.77175506349255</v>
      </c>
      <c r="U64" s="99">
        <f>Infra_Sizing!$B$12*(U53+U56+U58+U60+U62+U63)</f>
        <v>451.79638694417508</v>
      </c>
    </row>
    <row r="65" spans="1:21" ht="20.25" customHeight="1" x14ac:dyDescent="0.2">
      <c r="A65" s="1" t="s">
        <v>511</v>
      </c>
      <c r="B65" s="8"/>
      <c r="C65" s="9"/>
      <c r="D65" s="9"/>
      <c r="E65" s="9"/>
      <c r="F65" s="9"/>
      <c r="G65" s="9"/>
      <c r="H65" s="9"/>
      <c r="I65" s="9"/>
      <c r="J65" s="9"/>
      <c r="K65" s="9"/>
      <c r="L65" s="9"/>
      <c r="M65" s="9"/>
      <c r="N65" s="9"/>
      <c r="O65" s="9"/>
      <c r="P65" s="9"/>
      <c r="Q65" s="9"/>
      <c r="R65" s="9"/>
      <c r="S65" s="9"/>
      <c r="T65" s="9"/>
      <c r="U65" s="9"/>
    </row>
    <row r="66" spans="1:21" ht="16" x14ac:dyDescent="0.2">
      <c r="A66" s="10" t="s">
        <v>512</v>
      </c>
      <c r="B66" s="11" t="s">
        <v>285</v>
      </c>
      <c r="C66" s="12">
        <f>(C7/1000)*Unit_Costs!$B$20</f>
        <v>0.44320500000000002</v>
      </c>
      <c r="D66" s="12">
        <f>(D7/1000)*Unit_Costs!$B$20</f>
        <v>0.53359897500000009</v>
      </c>
      <c r="E66" s="12">
        <f>(E7/1000)*Unit_Costs!$B$20</f>
        <v>0.65000098012500018</v>
      </c>
      <c r="F66" s="103">
        <f>(F7/1000)*Unit_Costs!$B$20</f>
        <v>0.76582097522437531</v>
      </c>
      <c r="G66" s="103">
        <f>(G7/1000)*Unit_Costs!$B$20</f>
        <v>0.88106187034825334</v>
      </c>
      <c r="H66" s="103">
        <f>(H7/1000)*Unit_Costs!$B$20</f>
        <v>0.99572656099651224</v>
      </c>
      <c r="I66" s="103">
        <f>(I7/1000)*Unit_Costs!$B$20</f>
        <v>1.1098179281915297</v>
      </c>
      <c r="J66" s="103">
        <f>(J7/1000)*Unit_Costs!$B$20</f>
        <v>1.2233388385505723</v>
      </c>
      <c r="K66" s="103">
        <f>(K7/1000)*Unit_Costs!$B$20</f>
        <v>1.3362921443578195</v>
      </c>
      <c r="L66" s="103">
        <f>(L7/1000)*Unit_Costs!$B$20</f>
        <v>1.4486806836360306</v>
      </c>
      <c r="M66" s="103">
        <f>(M7/1000)*Unit_Costs!$B$20</f>
        <v>1.5605072802178506</v>
      </c>
      <c r="N66" s="103">
        <f>(N7/1000)*Unit_Costs!$B$20</f>
        <v>1.6717747438167607</v>
      </c>
      <c r="O66" s="103">
        <f>(O7/1000)*Unit_Costs!$B$20</f>
        <v>1.7361808700976771</v>
      </c>
      <c r="P66" s="103">
        <f>(P7/1000)*Unit_Costs!$B$20</f>
        <v>1.7539599657471885</v>
      </c>
      <c r="Q66" s="103">
        <f>(Q7/1000)*Unit_Costs!$B$20</f>
        <v>1.7451901659184528</v>
      </c>
      <c r="R66" s="103">
        <f>(R7/1000)*Unit_Costs!$B$20</f>
        <v>1.7364642150888603</v>
      </c>
      <c r="S66" s="103">
        <f>(S7/1000)*Unit_Costs!$B$20</f>
        <v>1.727781894013416</v>
      </c>
      <c r="T66" s="103">
        <f>(T7/1000)*Unit_Costs!$B$20</f>
        <v>1.7191429845433488</v>
      </c>
      <c r="U66" s="103">
        <f>(U7/1000)*Unit_Costs!$B$20</f>
        <v>1.7105472696206323</v>
      </c>
    </row>
    <row r="67" spans="1:21" ht="16" x14ac:dyDescent="0.2">
      <c r="A67" s="10" t="s">
        <v>287</v>
      </c>
      <c r="B67" s="11" t="s">
        <v>412</v>
      </c>
      <c r="C67" s="13">
        <f>C66*Unit_Costs!$B$21</f>
        <v>1.1080125000000001</v>
      </c>
      <c r="D67" s="13">
        <f>D66*Unit_Costs!$B$21</f>
        <v>1.3339974375000003</v>
      </c>
      <c r="E67" s="13">
        <f>E66*Unit_Costs!$B$21</f>
        <v>1.6250024503125005</v>
      </c>
      <c r="F67" s="99">
        <f>F66*Unit_Costs!$B$21</f>
        <v>1.9145524380609382</v>
      </c>
      <c r="G67" s="99">
        <f>G66*Unit_Costs!$B$21</f>
        <v>2.2026546758706331</v>
      </c>
      <c r="H67" s="99">
        <f>H66*Unit_Costs!$B$21</f>
        <v>2.4893164024912808</v>
      </c>
      <c r="I67" s="99">
        <f>I66*Unit_Costs!$B$21</f>
        <v>2.7745448204788241</v>
      </c>
      <c r="J67" s="99">
        <f>J66*Unit_Costs!$B$21</f>
        <v>3.0583470963764308</v>
      </c>
      <c r="K67" s="99">
        <f>K66*Unit_Costs!$B$21</f>
        <v>3.3407303608945487</v>
      </c>
      <c r="L67" s="99">
        <f>L66*Unit_Costs!$B$21</f>
        <v>3.6217017090900767</v>
      </c>
      <c r="M67" s="99">
        <f>M66*Unit_Costs!$B$21</f>
        <v>3.9012682005446262</v>
      </c>
      <c r="N67" s="99">
        <f>N66*Unit_Costs!$B$21</f>
        <v>4.1794368595419016</v>
      </c>
      <c r="O67" s="99">
        <f>O66*Unit_Costs!$B$21</f>
        <v>4.3404521752441925</v>
      </c>
      <c r="P67" s="99">
        <f>P66*Unit_Costs!$B$21</f>
        <v>4.3848999143679714</v>
      </c>
      <c r="Q67" s="99">
        <f>Q66*Unit_Costs!$B$21</f>
        <v>4.3629754147961322</v>
      </c>
      <c r="R67" s="99">
        <f>R66*Unit_Costs!$B$21</f>
        <v>4.3411605377221507</v>
      </c>
      <c r="S67" s="99">
        <f>S66*Unit_Costs!$B$21</f>
        <v>4.3194547350335402</v>
      </c>
      <c r="T67" s="99">
        <f>T66*Unit_Costs!$B$21</f>
        <v>4.2978574613583724</v>
      </c>
      <c r="U67" s="99">
        <f>U66*Unit_Costs!$B$21</f>
        <v>4.2763681740515809</v>
      </c>
    </row>
    <row r="68" spans="1:21" ht="16" x14ac:dyDescent="0.2">
      <c r="A68" s="10" t="s">
        <v>289</v>
      </c>
      <c r="B68" s="11" t="s">
        <v>412</v>
      </c>
      <c r="C68" s="13">
        <f>Unit_Costs!$B$22</f>
        <v>500</v>
      </c>
      <c r="D68" s="13">
        <f>Unit_Costs!$B$22</f>
        <v>500</v>
      </c>
      <c r="E68" s="13">
        <f>Unit_Costs!$B$22</f>
        <v>500</v>
      </c>
      <c r="F68" s="99">
        <f>Unit_Costs!$B$22</f>
        <v>500</v>
      </c>
      <c r="G68" s="99">
        <f>Unit_Costs!$B$22</f>
        <v>500</v>
      </c>
      <c r="H68" s="99">
        <f>Unit_Costs!$B$22</f>
        <v>500</v>
      </c>
      <c r="I68" s="99">
        <f>Unit_Costs!$B$22</f>
        <v>500</v>
      </c>
      <c r="J68" s="99">
        <f>Unit_Costs!$B$22</f>
        <v>500</v>
      </c>
      <c r="K68" s="99">
        <f>Unit_Costs!$B$22</f>
        <v>500</v>
      </c>
      <c r="L68" s="99">
        <f>Unit_Costs!$B$22</f>
        <v>500</v>
      </c>
      <c r="M68" s="99">
        <f>Unit_Costs!$B$22</f>
        <v>500</v>
      </c>
      <c r="N68" s="99">
        <f>Unit_Costs!$B$22</f>
        <v>500</v>
      </c>
      <c r="O68" s="99">
        <f>Unit_Costs!$B$22</f>
        <v>500</v>
      </c>
      <c r="P68" s="99">
        <f>Unit_Costs!$B$22</f>
        <v>500</v>
      </c>
      <c r="Q68" s="99">
        <f>Unit_Costs!$B$22</f>
        <v>500</v>
      </c>
      <c r="R68" s="99">
        <f>Unit_Costs!$B$22</f>
        <v>500</v>
      </c>
      <c r="S68" s="99">
        <f>Unit_Costs!$B$22</f>
        <v>500</v>
      </c>
      <c r="T68" s="99">
        <f>Unit_Costs!$B$22</f>
        <v>500</v>
      </c>
      <c r="U68" s="99">
        <f>Unit_Costs!$B$22</f>
        <v>500</v>
      </c>
    </row>
    <row r="69" spans="1:21" ht="16" x14ac:dyDescent="0.2">
      <c r="A69" s="10" t="s">
        <v>513</v>
      </c>
      <c r="B69" s="11" t="s">
        <v>412</v>
      </c>
      <c r="C69" s="13">
        <f>Unit_Costs!$B$23*Unit_Costs!$B$24</f>
        <v>210</v>
      </c>
      <c r="D69" s="13">
        <f>Unit_Costs!$B$23*Unit_Costs!$B$24</f>
        <v>210</v>
      </c>
      <c r="E69" s="13">
        <f>Unit_Costs!$B$23*Unit_Costs!$B$24</f>
        <v>210</v>
      </c>
      <c r="F69" s="99">
        <f>Unit_Costs!$B$23*Unit_Costs!$B$24</f>
        <v>210</v>
      </c>
      <c r="G69" s="99">
        <f>Unit_Costs!$B$23*Unit_Costs!$B$24</f>
        <v>210</v>
      </c>
      <c r="H69" s="99">
        <f>Unit_Costs!$B$23*Unit_Costs!$B$24</f>
        <v>210</v>
      </c>
      <c r="I69" s="99">
        <f>Unit_Costs!$B$23*Unit_Costs!$B$24</f>
        <v>210</v>
      </c>
      <c r="J69" s="99">
        <f>Unit_Costs!$B$23*Unit_Costs!$B$24</f>
        <v>210</v>
      </c>
      <c r="K69" s="99">
        <f>Unit_Costs!$B$23*Unit_Costs!$B$24</f>
        <v>210</v>
      </c>
      <c r="L69" s="99">
        <f>Unit_Costs!$B$23*Unit_Costs!$B$24</f>
        <v>210</v>
      </c>
      <c r="M69" s="99">
        <f>Unit_Costs!$B$23*Unit_Costs!$B$24</f>
        <v>210</v>
      </c>
      <c r="N69" s="99">
        <f>Unit_Costs!$B$23*Unit_Costs!$B$24</f>
        <v>210</v>
      </c>
      <c r="O69" s="99">
        <f>Unit_Costs!$B$23*Unit_Costs!$B$24</f>
        <v>210</v>
      </c>
      <c r="P69" s="99">
        <f>Unit_Costs!$B$23*Unit_Costs!$B$24</f>
        <v>210</v>
      </c>
      <c r="Q69" s="99">
        <f>Unit_Costs!$B$23*Unit_Costs!$B$24</f>
        <v>210</v>
      </c>
      <c r="R69" s="99">
        <f>Unit_Costs!$B$23*Unit_Costs!$B$24</f>
        <v>210</v>
      </c>
      <c r="S69" s="99">
        <f>Unit_Costs!$B$23*Unit_Costs!$B$24</f>
        <v>210</v>
      </c>
      <c r="T69" s="99">
        <f>Unit_Costs!$B$23*Unit_Costs!$B$24</f>
        <v>210</v>
      </c>
      <c r="U69" s="99">
        <f>Unit_Costs!$B$23*Unit_Costs!$B$24</f>
        <v>210</v>
      </c>
    </row>
    <row r="70" spans="1:21" ht="16" x14ac:dyDescent="0.2">
      <c r="A70" s="80" t="s">
        <v>514</v>
      </c>
      <c r="B70" s="81" t="s">
        <v>412</v>
      </c>
      <c r="C70" s="82">
        <f t="shared" ref="C70:U70" si="14">SUM(C67:C69)</f>
        <v>711.10801249999997</v>
      </c>
      <c r="D70" s="82">
        <f t="shared" si="14"/>
        <v>711.33399743749999</v>
      </c>
      <c r="E70" s="82">
        <f t="shared" si="14"/>
        <v>711.62500245031242</v>
      </c>
      <c r="F70" s="101">
        <f t="shared" si="14"/>
        <v>711.91455243806092</v>
      </c>
      <c r="G70" s="101">
        <f t="shared" si="14"/>
        <v>712.20265467587069</v>
      </c>
      <c r="H70" s="101">
        <f t="shared" si="14"/>
        <v>712.48931640249134</v>
      </c>
      <c r="I70" s="101">
        <f t="shared" si="14"/>
        <v>712.77454482047881</v>
      </c>
      <c r="J70" s="101">
        <f t="shared" si="14"/>
        <v>713.05834709637645</v>
      </c>
      <c r="K70" s="101">
        <f t="shared" si="14"/>
        <v>713.34073036089455</v>
      </c>
      <c r="L70" s="101">
        <f t="shared" si="14"/>
        <v>713.62170170909008</v>
      </c>
      <c r="M70" s="101">
        <f t="shared" si="14"/>
        <v>713.90126820054456</v>
      </c>
      <c r="N70" s="101">
        <f t="shared" si="14"/>
        <v>714.17943685954197</v>
      </c>
      <c r="O70" s="101">
        <f t="shared" si="14"/>
        <v>714.3404521752442</v>
      </c>
      <c r="P70" s="101">
        <f t="shared" si="14"/>
        <v>714.38489991436791</v>
      </c>
      <c r="Q70" s="101">
        <f t="shared" si="14"/>
        <v>714.36297541479621</v>
      </c>
      <c r="R70" s="101">
        <f t="shared" si="14"/>
        <v>714.34116053772209</v>
      </c>
      <c r="S70" s="101">
        <f t="shared" si="14"/>
        <v>714.31945473503356</v>
      </c>
      <c r="T70" s="101">
        <f t="shared" si="14"/>
        <v>714.29785746135838</v>
      </c>
      <c r="U70" s="101">
        <f t="shared" si="14"/>
        <v>714.27636817405164</v>
      </c>
    </row>
    <row r="71" spans="1:21" ht="20.25" customHeight="1" x14ac:dyDescent="0.2">
      <c r="A71" s="1" t="s">
        <v>515</v>
      </c>
      <c r="B71" s="8"/>
      <c r="C71" s="9"/>
      <c r="D71" s="9"/>
      <c r="E71" s="9"/>
      <c r="F71" s="9"/>
      <c r="G71" s="9"/>
      <c r="H71" s="9"/>
      <c r="I71" s="9"/>
      <c r="J71" s="9"/>
      <c r="K71" s="9"/>
      <c r="L71" s="9"/>
      <c r="M71" s="9"/>
      <c r="N71" s="9"/>
      <c r="O71" s="9"/>
      <c r="P71" s="9"/>
      <c r="Q71" s="9"/>
      <c r="R71" s="9"/>
      <c r="S71" s="9"/>
      <c r="T71" s="9"/>
      <c r="U71" s="9"/>
    </row>
    <row r="72" spans="1:21" ht="16" x14ac:dyDescent="0.2">
      <c r="A72" s="80" t="s">
        <v>516</v>
      </c>
      <c r="B72" s="81" t="s">
        <v>412</v>
      </c>
      <c r="C72" s="82">
        <f t="shared" ref="C72:U72" si="15">C50+C53+C56+C58+C60+C62+C63+C64+C70</f>
        <v>4544.6982116520003</v>
      </c>
      <c r="D72" s="82">
        <f t="shared" si="15"/>
        <v>4547.4618599297401</v>
      </c>
      <c r="E72" s="82">
        <f t="shared" si="15"/>
        <v>4551.0156717740911</v>
      </c>
      <c r="F72" s="101">
        <f t="shared" si="15"/>
        <v>4554.5677175672199</v>
      </c>
      <c r="G72" s="101">
        <f t="shared" si="15"/>
        <v>4558.1180061393843</v>
      </c>
      <c r="H72" s="101">
        <f t="shared" si="15"/>
        <v>4561.6665462766878</v>
      </c>
      <c r="I72" s="101">
        <f t="shared" si="15"/>
        <v>4565.2133467213043</v>
      </c>
      <c r="J72" s="101">
        <f t="shared" si="15"/>
        <v>4568.7584161716977</v>
      </c>
      <c r="K72" s="101">
        <f t="shared" si="15"/>
        <v>4964.3017632828396</v>
      </c>
      <c r="L72" s="101">
        <f t="shared" si="15"/>
        <v>4967.8433966664252</v>
      </c>
      <c r="M72" s="101">
        <f t="shared" si="15"/>
        <v>4971.3833248910923</v>
      </c>
      <c r="N72" s="101">
        <f t="shared" si="15"/>
        <v>4974.9215564826372</v>
      </c>
      <c r="O72" s="101">
        <f t="shared" si="15"/>
        <v>4977.0729136322243</v>
      </c>
      <c r="P72" s="101">
        <f t="shared" si="15"/>
        <v>4977.8381073200635</v>
      </c>
      <c r="Q72" s="101">
        <f t="shared" si="15"/>
        <v>4977.8114962394629</v>
      </c>
      <c r="R72" s="101">
        <f t="shared" si="15"/>
        <v>4977.7850182142656</v>
      </c>
      <c r="S72" s="101">
        <f t="shared" si="15"/>
        <v>4977.7586725791934</v>
      </c>
      <c r="T72" s="101">
        <f t="shared" si="15"/>
        <v>4977.732458672298</v>
      </c>
      <c r="U72" s="101">
        <f t="shared" si="15"/>
        <v>4977.7063758349368</v>
      </c>
    </row>
    <row r="73" spans="1:21" ht="16" x14ac:dyDescent="0.2">
      <c r="A73" s="10" t="s">
        <v>517</v>
      </c>
      <c r="B73" s="11" t="s">
        <v>412</v>
      </c>
      <c r="C73" s="13">
        <f>Staffing!$B$15</f>
        <v>75000</v>
      </c>
      <c r="D73" s="13">
        <f>Staffing!$B$15</f>
        <v>75000</v>
      </c>
      <c r="E73" s="13">
        <f>Staffing!$B$15</f>
        <v>75000</v>
      </c>
      <c r="F73" s="99">
        <f>Staffing!$B$15</f>
        <v>75000</v>
      </c>
      <c r="G73" s="99">
        <f>Staffing!$B$15</f>
        <v>75000</v>
      </c>
      <c r="H73" s="99">
        <f>Staffing!$B$15</f>
        <v>75000</v>
      </c>
      <c r="I73" s="99">
        <f>Staffing!$B$15</f>
        <v>75000</v>
      </c>
      <c r="J73" s="99">
        <f>Staffing!$B$15</f>
        <v>75000</v>
      </c>
      <c r="K73" s="99">
        <f>Staffing!$B$15</f>
        <v>75000</v>
      </c>
      <c r="L73" s="99">
        <f>Staffing!$B$15</f>
        <v>75000</v>
      </c>
      <c r="M73" s="99">
        <f>Staffing!$B$15</f>
        <v>75000</v>
      </c>
      <c r="N73" s="99">
        <f>Staffing!$B$15</f>
        <v>75000</v>
      </c>
      <c r="O73" s="99">
        <f>Staffing!$B$15</f>
        <v>75000</v>
      </c>
      <c r="P73" s="99">
        <f>Staffing!$B$15</f>
        <v>75000</v>
      </c>
      <c r="Q73" s="99">
        <f>Staffing!$B$15</f>
        <v>75000</v>
      </c>
      <c r="R73" s="99">
        <f>Staffing!$B$15</f>
        <v>75000</v>
      </c>
      <c r="S73" s="99">
        <f>Staffing!$B$15</f>
        <v>75000</v>
      </c>
      <c r="T73" s="99">
        <f>Staffing!$B$15</f>
        <v>75000</v>
      </c>
      <c r="U73" s="99">
        <f>Staffing!$B$15</f>
        <v>75000</v>
      </c>
    </row>
    <row r="74" spans="1:21" ht="16" x14ac:dyDescent="0.2">
      <c r="A74" s="80" t="s">
        <v>518</v>
      </c>
      <c r="B74" s="81" t="s">
        <v>412</v>
      </c>
      <c r="C74" s="82">
        <f t="shared" ref="C74:U74" si="16">C72+C73</f>
        <v>79544.698211651994</v>
      </c>
      <c r="D74" s="82">
        <f t="shared" si="16"/>
        <v>79547.461859929739</v>
      </c>
      <c r="E74" s="82">
        <f t="shared" si="16"/>
        <v>79551.01567177409</v>
      </c>
      <c r="F74" s="101">
        <f t="shared" si="16"/>
        <v>79554.567717567217</v>
      </c>
      <c r="G74" s="101">
        <f t="shared" si="16"/>
        <v>79558.118006139382</v>
      </c>
      <c r="H74" s="101">
        <f t="shared" si="16"/>
        <v>79561.666546276683</v>
      </c>
      <c r="I74" s="101">
        <f t="shared" si="16"/>
        <v>79565.213346721299</v>
      </c>
      <c r="J74" s="101">
        <f t="shared" si="16"/>
        <v>79568.758416171695</v>
      </c>
      <c r="K74" s="101">
        <f t="shared" si="16"/>
        <v>79964.301763282841</v>
      </c>
      <c r="L74" s="101">
        <f t="shared" si="16"/>
        <v>79967.843396666431</v>
      </c>
      <c r="M74" s="101">
        <f t="shared" si="16"/>
        <v>79971.383324891096</v>
      </c>
      <c r="N74" s="101">
        <f t="shared" si="16"/>
        <v>79974.921556482645</v>
      </c>
      <c r="O74" s="101">
        <f t="shared" si="16"/>
        <v>79977.072913632219</v>
      </c>
      <c r="P74" s="101">
        <f t="shared" si="16"/>
        <v>79977.838107320058</v>
      </c>
      <c r="Q74" s="101">
        <f t="shared" si="16"/>
        <v>79977.811496239461</v>
      </c>
      <c r="R74" s="101">
        <f t="shared" si="16"/>
        <v>79977.785018214272</v>
      </c>
      <c r="S74" s="101">
        <f t="shared" si="16"/>
        <v>79977.758672579192</v>
      </c>
      <c r="T74" s="101">
        <f t="shared" si="16"/>
        <v>79977.732458672297</v>
      </c>
      <c r="U74" s="101">
        <f t="shared" si="16"/>
        <v>79977.70637583494</v>
      </c>
    </row>
    <row r="75" spans="1:21" ht="39.75" customHeight="1" x14ac:dyDescent="0.2">
      <c r="A75" s="47" t="s">
        <v>1112</v>
      </c>
      <c r="B75" s="48"/>
      <c r="C75" s="47"/>
      <c r="D75" s="47"/>
      <c r="E75" s="47"/>
      <c r="F75" s="104">
        <v>0</v>
      </c>
      <c r="G75" s="104"/>
      <c r="H75" s="104"/>
      <c r="I75" s="104"/>
      <c r="J75" s="104"/>
      <c r="K75" s="104"/>
      <c r="L75" s="104">
        <v>0</v>
      </c>
      <c r="M75" s="104">
        <v>50000</v>
      </c>
      <c r="N75" s="104">
        <v>50000</v>
      </c>
      <c r="O75" s="104">
        <v>50000</v>
      </c>
      <c r="P75" s="104">
        <v>0</v>
      </c>
      <c r="Q75" s="104">
        <v>50000</v>
      </c>
      <c r="R75" s="104">
        <v>50000</v>
      </c>
      <c r="S75" s="104">
        <v>50000</v>
      </c>
      <c r="T75" s="104">
        <v>0</v>
      </c>
      <c r="U75" s="104">
        <v>0</v>
      </c>
    </row>
    <row r="76" spans="1:21" ht="16" x14ac:dyDescent="0.2">
      <c r="A76" s="144" t="s">
        <v>994</v>
      </c>
      <c r="B76" s="145" t="s">
        <v>995</v>
      </c>
      <c r="C76" s="146">
        <f>C74*12</f>
        <v>954536.37853982393</v>
      </c>
      <c r="D76" s="146">
        <f t="shared" ref="D76:U76" si="17">D74*12</f>
        <v>954569.54231915693</v>
      </c>
      <c r="E76" s="146">
        <f t="shared" si="17"/>
        <v>954612.18806128902</v>
      </c>
      <c r="F76" s="147">
        <f t="shared" si="17"/>
        <v>954654.81261080666</v>
      </c>
      <c r="G76" s="147">
        <f t="shared" si="17"/>
        <v>954697.41607367259</v>
      </c>
      <c r="H76" s="147">
        <f t="shared" si="17"/>
        <v>954739.9985553202</v>
      </c>
      <c r="I76" s="147">
        <f t="shared" si="17"/>
        <v>954782.56016065553</v>
      </c>
      <c r="J76" s="147">
        <f t="shared" si="17"/>
        <v>954825.10099406028</v>
      </c>
      <c r="K76" s="147">
        <f t="shared" si="17"/>
        <v>959571.62115939404</v>
      </c>
      <c r="L76" s="147">
        <f t="shared" si="17"/>
        <v>959614.12075999717</v>
      </c>
      <c r="M76" s="147">
        <f t="shared" si="17"/>
        <v>959656.59989869315</v>
      </c>
      <c r="N76" s="147">
        <f t="shared" si="17"/>
        <v>959699.05867779173</v>
      </c>
      <c r="O76" s="147">
        <f t="shared" si="17"/>
        <v>959724.87496358668</v>
      </c>
      <c r="P76" s="147">
        <f t="shared" si="17"/>
        <v>959734.05728784064</v>
      </c>
      <c r="Q76" s="147">
        <f t="shared" si="17"/>
        <v>959733.73795487359</v>
      </c>
      <c r="R76" s="147">
        <f t="shared" si="17"/>
        <v>959733.42021857132</v>
      </c>
      <c r="S76" s="147">
        <f t="shared" si="17"/>
        <v>959733.1040709503</v>
      </c>
      <c r="T76" s="147">
        <f t="shared" si="17"/>
        <v>959732.78950406751</v>
      </c>
      <c r="U76" s="147">
        <f t="shared" si="17"/>
        <v>959732.47651001927</v>
      </c>
    </row>
    <row r="78" spans="1:21" x14ac:dyDescent="0.2">
      <c r="A78" s="129" t="s">
        <v>996</v>
      </c>
      <c r="B78" s="129" t="s">
        <v>997</v>
      </c>
      <c r="C78" s="130">
        <f>IFERROR(C76/C5,0)</f>
        <v>427404.34859992116</v>
      </c>
      <c r="D78" s="130">
        <f t="shared" ref="D78:U78" si="18">IFERROR(D76/D5,0)</f>
        <v>355012.5366587083</v>
      </c>
      <c r="E78" s="130">
        <f t="shared" si="18"/>
        <v>291450.00471281062</v>
      </c>
      <c r="F78" s="130">
        <f t="shared" si="18"/>
        <v>247383.20533347619</v>
      </c>
      <c r="G78" s="130">
        <f t="shared" si="18"/>
        <v>215035.63892162699</v>
      </c>
      <c r="H78" s="130">
        <f t="shared" si="18"/>
        <v>190281.30827773205</v>
      </c>
      <c r="I78" s="130">
        <f t="shared" si="18"/>
        <v>170727.64302216488</v>
      </c>
      <c r="J78" s="130">
        <f t="shared" si="18"/>
        <v>154891.70728591894</v>
      </c>
      <c r="K78" s="130">
        <f t="shared" si="18"/>
        <v>142504.00933891223</v>
      </c>
      <c r="L78" s="130">
        <f t="shared" si="18"/>
        <v>131454.38081416901</v>
      </c>
      <c r="M78" s="130">
        <f t="shared" si="18"/>
        <v>122039.70764129293</v>
      </c>
      <c r="N78" s="130">
        <f t="shared" si="18"/>
        <v>113922.21284537051</v>
      </c>
      <c r="O78" s="130">
        <f t="shared" si="18"/>
        <v>109699.05539035729</v>
      </c>
      <c r="P78" s="130">
        <f t="shared" si="18"/>
        <v>108588.12480798911</v>
      </c>
      <c r="Q78" s="130">
        <f t="shared" si="18"/>
        <v>109133.75746471187</v>
      </c>
      <c r="R78" s="130">
        <f t="shared" si="18"/>
        <v>109682.1319940815</v>
      </c>
      <c r="S78" s="130">
        <f t="shared" si="18"/>
        <v>110233.26217435244</v>
      </c>
      <c r="T78" s="130">
        <f t="shared" si="18"/>
        <v>110787.16185301672</v>
      </c>
      <c r="U78" s="130">
        <f t="shared" si="18"/>
        <v>111343.84494715169</v>
      </c>
    </row>
    <row r="80" spans="1:21" ht="23.25" customHeight="1" x14ac:dyDescent="0.2">
      <c r="A80" s="188" t="s">
        <v>519</v>
      </c>
      <c r="B80" s="181"/>
      <c r="C80" s="181"/>
      <c r="D80" s="181"/>
      <c r="E80" s="181"/>
      <c r="F80" s="181"/>
      <c r="G80" s="181"/>
      <c r="H80" s="181"/>
      <c r="I80" s="181"/>
      <c r="J80" s="181"/>
      <c r="K80" s="181"/>
      <c r="L80" s="181"/>
      <c r="M80" s="181"/>
      <c r="N80" s="181"/>
      <c r="O80" s="181"/>
      <c r="P80" s="181"/>
      <c r="Q80" s="181"/>
      <c r="R80" s="181"/>
      <c r="S80" s="181"/>
      <c r="T80" s="181"/>
    </row>
    <row r="81" spans="1:20" x14ac:dyDescent="0.2">
      <c r="A81" s="181"/>
      <c r="B81" s="181"/>
      <c r="C81" s="181"/>
      <c r="D81" s="181"/>
      <c r="E81" s="181"/>
      <c r="F81" s="181"/>
      <c r="G81" s="181"/>
      <c r="H81" s="181"/>
      <c r="I81" s="181"/>
      <c r="J81" s="181"/>
      <c r="K81" s="181"/>
      <c r="L81" s="181"/>
      <c r="M81" s="181"/>
      <c r="N81" s="181"/>
      <c r="O81" s="181"/>
      <c r="P81" s="181"/>
      <c r="Q81" s="181"/>
      <c r="R81" s="181"/>
      <c r="S81" s="181"/>
      <c r="T81" s="181"/>
    </row>
    <row r="82" spans="1:20" x14ac:dyDescent="0.2">
      <c r="A82" s="181"/>
      <c r="B82" s="181"/>
      <c r="C82" s="181"/>
      <c r="D82" s="181"/>
      <c r="E82" s="181"/>
      <c r="F82" s="181"/>
      <c r="G82" s="181"/>
      <c r="H82" s="181"/>
      <c r="I82" s="181"/>
      <c r="J82" s="181"/>
      <c r="K82" s="181"/>
      <c r="L82" s="181"/>
      <c r="M82" s="181"/>
      <c r="N82" s="181"/>
      <c r="O82" s="181"/>
      <c r="P82" s="181"/>
      <c r="Q82" s="181"/>
      <c r="R82" s="181"/>
      <c r="S82" s="181"/>
      <c r="T82" s="181"/>
    </row>
  </sheetData>
  <mergeCells count="2">
    <mergeCell ref="A1:T1"/>
    <mergeCell ref="A80:T82"/>
  </mergeCells>
  <pageMargins left="0.7" right="0.7" top="0.75" bottom="0.75" header="0.3" footer="0.3"/>
  <pageSetup fitToHeight="0" orientation="portrait" horizontalDpi="0" verticalDpi="0"/>
  <headerFooter>
    <oddHeader>&amp;CPwC Model For Agent Cost Estimation</oddHeader>
    <oddFooter>&amp;CPwC Model For Agent Cost Estimation</oddFooter>
  </headerFooter>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R4"/>
  <sheetViews>
    <sheetView showGridLines="0" zoomScaleNormal="100" workbookViewId="0">
      <selection activeCell="J4" sqref="J4"/>
    </sheetView>
  </sheetViews>
  <sheetFormatPr baseColWidth="10" defaultColWidth="8.83203125" defaultRowHeight="15" x14ac:dyDescent="0.2"/>
  <cols>
    <col min="1" max="14" width="14" customWidth="1"/>
    <col min="15" max="18" width="18" customWidth="1"/>
  </cols>
  <sheetData>
    <row r="1" spans="1:18" ht="24" customHeight="1" x14ac:dyDescent="0.2">
      <c r="A1" s="189" t="s">
        <v>207</v>
      </c>
      <c r="B1" s="181"/>
      <c r="C1" s="181"/>
      <c r="D1" s="181"/>
      <c r="E1" s="181"/>
      <c r="F1" s="181"/>
      <c r="G1" s="181"/>
      <c r="H1" s="181"/>
      <c r="I1" s="181"/>
      <c r="J1" s="181"/>
      <c r="K1" s="181"/>
      <c r="L1" s="181"/>
      <c r="M1" s="181"/>
      <c r="N1" s="181"/>
    </row>
    <row r="2" spans="1:18" ht="24" customHeight="1" x14ac:dyDescent="0.2">
      <c r="A2" s="193" t="s">
        <v>520</v>
      </c>
      <c r="B2" s="181"/>
      <c r="C2" s="181"/>
      <c r="D2" s="181"/>
      <c r="E2" s="181"/>
      <c r="F2" s="181"/>
      <c r="G2" s="181"/>
      <c r="H2" s="181"/>
      <c r="I2" s="181"/>
      <c r="J2" s="181"/>
      <c r="K2" s="181"/>
      <c r="L2" s="181"/>
      <c r="M2" s="181"/>
      <c r="N2" s="181"/>
      <c r="O2" s="188" t="s">
        <v>521</v>
      </c>
      <c r="P2" s="181"/>
      <c r="Q2" s="181"/>
      <c r="R2" s="181"/>
    </row>
    <row r="3" spans="1:18" x14ac:dyDescent="0.2">
      <c r="A3" s="23" t="s">
        <v>522</v>
      </c>
      <c r="O3" s="181"/>
      <c r="P3" s="181"/>
      <c r="Q3" s="181"/>
      <c r="R3" s="181"/>
    </row>
    <row r="4" spans="1:18" x14ac:dyDescent="0.2">
      <c r="O4" s="181"/>
      <c r="P4" s="181"/>
      <c r="Q4" s="181"/>
      <c r="R4" s="181"/>
    </row>
  </sheetData>
  <mergeCells count="3">
    <mergeCell ref="O2:R4"/>
    <mergeCell ref="A2:N2"/>
    <mergeCell ref="A1:N1"/>
  </mergeCells>
  <pageMargins left="0.7" right="0.7" top="0.75" bottom="0.75" header="0.3" footer="0.3"/>
  <pageSetup fitToHeight="0" orientation="portrait" horizontalDpi="0" verticalDpi="0"/>
  <headerFooter>
    <oddHeader>&amp;CPwC Model For Agent Cost Estimation</oddHeader>
    <oddFooter>&amp;CPwC Model For Agent Cost Estimation</oddFooter>
  </headerFooter>
  <drawing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R22"/>
  <sheetViews>
    <sheetView showGridLines="0" zoomScaleNormal="100" workbookViewId="0">
      <selection activeCell="E30" sqref="E30"/>
    </sheetView>
  </sheetViews>
  <sheetFormatPr baseColWidth="10" defaultColWidth="8.83203125" defaultRowHeight="15" x14ac:dyDescent="0.2"/>
  <cols>
    <col min="1" max="1" width="12" customWidth="1"/>
    <col min="2" max="8" width="14" customWidth="1"/>
    <col min="9" max="11" width="16" customWidth="1"/>
    <col min="12" max="13" width="16" hidden="1" customWidth="1"/>
    <col min="15" max="18" width="18" customWidth="1"/>
  </cols>
  <sheetData>
    <row r="1" spans="1:18" ht="24" customHeight="1" x14ac:dyDescent="0.2">
      <c r="A1" s="198" t="s">
        <v>207</v>
      </c>
      <c r="B1" s="181"/>
      <c r="C1" s="181"/>
      <c r="D1" s="181"/>
      <c r="E1" s="181"/>
      <c r="F1" s="181"/>
      <c r="G1" s="181"/>
      <c r="H1" s="181"/>
      <c r="I1" s="181"/>
      <c r="J1" s="181"/>
      <c r="K1" s="181"/>
      <c r="L1" s="181"/>
      <c r="M1" s="181"/>
    </row>
    <row r="2" spans="1:18" ht="24" customHeight="1" x14ac:dyDescent="0.2">
      <c r="A2" s="193" t="s">
        <v>523</v>
      </c>
      <c r="B2" s="181"/>
      <c r="C2" s="181"/>
      <c r="D2" s="181"/>
      <c r="E2" s="181"/>
      <c r="F2" s="181"/>
      <c r="G2" s="181"/>
      <c r="H2" s="181"/>
      <c r="I2" s="181"/>
      <c r="J2" s="181"/>
      <c r="K2" s="181"/>
      <c r="L2" s="181"/>
      <c r="M2" s="181"/>
      <c r="O2" s="188" t="s">
        <v>524</v>
      </c>
      <c r="P2" s="181"/>
      <c r="Q2" s="181"/>
      <c r="R2" s="181"/>
    </row>
    <row r="3" spans="1:18" ht="16" x14ac:dyDescent="0.2">
      <c r="A3" s="5" t="s">
        <v>525</v>
      </c>
      <c r="B3" s="5" t="s">
        <v>526</v>
      </c>
      <c r="C3" s="5" t="s">
        <v>527</v>
      </c>
      <c r="D3" s="5" t="s">
        <v>528</v>
      </c>
      <c r="E3" s="5" t="s">
        <v>499</v>
      </c>
      <c r="F3" s="5" t="s">
        <v>503</v>
      </c>
      <c r="G3" s="5" t="s">
        <v>529</v>
      </c>
      <c r="H3" s="5" t="s">
        <v>530</v>
      </c>
      <c r="I3" s="5" t="s">
        <v>531</v>
      </c>
      <c r="J3" s="5" t="s">
        <v>532</v>
      </c>
      <c r="K3" s="5" t="s">
        <v>533</v>
      </c>
      <c r="L3" s="5" t="s">
        <v>66</v>
      </c>
      <c r="M3" s="5" t="s">
        <v>534</v>
      </c>
      <c r="O3" s="181"/>
      <c r="P3" s="181"/>
      <c r="Q3" s="181"/>
      <c r="R3" s="181"/>
    </row>
    <row r="4" spans="1:18" x14ac:dyDescent="0.2">
      <c r="A4" s="22">
        <f>EDATE(Assumptions!$B$5,ROW()-4)</f>
        <v>46235</v>
      </c>
      <c r="B4" s="103">
        <f>Model_Monthly!C5</f>
        <v>2.2333333333333334</v>
      </c>
      <c r="C4" s="103">
        <f>Model_Monthly!C7</f>
        <v>1772.8200000000002</v>
      </c>
      <c r="D4" s="99">
        <f>Model_Monthly!C50</f>
        <v>12.090632400000001</v>
      </c>
      <c r="E4" s="99">
        <f>Model_Monthly!C53</f>
        <v>350</v>
      </c>
      <c r="F4" s="99">
        <f>Model_Monthly!C56</f>
        <v>0</v>
      </c>
      <c r="G4" s="99">
        <f>Model_Monthly!C58</f>
        <v>10.021273840000001</v>
      </c>
      <c r="H4" s="99">
        <f>Model_Monthly!C60+Model_Monthly!C62</f>
        <v>1052.0319107599998</v>
      </c>
      <c r="I4" s="99">
        <f>Model_Monthly!C70</f>
        <v>711.10801249999997</v>
      </c>
      <c r="J4" s="99">
        <f>Model_Monthly!C63+Model_Monthly!C64</f>
        <v>2409.4463821519998</v>
      </c>
      <c r="K4" s="99">
        <f>Model_Monthly!C72</f>
        <v>4544.6982116520003</v>
      </c>
      <c r="L4" s="13">
        <f>Model_Monthly!C73</f>
        <v>75000</v>
      </c>
      <c r="M4" s="13">
        <f>Model_Monthly!C74</f>
        <v>79544.698211651994</v>
      </c>
      <c r="O4" s="181"/>
      <c r="P4" s="181"/>
      <c r="Q4" s="181"/>
      <c r="R4" s="181"/>
    </row>
    <row r="5" spans="1:18" x14ac:dyDescent="0.2">
      <c r="A5" s="22">
        <f>EDATE(Assumptions!$B$5,ROW()-4)</f>
        <v>46266</v>
      </c>
      <c r="B5" s="103">
        <f>Model_Monthly!D5</f>
        <v>2.6888333333333336</v>
      </c>
      <c r="C5" s="103">
        <f>Model_Monthly!D7</f>
        <v>2134.3959000000004</v>
      </c>
      <c r="D5" s="99">
        <f>Model_Monthly!D50</f>
        <v>14.556580038000003</v>
      </c>
      <c r="E5" s="99">
        <f>Model_Monthly!D53</f>
        <v>350</v>
      </c>
      <c r="F5" s="99">
        <f>Model_Monthly!D56</f>
        <v>0</v>
      </c>
      <c r="G5" s="99">
        <f>Model_Monthly!D58</f>
        <v>10.0468865908</v>
      </c>
      <c r="H5" s="99">
        <f>Model_Monthly!D60+Model_Monthly!D62</f>
        <v>1052.0703298861999</v>
      </c>
      <c r="I5" s="99">
        <f>Model_Monthly!D70</f>
        <v>711.33399743749999</v>
      </c>
      <c r="J5" s="99">
        <f>Model_Monthly!D63+Model_Monthly!D64</f>
        <v>2409.4540659772401</v>
      </c>
      <c r="K5" s="99">
        <f>Model_Monthly!D72</f>
        <v>4547.4618599297401</v>
      </c>
      <c r="L5" s="13">
        <f>Model_Monthly!D73</f>
        <v>75000</v>
      </c>
      <c r="M5" s="13">
        <f>Model_Monthly!D74</f>
        <v>79547.461859929739</v>
      </c>
    </row>
    <row r="6" spans="1:18" x14ac:dyDescent="0.2">
      <c r="A6" s="22">
        <f>EDATE(Assumptions!$B$5,ROW()-4)</f>
        <v>46296</v>
      </c>
      <c r="B6" s="103">
        <f>Model_Monthly!E5</f>
        <v>3.2753891666666672</v>
      </c>
      <c r="C6" s="103">
        <f>Model_Monthly!E7</f>
        <v>2600.0039205000007</v>
      </c>
      <c r="D6" s="99">
        <f>Model_Monthly!E50</f>
        <v>17.732026737810003</v>
      </c>
      <c r="E6" s="99">
        <f>Model_Monthly!E53</f>
        <v>350</v>
      </c>
      <c r="F6" s="99">
        <f>Model_Monthly!E56</f>
        <v>0</v>
      </c>
      <c r="G6" s="99">
        <f>Model_Monthly!E58</f>
        <v>10.078086637845999</v>
      </c>
      <c r="H6" s="99">
        <f>Model_Monthly!E60+Model_Monthly!E62</f>
        <v>1052.1171299567688</v>
      </c>
      <c r="I6" s="99">
        <f>Model_Monthly!E70</f>
        <v>711.62500245031242</v>
      </c>
      <c r="J6" s="99">
        <f>Model_Monthly!E63+Model_Monthly!E64</f>
        <v>2409.4634259913537</v>
      </c>
      <c r="K6" s="99">
        <f>Model_Monthly!E72</f>
        <v>4551.0156717740911</v>
      </c>
      <c r="L6" s="13">
        <f>Model_Monthly!E73</f>
        <v>75000</v>
      </c>
      <c r="M6" s="13">
        <f>Model_Monthly!E74</f>
        <v>79551.01567177409</v>
      </c>
    </row>
    <row r="7" spans="1:18" x14ac:dyDescent="0.2">
      <c r="A7" s="22">
        <f>EDATE(Assumptions!$B$5,ROW()-4)</f>
        <v>46327</v>
      </c>
      <c r="B7" s="103">
        <f>Model_Monthly!F5</f>
        <v>3.8590122208333342</v>
      </c>
      <c r="C7" s="103">
        <f>Model_Monthly!F7</f>
        <v>3063.2839008975011</v>
      </c>
      <c r="D7" s="99">
        <f>Model_Monthly!F50</f>
        <v>20.891596204120958</v>
      </c>
      <c r="E7" s="99">
        <f>Model_Monthly!F53</f>
        <v>350</v>
      </c>
      <c r="F7" s="99">
        <f>Model_Monthly!F56</f>
        <v>0</v>
      </c>
      <c r="G7" s="99">
        <f>Model_Monthly!F58</f>
        <v>10.114846044656771</v>
      </c>
      <c r="H7" s="99">
        <f>Model_Monthly!F60+Model_Monthly!F62</f>
        <v>1052.1722690669851</v>
      </c>
      <c r="I7" s="99">
        <f>Model_Monthly!F70</f>
        <v>711.91455243806092</v>
      </c>
      <c r="J7" s="99">
        <f>Model_Monthly!F63+Model_Monthly!F64</f>
        <v>2409.4744538133968</v>
      </c>
      <c r="K7" s="99">
        <f>Model_Monthly!F72</f>
        <v>4554.5677175672199</v>
      </c>
      <c r="L7" s="13">
        <f>Model_Monthly!F73</f>
        <v>75000</v>
      </c>
      <c r="M7" s="13">
        <f>Model_Monthly!F74</f>
        <v>79554.567717567217</v>
      </c>
    </row>
    <row r="8" spans="1:18" x14ac:dyDescent="0.2">
      <c r="A8" s="22">
        <f>EDATE(Assumptions!$B$5,ROW()-4)</f>
        <v>46357</v>
      </c>
      <c r="B8" s="103">
        <f>Model_Monthly!G5</f>
        <v>4.4397171597291676</v>
      </c>
      <c r="C8" s="103">
        <f>Model_Monthly!G7</f>
        <v>3524.2474813930135</v>
      </c>
      <c r="D8" s="99">
        <f>Model_Monthly!G50</f>
        <v>24.035367823100351</v>
      </c>
      <c r="E8" s="99">
        <f>Model_Monthly!G53</f>
        <v>350</v>
      </c>
      <c r="F8" s="99">
        <f>Model_Monthly!G56</f>
        <v>0</v>
      </c>
      <c r="G8" s="99">
        <f>Model_Monthly!G58</f>
        <v>10.157137014433486</v>
      </c>
      <c r="H8" s="99">
        <f>Model_Monthly!G60+Model_Monthly!G62</f>
        <v>1052.2357055216501</v>
      </c>
      <c r="I8" s="99">
        <f>Model_Monthly!G70</f>
        <v>712.20265467587069</v>
      </c>
      <c r="J8" s="99">
        <f>Model_Monthly!G63+Model_Monthly!G64</f>
        <v>2409.48714110433</v>
      </c>
      <c r="K8" s="99">
        <f>Model_Monthly!G72</f>
        <v>4558.1180061393843</v>
      </c>
      <c r="L8" s="13">
        <f>Model_Monthly!G73</f>
        <v>75000</v>
      </c>
      <c r="M8" s="13">
        <f>Model_Monthly!G74</f>
        <v>79558.118006139382</v>
      </c>
    </row>
    <row r="9" spans="1:18" x14ac:dyDescent="0.2">
      <c r="A9" s="22">
        <f>EDATE(Assumptions!$B$5,ROW()-4)</f>
        <v>46388</v>
      </c>
      <c r="B9" s="103">
        <f>Model_Monthly!H5</f>
        <v>5.0175185739305226</v>
      </c>
      <c r="C9" s="103">
        <f>Model_Monthly!H7</f>
        <v>3982.906243986049</v>
      </c>
      <c r="D9" s="99">
        <f>Model_Monthly!H50</f>
        <v>27.163420583984852</v>
      </c>
      <c r="E9" s="99">
        <f>Model_Monthly!H53</f>
        <v>350</v>
      </c>
      <c r="F9" s="99">
        <f>Model_Monthly!H56</f>
        <v>0</v>
      </c>
      <c r="G9" s="99">
        <f>Model_Monthly!H58</f>
        <v>10.204931889361317</v>
      </c>
      <c r="H9" s="99">
        <f>Model_Monthly!H60+Model_Monthly!H62</f>
        <v>1052.3073978340419</v>
      </c>
      <c r="I9" s="99">
        <f>Model_Monthly!H70</f>
        <v>712.48931640249134</v>
      </c>
      <c r="J9" s="99">
        <f>Model_Monthly!H63+Model_Monthly!H64</f>
        <v>2409.5014795668085</v>
      </c>
      <c r="K9" s="99">
        <f>Model_Monthly!H72</f>
        <v>4561.6665462766878</v>
      </c>
      <c r="L9" s="13">
        <f>Model_Monthly!H73</f>
        <v>75000</v>
      </c>
      <c r="M9" s="13">
        <f>Model_Monthly!H74</f>
        <v>79561.666546276683</v>
      </c>
    </row>
    <row r="10" spans="1:18" x14ac:dyDescent="0.2">
      <c r="A10" s="22">
        <f>EDATE(Assumptions!$B$5,ROW()-4)</f>
        <v>46419</v>
      </c>
      <c r="B10" s="103">
        <f>Model_Monthly!I5</f>
        <v>5.5924309810608701</v>
      </c>
      <c r="C10" s="103">
        <f>Model_Monthly!I7</f>
        <v>4439.271712766119</v>
      </c>
      <c r="D10" s="99">
        <f>Model_Monthly!I50</f>
        <v>30.275833081064931</v>
      </c>
      <c r="E10" s="99">
        <f>Model_Monthly!I53</f>
        <v>350</v>
      </c>
      <c r="F10" s="99">
        <f>Model_Monthly!I56</f>
        <v>0</v>
      </c>
      <c r="G10" s="99">
        <f>Model_Monthly!I58</f>
        <v>10.258203149914511</v>
      </c>
      <c r="H10" s="99">
        <f>Model_Monthly!I60+Model_Monthly!I62</f>
        <v>1052.3873047248717</v>
      </c>
      <c r="I10" s="99">
        <f>Model_Monthly!I70</f>
        <v>712.77454482047881</v>
      </c>
      <c r="J10" s="99">
        <f>Model_Monthly!I63+Model_Monthly!I64</f>
        <v>2409.5174609449741</v>
      </c>
      <c r="K10" s="99">
        <f>Model_Monthly!I72</f>
        <v>4565.2133467213043</v>
      </c>
      <c r="L10" s="13">
        <f>Model_Monthly!I73</f>
        <v>75000</v>
      </c>
      <c r="M10" s="13">
        <f>Model_Monthly!I74</f>
        <v>79565.213346721299</v>
      </c>
    </row>
    <row r="11" spans="1:18" x14ac:dyDescent="0.2">
      <c r="A11" s="22">
        <f>EDATE(Assumptions!$B$5,ROW()-4)</f>
        <v>46447</v>
      </c>
      <c r="B11" s="103">
        <f>Model_Monthly!J5</f>
        <v>6.1644688261555665</v>
      </c>
      <c r="C11" s="103">
        <f>Model_Monthly!J7</f>
        <v>4893.3553542022892</v>
      </c>
      <c r="D11" s="99">
        <f>Model_Monthly!J50</f>
        <v>33.37268351565961</v>
      </c>
      <c r="E11" s="99">
        <f>Model_Monthly!J53</f>
        <v>350</v>
      </c>
      <c r="F11" s="99">
        <f>Model_Monthly!J56</f>
        <v>0</v>
      </c>
      <c r="G11" s="99">
        <f>Model_Monthly!J58</f>
        <v>10.31692341416494</v>
      </c>
      <c r="H11" s="99">
        <f>Model_Monthly!J60+Model_Monthly!J62</f>
        <v>1052.4753851212472</v>
      </c>
      <c r="I11" s="99">
        <f>Model_Monthly!J70</f>
        <v>713.05834709637645</v>
      </c>
      <c r="J11" s="99">
        <f>Model_Monthly!J63+Model_Monthly!J64</f>
        <v>2409.5350770242494</v>
      </c>
      <c r="K11" s="99">
        <f>Model_Monthly!J72</f>
        <v>4568.7584161716977</v>
      </c>
      <c r="L11" s="13">
        <f>Model_Monthly!J73</f>
        <v>75000</v>
      </c>
      <c r="M11" s="13">
        <f>Model_Monthly!J74</f>
        <v>79568.758416171695</v>
      </c>
    </row>
    <row r="12" spans="1:18" x14ac:dyDescent="0.2">
      <c r="A12" s="22">
        <f>EDATE(Assumptions!$B$5,ROW()-4)</f>
        <v>46478</v>
      </c>
      <c r="B12" s="103">
        <f>Model_Monthly!K5</f>
        <v>6.7336464820247892</v>
      </c>
      <c r="C12" s="103">
        <f>Model_Monthly!K7</f>
        <v>5345.1685774312782</v>
      </c>
      <c r="D12" s="99">
        <f>Model_Monthly!K50</f>
        <v>36.454049698081313</v>
      </c>
      <c r="E12" s="99">
        <f>Model_Monthly!K53</f>
        <v>700</v>
      </c>
      <c r="F12" s="99">
        <f>Model_Monthly!K56</f>
        <v>0</v>
      </c>
      <c r="G12" s="99">
        <f>Model_Monthly!K58</f>
        <v>10.381065437094115</v>
      </c>
      <c r="H12" s="99">
        <f>Model_Monthly!K60+Model_Monthly!K62</f>
        <v>1052.5715981556411</v>
      </c>
      <c r="I12" s="99">
        <f>Model_Monthly!K70</f>
        <v>713.34073036089455</v>
      </c>
      <c r="J12" s="99">
        <f>Model_Monthly!K63+Model_Monthly!K64</f>
        <v>2451.5543196311282</v>
      </c>
      <c r="K12" s="99">
        <f>Model_Monthly!K72</f>
        <v>4964.3017632828396</v>
      </c>
      <c r="L12" s="13">
        <f>Model_Monthly!K73</f>
        <v>75000</v>
      </c>
      <c r="M12" s="13">
        <f>Model_Monthly!K74</f>
        <v>79964.301763282841</v>
      </c>
    </row>
    <row r="13" spans="1:18" x14ac:dyDescent="0.2">
      <c r="A13" s="22">
        <f>EDATE(Assumptions!$B$5,ROW()-4)</f>
        <v>46508</v>
      </c>
      <c r="B13" s="103">
        <f>Model_Monthly!L5</f>
        <v>7.2999782496146661</v>
      </c>
      <c r="C13" s="103">
        <f>Model_Monthly!L7</f>
        <v>5794.7227345441224</v>
      </c>
      <c r="D13" s="99">
        <f>Model_Monthly!L50</f>
        <v>39.520009049590911</v>
      </c>
      <c r="E13" s="99">
        <f>Model_Monthly!L53</f>
        <v>700</v>
      </c>
      <c r="F13" s="99">
        <f>Model_Monthly!L56</f>
        <v>0</v>
      </c>
      <c r="G13" s="99">
        <f>Model_Monthly!L58</f>
        <v>10.450602109908644</v>
      </c>
      <c r="H13" s="99">
        <f>Model_Monthly!L60+Model_Monthly!L62</f>
        <v>1052.6759031648628</v>
      </c>
      <c r="I13" s="99">
        <f>Model_Monthly!L70</f>
        <v>713.62170170909008</v>
      </c>
      <c r="J13" s="99">
        <f>Model_Monthly!L63+Model_Monthly!L64</f>
        <v>2451.5751806329727</v>
      </c>
      <c r="K13" s="99">
        <f>Model_Monthly!L72</f>
        <v>4967.8433966664252</v>
      </c>
      <c r="L13" s="13">
        <f>Model_Monthly!L73</f>
        <v>75000</v>
      </c>
      <c r="M13" s="13">
        <f>Model_Monthly!L74</f>
        <v>79967.843396666431</v>
      </c>
    </row>
    <row r="14" spans="1:18" x14ac:dyDescent="0.2">
      <c r="A14" s="22">
        <f>EDATE(Assumptions!$B$5,ROW()-4)</f>
        <v>46539</v>
      </c>
      <c r="B14" s="103">
        <f>Model_Monthly!M5</f>
        <v>7.863478358366593</v>
      </c>
      <c r="C14" s="103">
        <f>Model_Monthly!M7</f>
        <v>6242.0291208714025</v>
      </c>
      <c r="D14" s="99">
        <f>Model_Monthly!M50</f>
        <v>42.57063860434296</v>
      </c>
      <c r="E14" s="99">
        <f>Model_Monthly!M53</f>
        <v>700</v>
      </c>
      <c r="F14" s="99">
        <f>Model_Monthly!M56</f>
        <v>0</v>
      </c>
      <c r="G14" s="99">
        <f>Model_Monthly!M58</f>
        <v>10.525506459359102</v>
      </c>
      <c r="H14" s="99">
        <f>Model_Monthly!M60+Model_Monthly!M62</f>
        <v>1052.7882596890386</v>
      </c>
      <c r="I14" s="99">
        <f>Model_Monthly!M70</f>
        <v>713.90126820054456</v>
      </c>
      <c r="J14" s="99">
        <f>Model_Monthly!M63+Model_Monthly!M64</f>
        <v>2451.5976519378078</v>
      </c>
      <c r="K14" s="99">
        <f>Model_Monthly!M72</f>
        <v>4971.3833248910923</v>
      </c>
      <c r="L14" s="13">
        <f>Model_Monthly!M73</f>
        <v>75000</v>
      </c>
      <c r="M14" s="13">
        <f>Model_Monthly!M74</f>
        <v>79971.383324891096</v>
      </c>
    </row>
    <row r="15" spans="1:18" x14ac:dyDescent="0.2">
      <c r="A15" s="22">
        <f>EDATE(Assumptions!$B$5,ROW()-4)</f>
        <v>46569</v>
      </c>
      <c r="B15" s="103">
        <f>Model_Monthly!N5</f>
        <v>8.4241609665747585</v>
      </c>
      <c r="C15" s="103">
        <f>Model_Monthly!N7</f>
        <v>6687.098975267043</v>
      </c>
      <c r="D15" s="99">
        <f>Model_Monthly!N50</f>
        <v>45.606015011321233</v>
      </c>
      <c r="E15" s="99">
        <f>Model_Monthly!N53</f>
        <v>700</v>
      </c>
      <c r="F15" s="99">
        <f>Model_Monthly!N56</f>
        <v>0</v>
      </c>
      <c r="G15" s="99">
        <f>Model_Monthly!N58</f>
        <v>10.605751647062304</v>
      </c>
      <c r="H15" s="99">
        <f>Model_Monthly!N60+Model_Monthly!N62</f>
        <v>1052.9086274705933</v>
      </c>
      <c r="I15" s="99">
        <f>Model_Monthly!N70</f>
        <v>714.17943685954197</v>
      </c>
      <c r="J15" s="99">
        <f>Model_Monthly!N63+Model_Monthly!N64</f>
        <v>2451.6217254941189</v>
      </c>
      <c r="K15" s="99">
        <f>Model_Monthly!N72</f>
        <v>4974.9215564826372</v>
      </c>
      <c r="L15" s="13">
        <f>Model_Monthly!N73</f>
        <v>75000</v>
      </c>
      <c r="M15" s="13">
        <f>Model_Monthly!N74</f>
        <v>79974.921556482645</v>
      </c>
    </row>
    <row r="16" spans="1:18" x14ac:dyDescent="0.2">
      <c r="A16" s="22">
        <f>EDATE(Assumptions!$B$5,ROW()-4)</f>
        <v>46600</v>
      </c>
      <c r="B16" s="103">
        <f>Model_Monthly!O5</f>
        <v>8.748706828408551</v>
      </c>
      <c r="C16" s="103">
        <f>Model_Monthly!O7</f>
        <v>6944.7234803907086</v>
      </c>
      <c r="D16" s="99">
        <f>Model_Monthly!O50</f>
        <v>47.363014136264624</v>
      </c>
      <c r="E16" s="99">
        <f>Model_Monthly!O53</f>
        <v>700</v>
      </c>
      <c r="F16" s="99">
        <f>Model_Monthly!O56</f>
        <v>0</v>
      </c>
      <c r="G16" s="99">
        <f>Model_Monthly!O58</f>
        <v>10.689088328826992</v>
      </c>
      <c r="H16" s="99">
        <f>Model_Monthly!O60+Model_Monthly!O62</f>
        <v>1053.0336324932405</v>
      </c>
      <c r="I16" s="99">
        <f>Model_Monthly!O70</f>
        <v>714.3404521752442</v>
      </c>
      <c r="J16" s="99">
        <f>Model_Monthly!O63+Model_Monthly!O64</f>
        <v>2451.6467264986481</v>
      </c>
      <c r="K16" s="99">
        <f>Model_Monthly!O72</f>
        <v>4977.0729136322243</v>
      </c>
      <c r="L16" s="13">
        <f>Model_Monthly!O73</f>
        <v>75000</v>
      </c>
      <c r="M16" s="13">
        <f>Model_Monthly!O74</f>
        <v>79977.072913632219</v>
      </c>
    </row>
    <row r="17" spans="1:13" x14ac:dyDescent="0.2">
      <c r="A17" s="22">
        <f>EDATE(Assumptions!$B$5,ROW()-4)</f>
        <v>46631</v>
      </c>
      <c r="B17" s="103">
        <f>Model_Monthly!P5</f>
        <v>8.8382966275998402</v>
      </c>
      <c r="C17" s="103">
        <f>Model_Monthly!P7</f>
        <v>7015.8398629887542</v>
      </c>
      <c r="D17" s="99">
        <f>Model_Monthly!P50</f>
        <v>47.848027865583298</v>
      </c>
      <c r="E17" s="99">
        <f>Model_Monthly!P53</f>
        <v>700</v>
      </c>
      <c r="F17" s="99">
        <f>Model_Monthly!P56</f>
        <v>0</v>
      </c>
      <c r="G17" s="99">
        <f>Model_Monthly!P58</f>
        <v>10.773278407182856</v>
      </c>
      <c r="H17" s="99">
        <f>Model_Monthly!P60+Model_Monthly!P62</f>
        <v>1053.1599176107741</v>
      </c>
      <c r="I17" s="99">
        <f>Model_Monthly!P70</f>
        <v>714.38489991436791</v>
      </c>
      <c r="J17" s="99">
        <f>Model_Monthly!P63+Model_Monthly!P64</f>
        <v>2451.6719835221547</v>
      </c>
      <c r="K17" s="99">
        <f>Model_Monthly!P72</f>
        <v>4977.8381073200635</v>
      </c>
      <c r="L17" s="13">
        <f>Model_Monthly!P73</f>
        <v>75000</v>
      </c>
      <c r="M17" s="13">
        <f>Model_Monthly!P74</f>
        <v>79977.838107320058</v>
      </c>
    </row>
    <row r="18" spans="1:13" x14ac:dyDescent="0.2">
      <c r="A18" s="22">
        <f>EDATE(Assumptions!$B$5,ROW()-4)</f>
        <v>46661</v>
      </c>
      <c r="B18" s="103">
        <f>Model_Monthly!Q5</f>
        <v>8.7941051444618417</v>
      </c>
      <c r="C18" s="103">
        <f>Model_Monthly!Q7</f>
        <v>6980.760663673811</v>
      </c>
      <c r="D18" s="99">
        <f>Model_Monthly!Q50</f>
        <v>47.608787726255393</v>
      </c>
      <c r="E18" s="99">
        <f>Model_Monthly!Q53</f>
        <v>700</v>
      </c>
      <c r="F18" s="99">
        <f>Model_Monthly!Q56</f>
        <v>0</v>
      </c>
      <c r="G18" s="99">
        <f>Model_Monthly!Q58</f>
        <v>10.857047535146942</v>
      </c>
      <c r="H18" s="99">
        <f>Model_Monthly!Q60+Model_Monthly!Q62</f>
        <v>1053.2855713027202</v>
      </c>
      <c r="I18" s="99">
        <f>Model_Monthly!Q70</f>
        <v>714.36297541479621</v>
      </c>
      <c r="J18" s="99">
        <f>Model_Monthly!Q63+Model_Monthly!Q64</f>
        <v>2451.6971142605439</v>
      </c>
      <c r="K18" s="99">
        <f>Model_Monthly!Q72</f>
        <v>4977.8114962394629</v>
      </c>
      <c r="L18" s="13">
        <f>Model_Monthly!Q73</f>
        <v>75000</v>
      </c>
      <c r="M18" s="13">
        <f>Model_Monthly!Q74</f>
        <v>79977.811496239461</v>
      </c>
    </row>
    <row r="19" spans="1:13" x14ac:dyDescent="0.2">
      <c r="A19" s="22">
        <f>EDATE(Assumptions!$B$5,ROW()-4)</f>
        <v>46692</v>
      </c>
      <c r="B19" s="103">
        <f>Model_Monthly!R5</f>
        <v>8.7501346187395317</v>
      </c>
      <c r="C19" s="103">
        <f>Model_Monthly!R7</f>
        <v>6945.8568603554413</v>
      </c>
      <c r="D19" s="99">
        <f>Model_Monthly!R50</f>
        <v>47.370743787624107</v>
      </c>
      <c r="E19" s="99">
        <f>Model_Monthly!R53</f>
        <v>700</v>
      </c>
      <c r="F19" s="99">
        <f>Model_Monthly!R56</f>
        <v>0</v>
      </c>
      <c r="G19" s="99">
        <f>Model_Monthly!R58</f>
        <v>10.940397817471208</v>
      </c>
      <c r="H19" s="99">
        <f>Model_Monthly!R60+Model_Monthly!R62</f>
        <v>1053.4105967262067</v>
      </c>
      <c r="I19" s="99">
        <f>Model_Monthly!R70</f>
        <v>714.34116053772209</v>
      </c>
      <c r="J19" s="99">
        <f>Model_Monthly!R63+Model_Monthly!R64</f>
        <v>2451.7221193452415</v>
      </c>
      <c r="K19" s="99">
        <f>Model_Monthly!R72</f>
        <v>4977.7850182142656</v>
      </c>
      <c r="L19" s="13">
        <f>Model_Monthly!R73</f>
        <v>75000</v>
      </c>
      <c r="M19" s="13">
        <f>Model_Monthly!R74</f>
        <v>79977.785018214272</v>
      </c>
    </row>
    <row r="20" spans="1:13" x14ac:dyDescent="0.2">
      <c r="A20" s="22">
        <f>EDATE(Assumptions!$B$5,ROW()-4)</f>
        <v>46722</v>
      </c>
      <c r="B20" s="103">
        <f>Model_Monthly!S5</f>
        <v>8.7063839456458343</v>
      </c>
      <c r="C20" s="103">
        <f>Model_Monthly!S7</f>
        <v>6911.1275760536637</v>
      </c>
      <c r="D20" s="99">
        <f>Model_Monthly!S50</f>
        <v>47.133890068685993</v>
      </c>
      <c r="E20" s="99">
        <f>Model_Monthly!S53</f>
        <v>700</v>
      </c>
      <c r="F20" s="99">
        <f>Model_Monthly!S56</f>
        <v>0</v>
      </c>
      <c r="G20" s="99">
        <f>Model_Monthly!S58</f>
        <v>11.023331348383852</v>
      </c>
      <c r="H20" s="99">
        <f>Model_Monthly!S60+Model_Monthly!S62</f>
        <v>1053.5349970225757</v>
      </c>
      <c r="I20" s="99">
        <f>Model_Monthly!S70</f>
        <v>714.31945473503356</v>
      </c>
      <c r="J20" s="99">
        <f>Model_Monthly!S63+Model_Monthly!S64</f>
        <v>2451.746999404515</v>
      </c>
      <c r="K20" s="99">
        <f>Model_Monthly!S72</f>
        <v>4977.7586725791934</v>
      </c>
      <c r="L20" s="13">
        <f>Model_Monthly!S73</f>
        <v>75000</v>
      </c>
      <c r="M20" s="13">
        <f>Model_Monthly!S74</f>
        <v>79977.758672579192</v>
      </c>
    </row>
    <row r="21" spans="1:13" x14ac:dyDescent="0.2">
      <c r="A21" s="22">
        <f>EDATE(Assumptions!$B$5,ROW()-4)</f>
        <v>46753</v>
      </c>
      <c r="B21" s="103">
        <f>Model_Monthly!T5</f>
        <v>8.6628520259176049</v>
      </c>
      <c r="C21" s="103">
        <f>Model_Monthly!T7</f>
        <v>6876.5719381733952</v>
      </c>
      <c r="D21" s="99">
        <f>Model_Monthly!T50</f>
        <v>46.898220618342556</v>
      </c>
      <c r="E21" s="99">
        <f>Model_Monthly!T53</f>
        <v>700</v>
      </c>
      <c r="F21" s="99">
        <f>Model_Monthly!T56</f>
        <v>0</v>
      </c>
      <c r="G21" s="99">
        <f>Model_Monthly!T58</f>
        <v>11.105850211641933</v>
      </c>
      <c r="H21" s="99">
        <f>Model_Monthly!T60+Model_Monthly!T62</f>
        <v>1053.6587753174629</v>
      </c>
      <c r="I21" s="99">
        <f>Model_Monthly!T70</f>
        <v>714.29785746135838</v>
      </c>
      <c r="J21" s="99">
        <f>Model_Monthly!T63+Model_Monthly!T64</f>
        <v>2451.7717550634925</v>
      </c>
      <c r="K21" s="99">
        <f>Model_Monthly!T72</f>
        <v>4977.732458672298</v>
      </c>
      <c r="L21" s="13">
        <f>Model_Monthly!T73</f>
        <v>75000</v>
      </c>
      <c r="M21" s="13">
        <f>Model_Monthly!T74</f>
        <v>79977.732458672297</v>
      </c>
    </row>
    <row r="22" spans="1:13" x14ac:dyDescent="0.2">
      <c r="A22" s="68" t="s">
        <v>357</v>
      </c>
      <c r="B22" s="105">
        <f t="shared" ref="B22:M22" si="0">SUM(B4:B21)</f>
        <v>116.09244684239681</v>
      </c>
      <c r="C22" s="105">
        <f t="shared" si="0"/>
        <v>92154.184303494592</v>
      </c>
      <c r="D22" s="106">
        <f t="shared" si="0"/>
        <v>628.49153694983306</v>
      </c>
      <c r="E22" s="106">
        <f t="shared" si="0"/>
        <v>9800</v>
      </c>
      <c r="F22" s="106">
        <f t="shared" si="0"/>
        <v>0</v>
      </c>
      <c r="G22" s="106">
        <f t="shared" si="0"/>
        <v>188.55020788325496</v>
      </c>
      <c r="H22" s="106">
        <f t="shared" si="0"/>
        <v>18948.825311824883</v>
      </c>
      <c r="I22" s="106">
        <f t="shared" si="0"/>
        <v>12837.596365189687</v>
      </c>
      <c r="J22" s="106">
        <f t="shared" si="0"/>
        <v>43792.485062364984</v>
      </c>
      <c r="K22" s="106">
        <f t="shared" si="0"/>
        <v>86195.948484212626</v>
      </c>
      <c r="L22" s="83">
        <f t="shared" si="0"/>
        <v>1350000</v>
      </c>
      <c r="M22" s="83">
        <f t="shared" si="0"/>
        <v>1436195.9484842124</v>
      </c>
    </row>
  </sheetData>
  <mergeCells count="3">
    <mergeCell ref="O2:R4"/>
    <mergeCell ref="A2:M2"/>
    <mergeCell ref="A1:M1"/>
  </mergeCells>
  <pageMargins left="0.7" right="0.7" top="0.75" bottom="0.75" header="0.3" footer="0.3"/>
  <pageSetup fitToHeight="0" orientation="portrait" horizontalDpi="0" verticalDpi="0"/>
  <headerFooter>
    <oddHeader>&amp;CPwC Model For Agent Cost Estimation</oddHeader>
    <oddFooter>&amp;CPwC Model For Agent Cost Estimation</oddFooter>
  </headerFooter>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filterMode="1">
    <pageSetUpPr fitToPage="1"/>
  </sheetPr>
  <dimension ref="A1:O49"/>
  <sheetViews>
    <sheetView showGridLines="0" workbookViewId="0">
      <pane ySplit="4" topLeftCell="A13" activePane="bottomLeft" state="frozen"/>
      <selection pane="bottomLeft" activeCell="E15" sqref="E15"/>
    </sheetView>
  </sheetViews>
  <sheetFormatPr baseColWidth="10" defaultColWidth="8.83203125" defaultRowHeight="15" x14ac:dyDescent="0.2"/>
  <cols>
    <col min="1" max="1" width="22" customWidth="1"/>
    <col min="2" max="2" width="11.83203125" customWidth="1"/>
    <col min="3" max="3" width="15" customWidth="1"/>
    <col min="4" max="4" width="13.83203125" customWidth="1"/>
    <col min="5" max="5" width="14.83203125" customWidth="1"/>
    <col min="6" max="6" width="13.5" customWidth="1"/>
    <col min="7" max="7" width="14.83203125" customWidth="1"/>
    <col min="8" max="8" width="15.5" customWidth="1"/>
    <col min="9" max="9" width="14.33203125" customWidth="1"/>
    <col min="10" max="10" width="14.1640625" customWidth="1"/>
    <col min="11" max="11" width="20" customWidth="1"/>
    <col min="12" max="14" width="22.6640625" customWidth="1"/>
    <col min="15" max="15" width="24" customWidth="1"/>
  </cols>
  <sheetData>
    <row r="1" spans="1:15" ht="26.25" customHeight="1" x14ac:dyDescent="0.2">
      <c r="A1" s="180" t="s">
        <v>535</v>
      </c>
      <c r="B1" s="181"/>
      <c r="C1" s="181"/>
      <c r="D1" s="181"/>
      <c r="E1" s="181"/>
      <c r="F1" s="181"/>
      <c r="G1" s="181"/>
      <c r="H1" s="181"/>
      <c r="I1" s="181"/>
      <c r="J1" s="181"/>
      <c r="K1" s="181"/>
      <c r="L1" s="181"/>
      <c r="M1" s="181"/>
      <c r="N1" s="181"/>
      <c r="O1" s="181"/>
    </row>
    <row r="2" spans="1:15" x14ac:dyDescent="0.2">
      <c r="A2" s="187" t="s">
        <v>536</v>
      </c>
      <c r="B2" s="181"/>
      <c r="C2" s="181"/>
      <c r="D2" s="181"/>
      <c r="E2" s="181"/>
      <c r="F2" s="181"/>
      <c r="G2" s="181"/>
      <c r="H2" s="181"/>
      <c r="I2" s="181"/>
      <c r="J2" s="181"/>
      <c r="K2" s="181"/>
      <c r="L2" s="181"/>
      <c r="M2" s="181"/>
      <c r="N2" s="181"/>
      <c r="O2" s="181"/>
    </row>
    <row r="4" spans="1:15" ht="42" customHeight="1" x14ac:dyDescent="0.2">
      <c r="A4" s="62" t="s">
        <v>537</v>
      </c>
      <c r="B4" s="62" t="s">
        <v>538</v>
      </c>
      <c r="C4" s="62" t="s">
        <v>539</v>
      </c>
      <c r="D4" s="62" t="s">
        <v>436</v>
      </c>
      <c r="E4" s="62" t="s">
        <v>437</v>
      </c>
      <c r="F4" s="62" t="s">
        <v>438</v>
      </c>
      <c r="G4" s="62" t="s">
        <v>439</v>
      </c>
      <c r="H4" s="62" t="s">
        <v>540</v>
      </c>
      <c r="I4" s="62" t="s">
        <v>541</v>
      </c>
      <c r="J4" s="62" t="s">
        <v>542</v>
      </c>
      <c r="K4" s="62" t="s">
        <v>543</v>
      </c>
      <c r="L4" s="62" t="s">
        <v>998</v>
      </c>
      <c r="M4" s="62" t="s">
        <v>999</v>
      </c>
      <c r="N4" s="62" t="s">
        <v>1000</v>
      </c>
      <c r="O4" s="62" t="s">
        <v>544</v>
      </c>
    </row>
    <row r="5" spans="1:15" hidden="1" x14ac:dyDescent="0.2">
      <c r="A5" t="s">
        <v>545</v>
      </c>
      <c r="B5" t="s">
        <v>546</v>
      </c>
      <c r="C5" s="107">
        <f>SUMIFS(Cost_Register!$AC$5:$AC$504,Cost_Register!$C$5:$C$504,$A5,Cost_Register!$F$5:$F$504,$B5)</f>
        <v>270000</v>
      </c>
      <c r="D5" s="107">
        <f>SUMIFS(Cost_Register!$AD$5:$AD$504,Cost_Register!$C$5:$C$504,$A5,Cost_Register!$F$5:$F$504,$B5)</f>
        <v>0</v>
      </c>
      <c r="E5" s="107">
        <f>SUMIFS(Cost_Register!$AE$5:$AE$504,Cost_Register!$C$5:$C$504,$A5,Cost_Register!$F$5:$F$504,$B5)</f>
        <v>0</v>
      </c>
      <c r="F5" s="107">
        <f>SUMIFS(Cost_Register!$AF$5:$AF$504,Cost_Register!$C$5:$C$504,$A5,Cost_Register!$F$5:$F$504,$B5)</f>
        <v>0</v>
      </c>
      <c r="G5" s="107">
        <f>SUMIFS(Cost_Register!$AG$5:$AG$504,Cost_Register!$C$5:$C$504,$A5,Cost_Register!$F$5:$F$504,$B5)</f>
        <v>0</v>
      </c>
      <c r="H5" s="107">
        <f t="shared" ref="H5:H12" si="0">SUM(C5:G5)</f>
        <v>270000</v>
      </c>
      <c r="I5" s="107">
        <f>SUMIFS(Benefits!$Q$5:$Q$304,Benefits!$C$5:$C$304,$A5)+SUMIFS(Benefits!$R$5:$R$304,Benefits!$C$5:$C$304,$A5)</f>
        <v>3158375</v>
      </c>
      <c r="J5" s="107">
        <f>SUMIFS(Benefits!$Q$5:$Q$304,Benefits!$C$5:$C$304,$A5)+SUMIFS(Benefits!$R$5:$R$304,Benefits!$C$5:$C$304,$A5)*5</f>
        <v>15791875</v>
      </c>
      <c r="K5" s="107">
        <f t="shared" ref="K5:K49" si="1">J5-H5</f>
        <v>15521875</v>
      </c>
      <c r="L5" s="131">
        <f>IFERROR(H5/5/COUNTA(AI_Agent_Inventory!$A$5:$A$201),0)</f>
        <v>3176.4705882352941</v>
      </c>
      <c r="M5" s="132" cm="1">
        <f t="array" ref="M5">IFERROR((H5/5)/SUMPRODUCT((Demand_Scenarios!$B$5:$B$504=$A5)*Demand_Scenarios!$D$5:$D$504*Demand_Scenarios!$E$5:$E$504*Demand_Scenarios!$F$5:$F$504*Demand_Scenarios!$G$5:$G$504*12),0)</f>
        <v>0.93596443335153268</v>
      </c>
      <c r="N5" s="132" cm="1">
        <f t="array" ref="N5">IFERROR((H5/5)/SUMPRODUCT((Demand_Scenarios!$B$5:$B$504=$A5)*Demand_Scenarios!$D$5:$D$504*Demand_Scenarios!$E$5:$E$504*Demand_Scenarios!$F$5:$F$504*Demand_Scenarios!$G$5:$G$504*Demand_Scenarios!$I$5:$I$504*12),0)</f>
        <v>1.017352644947318</v>
      </c>
      <c r="O5" s="108">
        <f t="shared" ref="O5:O12" si="2">IFERROR(H5/SUMIFS($H$5:$H$44,$A$5:$A$44,"PepsiCo standard")-1,0)</f>
        <v>-0.95166314216151338</v>
      </c>
    </row>
    <row r="6" spans="1:15" hidden="1" x14ac:dyDescent="0.2">
      <c r="A6" t="s">
        <v>545</v>
      </c>
      <c r="B6" t="s">
        <v>547</v>
      </c>
      <c r="C6" s="107">
        <f>SUMIFS(Cost_Register!$AC$5:$AC$504,Cost_Register!$C$5:$C$504,$A6,Cost_Register!$F$5:$F$504,$B6)</f>
        <v>646391.88</v>
      </c>
      <c r="D6" s="107">
        <f>SUMIFS(Cost_Register!$AD$5:$AD$504,Cost_Register!$C$5:$C$504,$A6,Cost_Register!$F$5:$F$504,$B6)</f>
        <v>665783.63639999996</v>
      </c>
      <c r="E6" s="107">
        <f>SUMIFS(Cost_Register!$AE$5:$AE$504,Cost_Register!$C$5:$C$504,$A6,Cost_Register!$F$5:$F$504,$B6)</f>
        <v>685757.14549199992</v>
      </c>
      <c r="F6" s="107">
        <f>SUMIFS(Cost_Register!$AF$5:$AF$504,Cost_Register!$C$5:$C$504,$A6,Cost_Register!$F$5:$F$504,$B6)</f>
        <v>706329.8598567599</v>
      </c>
      <c r="G6" s="107">
        <f>SUMIFS(Cost_Register!$AG$5:$AG$504,Cost_Register!$C$5:$C$504,$A6,Cost_Register!$F$5:$F$504,$B6)</f>
        <v>727519.75565246295</v>
      </c>
      <c r="H6" s="107">
        <f t="shared" si="0"/>
        <v>3431782.2774012228</v>
      </c>
      <c r="I6" s="107">
        <f>SUMIFS(Benefits!$Q$5:$Q$304,Benefits!$C$5:$C$304,$A6)+SUMIFS(Benefits!$R$5:$R$304,Benefits!$C$5:$C$304,$A6)</f>
        <v>3158375</v>
      </c>
      <c r="J6" s="107">
        <f>SUMIFS(Benefits!$Q$5:$Q$304,Benefits!$C$5:$C$304,$A6)+SUMIFS(Benefits!$R$5:$R$304,Benefits!$C$5:$C$304,$A6)*5</f>
        <v>15791875</v>
      </c>
      <c r="K6" s="107">
        <f t="shared" si="1"/>
        <v>12360092.722598776</v>
      </c>
      <c r="L6" s="131">
        <f>IFERROR(H6/5/COUNTA(AI_Agent_Inventory!$A$5:$A$201),0)</f>
        <v>40373.909145896738</v>
      </c>
      <c r="M6" s="132" cm="1">
        <f t="array" ref="M6">IFERROR((H6/5)/SUMPRODUCT((Demand_Scenarios!$B$5:$B$504=$A6)*Demand_Scenarios!$D$5:$D$504*Demand_Scenarios!$E$5:$E$504*Demand_Scenarios!$F$5:$F$504*Demand_Scenarios!$G$5:$G$504*12),0)</f>
        <v>11.896393165383955</v>
      </c>
      <c r="N6" s="132" cm="1">
        <f t="array" ref="N6">IFERROR((H6/5)/SUMPRODUCT((Demand_Scenarios!$B$5:$B$504=$A6)*Demand_Scenarios!$D$5:$D$504*Demand_Scenarios!$E$5:$E$504*Demand_Scenarios!$F$5:$F$504*Demand_Scenarios!$G$5:$G$504*Demand_Scenarios!$I$5:$I$504*12),0)</f>
        <v>12.930862136286907</v>
      </c>
      <c r="O6" s="108">
        <f t="shared" si="2"/>
        <v>-0.38562380712821942</v>
      </c>
    </row>
    <row r="7" spans="1:15" hidden="1" x14ac:dyDescent="0.2">
      <c r="A7" t="s">
        <v>545</v>
      </c>
      <c r="B7" t="s">
        <v>548</v>
      </c>
      <c r="C7" s="107">
        <f>SUMIFS(Cost_Register!$AC$5:$AC$504,Cost_Register!$C$5:$C$504,$A7,Cost_Register!$F$5:$F$504,$B7)</f>
        <v>750</v>
      </c>
      <c r="D7" s="107">
        <f>SUMIFS(Cost_Register!$AD$5:$AD$504,Cost_Register!$C$5:$C$504,$A7,Cost_Register!$F$5:$F$504,$B7)</f>
        <v>825</v>
      </c>
      <c r="E7" s="107">
        <f>SUMIFS(Cost_Register!$AE$5:$AE$504,Cost_Register!$C$5:$C$504,$A7,Cost_Register!$F$5:$F$504,$B7)</f>
        <v>907.50000000000011</v>
      </c>
      <c r="F7" s="107">
        <f>SUMIFS(Cost_Register!$AF$5:$AF$504,Cost_Register!$C$5:$C$504,$A7,Cost_Register!$F$5:$F$504,$B7)</f>
        <v>998.25000000000034</v>
      </c>
      <c r="G7" s="107">
        <f>SUMIFS(Cost_Register!$AG$5:$AG$504,Cost_Register!$C$5:$C$504,$A7,Cost_Register!$F$5:$F$504,$B7)</f>
        <v>1098.0750000000003</v>
      </c>
      <c r="H7" s="107">
        <f t="shared" si="0"/>
        <v>4578.8250000000007</v>
      </c>
      <c r="I7" s="107">
        <f>SUMIFS(Benefits!$Q$5:$Q$304,Benefits!$C$5:$C$304,$A7)+SUMIFS(Benefits!$R$5:$R$304,Benefits!$C$5:$C$304,$A7)</f>
        <v>3158375</v>
      </c>
      <c r="J7" s="107">
        <f>SUMIFS(Benefits!$Q$5:$Q$304,Benefits!$C$5:$C$304,$A7)+SUMIFS(Benefits!$R$5:$R$304,Benefits!$C$5:$C$304,$A7)*5</f>
        <v>15791875</v>
      </c>
      <c r="K7" s="107">
        <f t="shared" si="1"/>
        <v>15787296.175000001</v>
      </c>
      <c r="L7" s="131">
        <f>IFERROR(H7/5/COUNTA(AI_Agent_Inventory!$A$5:$A$201),0)</f>
        <v>53.868529411764712</v>
      </c>
      <c r="M7" s="132" cm="1">
        <f t="array" ref="M7">IFERROR((H7/5)/SUMPRODUCT((Demand_Scenarios!$B$5:$B$504=$A7)*Demand_Scenarios!$D$5:$D$504*Demand_Scenarios!$E$5:$E$504*Demand_Scenarios!$F$5:$F$504*Demand_Scenarios!$G$5:$G$504*12),0)</f>
        <v>1.5872656839040118E-2</v>
      </c>
      <c r="N7" s="132" cm="1">
        <f t="array" ref="N7">IFERROR((H7/5)/SUMPRODUCT((Demand_Scenarios!$B$5:$B$504=$A7)*Demand_Scenarios!$D$5:$D$504*Demand_Scenarios!$E$5:$E$504*Demand_Scenarios!$F$5:$F$504*Demand_Scenarios!$G$5:$G$504*Demand_Scenarios!$I$5:$I$504*12),0)</f>
        <v>1.7252887868521867E-2</v>
      </c>
      <c r="O7" s="108">
        <f t="shared" si="2"/>
        <v>-0.99918027402558407</v>
      </c>
    </row>
    <row r="8" spans="1:15" hidden="1" x14ac:dyDescent="0.2">
      <c r="A8" t="s">
        <v>545</v>
      </c>
      <c r="B8" t="s">
        <v>549</v>
      </c>
      <c r="C8" s="107">
        <f>SUMIFS(Cost_Register!$AC$5:$AC$504,Cost_Register!$C$5:$C$504,$A8,Cost_Register!$F$5:$F$504,$B8)</f>
        <v>0</v>
      </c>
      <c r="D8" s="107">
        <f>SUMIFS(Cost_Register!$AD$5:$AD$504,Cost_Register!$C$5:$C$504,$A8,Cost_Register!$F$5:$F$504,$B8)</f>
        <v>0</v>
      </c>
      <c r="E8" s="107">
        <f>SUMIFS(Cost_Register!$AE$5:$AE$504,Cost_Register!$C$5:$C$504,$A8,Cost_Register!$F$5:$F$504,$B8)</f>
        <v>0</v>
      </c>
      <c r="F8" s="107">
        <f>SUMIFS(Cost_Register!$AF$5:$AF$504,Cost_Register!$C$5:$C$504,$A8,Cost_Register!$F$5:$F$504,$B8)</f>
        <v>0</v>
      </c>
      <c r="G8" s="107">
        <f>SUMIFS(Cost_Register!$AG$5:$AG$504,Cost_Register!$C$5:$C$504,$A8,Cost_Register!$F$5:$F$504,$B8)</f>
        <v>0</v>
      </c>
      <c r="H8" s="107">
        <f t="shared" si="0"/>
        <v>0</v>
      </c>
      <c r="I8" s="107">
        <f>SUMIFS(Benefits!$Q$5:$Q$304,Benefits!$C$5:$C$304,$A8)+SUMIFS(Benefits!$R$5:$R$304,Benefits!$C$5:$C$304,$A8)</f>
        <v>3158375</v>
      </c>
      <c r="J8" s="107">
        <f>SUMIFS(Benefits!$Q$5:$Q$304,Benefits!$C$5:$C$304,$A8)+SUMIFS(Benefits!$R$5:$R$304,Benefits!$C$5:$C$304,$A8)*5</f>
        <v>15791875</v>
      </c>
      <c r="K8" s="107">
        <f t="shared" si="1"/>
        <v>15791875</v>
      </c>
      <c r="L8" s="131">
        <f>IFERROR(H8/5/COUNTA(AI_Agent_Inventory!$A$5:$A$201),0)</f>
        <v>0</v>
      </c>
      <c r="M8" s="132" cm="1">
        <f t="array" ref="M8">IFERROR((H8/5)/SUMPRODUCT((Demand_Scenarios!$B$5:$B$504=$A8)*Demand_Scenarios!$D$5:$D$504*Demand_Scenarios!$E$5:$E$504*Demand_Scenarios!$F$5:$F$504*Demand_Scenarios!$G$5:$G$504*12),0)</f>
        <v>0</v>
      </c>
      <c r="N8" s="132" cm="1">
        <f t="array" ref="N8">IFERROR((H8/5)/SUMPRODUCT((Demand_Scenarios!$B$5:$B$504=$A8)*Demand_Scenarios!$D$5:$D$504*Demand_Scenarios!$E$5:$E$504*Demand_Scenarios!$F$5:$F$504*Demand_Scenarios!$G$5:$G$504*Demand_Scenarios!$I$5:$I$504*12),0)</f>
        <v>0</v>
      </c>
      <c r="O8" s="108">
        <f t="shared" si="2"/>
        <v>-1</v>
      </c>
    </row>
    <row r="9" spans="1:15" hidden="1" x14ac:dyDescent="0.2">
      <c r="A9" t="s">
        <v>545</v>
      </c>
      <c r="B9" t="s">
        <v>550</v>
      </c>
      <c r="C9" s="107">
        <f>SUMIFS(Cost_Register!$AC$5:$AC$504,Cost_Register!$C$5:$C$504,$A9,Cost_Register!$F$5:$F$504,$B9)</f>
        <v>0</v>
      </c>
      <c r="D9" s="107">
        <f>SUMIFS(Cost_Register!$AD$5:$AD$504,Cost_Register!$C$5:$C$504,$A9,Cost_Register!$F$5:$F$504,$B9)</f>
        <v>0</v>
      </c>
      <c r="E9" s="107">
        <f>SUMIFS(Cost_Register!$AE$5:$AE$504,Cost_Register!$C$5:$C$504,$A9,Cost_Register!$F$5:$F$504,$B9)</f>
        <v>0</v>
      </c>
      <c r="F9" s="107">
        <f>SUMIFS(Cost_Register!$AF$5:$AF$504,Cost_Register!$C$5:$C$504,$A9,Cost_Register!$F$5:$F$504,$B9)</f>
        <v>0</v>
      </c>
      <c r="G9" s="107">
        <f>SUMIFS(Cost_Register!$AG$5:$AG$504,Cost_Register!$C$5:$C$504,$A9,Cost_Register!$F$5:$F$504,$B9)</f>
        <v>0</v>
      </c>
      <c r="H9" s="107">
        <f t="shared" si="0"/>
        <v>0</v>
      </c>
      <c r="I9" s="107">
        <f>SUMIFS(Benefits!$Q$5:$Q$304,Benefits!$C$5:$C$304,$A9)+SUMIFS(Benefits!$R$5:$R$304,Benefits!$C$5:$C$304,$A9)</f>
        <v>3158375</v>
      </c>
      <c r="J9" s="107">
        <f>SUMIFS(Benefits!$Q$5:$Q$304,Benefits!$C$5:$C$304,$A9)+SUMIFS(Benefits!$R$5:$R$304,Benefits!$C$5:$C$304,$A9)*5</f>
        <v>15791875</v>
      </c>
      <c r="K9" s="107">
        <f t="shared" si="1"/>
        <v>15791875</v>
      </c>
      <c r="L9" s="131">
        <f>IFERROR(H9/5/COUNTA(AI_Agent_Inventory!$A$5:$A$201),0)</f>
        <v>0</v>
      </c>
      <c r="M9" s="132" cm="1">
        <f t="array" ref="M9">IFERROR((H9/5)/SUMPRODUCT((Demand_Scenarios!$B$5:$B$504=$A9)*Demand_Scenarios!$D$5:$D$504*Demand_Scenarios!$E$5:$E$504*Demand_Scenarios!$F$5:$F$504*Demand_Scenarios!$G$5:$G$504*12),0)</f>
        <v>0</v>
      </c>
      <c r="N9" s="132" cm="1">
        <f t="array" ref="N9">IFERROR((H9/5)/SUMPRODUCT((Demand_Scenarios!$B$5:$B$504=$A9)*Demand_Scenarios!$D$5:$D$504*Demand_Scenarios!$E$5:$E$504*Demand_Scenarios!$F$5:$F$504*Demand_Scenarios!$G$5:$G$504*Demand_Scenarios!$I$5:$I$504*12),0)</f>
        <v>0</v>
      </c>
      <c r="O9" s="108">
        <f t="shared" si="2"/>
        <v>-1</v>
      </c>
    </row>
    <row r="10" spans="1:15" hidden="1" x14ac:dyDescent="0.2">
      <c r="A10" t="s">
        <v>545</v>
      </c>
      <c r="B10" t="s">
        <v>551</v>
      </c>
      <c r="C10" s="107">
        <f>SUMIFS(Cost_Register!$AC$5:$AC$504,Cost_Register!$C$5:$C$504,$A10,Cost_Register!$F$5:$F$504,$B10)</f>
        <v>0</v>
      </c>
      <c r="D10" s="107">
        <f>SUMIFS(Cost_Register!$AD$5:$AD$504,Cost_Register!$C$5:$C$504,$A10,Cost_Register!$F$5:$F$504,$B10)</f>
        <v>0</v>
      </c>
      <c r="E10" s="107">
        <f>SUMIFS(Cost_Register!$AE$5:$AE$504,Cost_Register!$C$5:$C$504,$A10,Cost_Register!$F$5:$F$504,$B10)</f>
        <v>0</v>
      </c>
      <c r="F10" s="107">
        <f>SUMIFS(Cost_Register!$AF$5:$AF$504,Cost_Register!$C$5:$C$504,$A10,Cost_Register!$F$5:$F$504,$B10)</f>
        <v>0</v>
      </c>
      <c r="G10" s="107">
        <f>SUMIFS(Cost_Register!$AG$5:$AG$504,Cost_Register!$C$5:$C$504,$A10,Cost_Register!$F$5:$F$504,$B10)</f>
        <v>0</v>
      </c>
      <c r="H10" s="107">
        <f t="shared" si="0"/>
        <v>0</v>
      </c>
      <c r="I10" s="107">
        <f>SUMIFS(Benefits!$Q$5:$Q$304,Benefits!$C$5:$C$304,$A10)+SUMIFS(Benefits!$R$5:$R$304,Benefits!$C$5:$C$304,$A10)</f>
        <v>3158375</v>
      </c>
      <c r="J10" s="107">
        <f>SUMIFS(Benefits!$Q$5:$Q$304,Benefits!$C$5:$C$304,$A10)+SUMIFS(Benefits!$R$5:$R$304,Benefits!$C$5:$C$304,$A10)*5</f>
        <v>15791875</v>
      </c>
      <c r="K10" s="107">
        <f t="shared" si="1"/>
        <v>15791875</v>
      </c>
      <c r="L10" s="131">
        <f>IFERROR(H10/5/COUNTA(AI_Agent_Inventory!$A$5:$A$201),0)</f>
        <v>0</v>
      </c>
      <c r="M10" s="132" cm="1">
        <f t="array" ref="M10">IFERROR((H10/5)/SUMPRODUCT((Demand_Scenarios!$B$5:$B$504=$A10)*Demand_Scenarios!$D$5:$D$504*Demand_Scenarios!$E$5:$E$504*Demand_Scenarios!$F$5:$F$504*Demand_Scenarios!$G$5:$G$504*12),0)</f>
        <v>0</v>
      </c>
      <c r="N10" s="132" cm="1">
        <f t="array" ref="N10">IFERROR((H10/5)/SUMPRODUCT((Demand_Scenarios!$B$5:$B$504=$A10)*Demand_Scenarios!$D$5:$D$504*Demand_Scenarios!$E$5:$E$504*Demand_Scenarios!$F$5:$F$504*Demand_Scenarios!$G$5:$G$504*Demand_Scenarios!$I$5:$I$504*12),0)</f>
        <v>0</v>
      </c>
      <c r="O10" s="108">
        <f t="shared" si="2"/>
        <v>-1</v>
      </c>
    </row>
    <row r="11" spans="1:15" hidden="1" x14ac:dyDescent="0.2">
      <c r="A11" t="s">
        <v>545</v>
      </c>
      <c r="B11" t="s">
        <v>552</v>
      </c>
      <c r="C11" s="107">
        <f>SUMIFS(Cost_Register!$AC$5:$AC$504,Cost_Register!$C$5:$C$504,$A11,Cost_Register!$F$5:$F$504,$B11)</f>
        <v>0</v>
      </c>
      <c r="D11" s="107">
        <f>SUMIFS(Cost_Register!$AD$5:$AD$504,Cost_Register!$C$5:$C$504,$A11,Cost_Register!$F$5:$F$504,$B11)</f>
        <v>0</v>
      </c>
      <c r="E11" s="107">
        <f>SUMIFS(Cost_Register!$AE$5:$AE$504,Cost_Register!$C$5:$C$504,$A11,Cost_Register!$F$5:$F$504,$B11)</f>
        <v>0</v>
      </c>
      <c r="F11" s="107">
        <f>SUMIFS(Cost_Register!$AF$5:$AF$504,Cost_Register!$C$5:$C$504,$A11,Cost_Register!$F$5:$F$504,$B11)</f>
        <v>0</v>
      </c>
      <c r="G11" s="107">
        <f>SUMIFS(Cost_Register!$AG$5:$AG$504,Cost_Register!$C$5:$C$504,$A11,Cost_Register!$F$5:$F$504,$B11)</f>
        <v>0</v>
      </c>
      <c r="H11" s="107">
        <f t="shared" si="0"/>
        <v>0</v>
      </c>
      <c r="I11" s="107">
        <f>SUMIFS(Benefits!$Q$5:$Q$304,Benefits!$C$5:$C$304,$A11)+SUMIFS(Benefits!$R$5:$R$304,Benefits!$C$5:$C$304,$A11)</f>
        <v>3158375</v>
      </c>
      <c r="J11" s="107">
        <f>SUMIFS(Benefits!$Q$5:$Q$304,Benefits!$C$5:$C$304,$A11)+SUMIFS(Benefits!$R$5:$R$304,Benefits!$C$5:$C$304,$A11)*5</f>
        <v>15791875</v>
      </c>
      <c r="K11" s="107">
        <f t="shared" si="1"/>
        <v>15791875</v>
      </c>
      <c r="L11" s="131">
        <f>IFERROR(H11/5/COUNTA(AI_Agent_Inventory!$A$5:$A$201),0)</f>
        <v>0</v>
      </c>
      <c r="M11" s="132" cm="1">
        <f t="array" ref="M11">IFERROR((H11/5)/SUMPRODUCT((Demand_Scenarios!$B$5:$B$504=$A11)*Demand_Scenarios!$D$5:$D$504*Demand_Scenarios!$E$5:$E$504*Demand_Scenarios!$F$5:$F$504*Demand_Scenarios!$G$5:$G$504*12),0)</f>
        <v>0</v>
      </c>
      <c r="N11" s="132" cm="1">
        <f t="array" ref="N11">IFERROR((H11/5)/SUMPRODUCT((Demand_Scenarios!$B$5:$B$504=$A11)*Demand_Scenarios!$D$5:$D$504*Demand_Scenarios!$E$5:$E$504*Demand_Scenarios!$F$5:$F$504*Demand_Scenarios!$G$5:$G$504*Demand_Scenarios!$I$5:$I$504*12),0)</f>
        <v>0</v>
      </c>
      <c r="O11" s="108">
        <f t="shared" si="2"/>
        <v>-1</v>
      </c>
    </row>
    <row r="12" spans="1:15" hidden="1" x14ac:dyDescent="0.2">
      <c r="A12" t="s">
        <v>545</v>
      </c>
      <c r="B12" t="s">
        <v>553</v>
      </c>
      <c r="C12" s="107">
        <f>SUMIFS(Cost_Register!$AC$5:$AC$504,Cost_Register!$C$5:$C$504,$A12,Cost_Register!$F$5:$F$504,$B12)</f>
        <v>0</v>
      </c>
      <c r="D12" s="107">
        <f>SUMIFS(Cost_Register!$AD$5:$AD$504,Cost_Register!$C$5:$C$504,$A12,Cost_Register!$F$5:$F$504,$B12)</f>
        <v>0</v>
      </c>
      <c r="E12" s="107">
        <f>SUMIFS(Cost_Register!$AE$5:$AE$504,Cost_Register!$C$5:$C$504,$A12,Cost_Register!$F$5:$F$504,$B12)</f>
        <v>0</v>
      </c>
      <c r="F12" s="107">
        <f>SUMIFS(Cost_Register!$AF$5:$AF$504,Cost_Register!$C$5:$C$504,$A12,Cost_Register!$F$5:$F$504,$B12)</f>
        <v>0</v>
      </c>
      <c r="G12" s="107">
        <f>SUMIFS(Cost_Register!$AG$5:$AG$504,Cost_Register!$C$5:$C$504,$A12,Cost_Register!$F$5:$F$504,$B12)</f>
        <v>100000</v>
      </c>
      <c r="H12" s="107">
        <f t="shared" si="0"/>
        <v>100000</v>
      </c>
      <c r="I12" s="107">
        <f>SUMIFS(Benefits!$Q$5:$Q$304,Benefits!$C$5:$C$304,$A12)+SUMIFS(Benefits!$R$5:$R$304,Benefits!$C$5:$C$304,$A12)</f>
        <v>3158375</v>
      </c>
      <c r="J12" s="107">
        <f>SUMIFS(Benefits!$Q$5:$Q$304,Benefits!$C$5:$C$304,$A12)+SUMIFS(Benefits!$R$5:$R$304,Benefits!$C$5:$C$304,$A12)*5</f>
        <v>15791875</v>
      </c>
      <c r="K12" s="107">
        <f t="shared" si="1"/>
        <v>15691875</v>
      </c>
      <c r="L12" s="131">
        <f>IFERROR(H12/5/COUNTA(AI_Agent_Inventory!$A$5:$A$201),0)</f>
        <v>1176.4705882352941</v>
      </c>
      <c r="M12" s="132" cm="1">
        <f t="array" ref="M12">IFERROR((H12/5)/SUMPRODUCT((Demand_Scenarios!$B$5:$B$504=$A12)*Demand_Scenarios!$D$5:$D$504*Demand_Scenarios!$E$5:$E$504*Demand_Scenarios!$F$5:$F$504*Demand_Scenarios!$G$5:$G$504*12),0)</f>
        <v>0.34665349383390098</v>
      </c>
      <c r="N12" s="132" cm="1">
        <f t="array" ref="N12">IFERROR((H12/5)/SUMPRODUCT((Demand_Scenarios!$B$5:$B$504=$A12)*Demand_Scenarios!$D$5:$D$504*Demand_Scenarios!$E$5:$E$504*Demand_Scenarios!$F$5:$F$504*Demand_Scenarios!$G$5:$G$504*Demand_Scenarios!$I$5:$I$504*12),0)</f>
        <v>0.3767972759064141</v>
      </c>
      <c r="O12" s="108">
        <f t="shared" si="2"/>
        <v>-0.98209746005981979</v>
      </c>
    </row>
    <row r="13" spans="1:15" x14ac:dyDescent="0.2">
      <c r="A13" s="55" t="s">
        <v>545</v>
      </c>
      <c r="B13" s="55" t="s">
        <v>554</v>
      </c>
      <c r="C13" s="107">
        <f t="shared" ref="C13:H13" si="3">SUM(C5:C12)</f>
        <v>917141.88</v>
      </c>
      <c r="D13" s="107">
        <f t="shared" si="3"/>
        <v>666608.63639999996</v>
      </c>
      <c r="E13" s="107">
        <f t="shared" si="3"/>
        <v>686664.64549199992</v>
      </c>
      <c r="F13" s="107">
        <f t="shared" si="3"/>
        <v>707328.1098567599</v>
      </c>
      <c r="G13" s="107">
        <f t="shared" si="3"/>
        <v>828617.8306524629</v>
      </c>
      <c r="H13" s="107">
        <f t="shared" si="3"/>
        <v>3806361.102401223</v>
      </c>
      <c r="I13" s="107">
        <f>SUMIFS(Benefits!$Q$5:$Q$304,Benefits!$C$5:$C$304,$A13)+SUMIFS(Benefits!$R$5:$R$304,Benefits!$C$5:$C$304,$A13)</f>
        <v>3158375</v>
      </c>
      <c r="J13" s="107">
        <f>SUMIFS(Benefits!$Q$5:$Q$304,Benefits!$C$5:$C$304,$A13)+SUMIFS(Benefits!$R$5:$R$304,Benefits!$C$5:$C$304,$A13)*5</f>
        <v>15791875</v>
      </c>
      <c r="K13" s="107">
        <f t="shared" si="1"/>
        <v>11985513.897598777</v>
      </c>
      <c r="L13" s="131">
        <f>IFERROR(H13/5/COUNTA(AI_Agent_Inventory!$A$5:$A$201),0)</f>
        <v>44780.718851779093</v>
      </c>
      <c r="M13" s="132" cm="1">
        <f t="array" ref="M13">IFERROR((H13/5)/SUMPRODUCT((Demand_Scenarios!$B$5:$B$504=$A13)*Demand_Scenarios!$D$5:$D$504*Demand_Scenarios!$E$5:$E$504*Demand_Scenarios!$F$5:$F$504*Demand_Scenarios!$G$5:$G$504*12),0)</f>
        <v>13.194883749408429</v>
      </c>
      <c r="N13" s="132" cm="1">
        <f t="array" ref="N13">IFERROR((H13/5)/SUMPRODUCT((Demand_Scenarios!$B$5:$B$504=$A13)*Demand_Scenarios!$D$5:$D$504*Demand_Scenarios!$E$5:$E$504*Demand_Scenarios!$F$5:$F$504*Demand_Scenarios!$G$5:$G$504*Demand_Scenarios!$I$5:$I$504*12),0)</f>
        <v>14.342264945009161</v>
      </c>
      <c r="O13" s="109">
        <f>IFERROR(H13/SUMIFS($H$5:$H$49,$A$5:$A$49,"PepsiCo standard",$B$5:$B$49,"TOTAL")-1,0)</f>
        <v>-0.33054954685061522</v>
      </c>
    </row>
    <row r="14" spans="1:15" hidden="1" x14ac:dyDescent="0.2">
      <c r="A14" t="s">
        <v>555</v>
      </c>
      <c r="B14" t="s">
        <v>546</v>
      </c>
      <c r="C14" s="107">
        <f>SUMIFS(Cost_Register!$AC$5:$AC$504,Cost_Register!$C$5:$C$504,$A14,Cost_Register!$F$5:$F$504,$B14)</f>
        <v>450000</v>
      </c>
      <c r="D14" s="107">
        <f>SUMIFS(Cost_Register!$AD$5:$AD$504,Cost_Register!$C$5:$C$504,$A14,Cost_Register!$F$5:$F$504,$B14)</f>
        <v>0</v>
      </c>
      <c r="E14" s="107">
        <f>SUMIFS(Cost_Register!$AE$5:$AE$504,Cost_Register!$C$5:$C$504,$A14,Cost_Register!$F$5:$F$504,$B14)</f>
        <v>0</v>
      </c>
      <c r="F14" s="107">
        <f>SUMIFS(Cost_Register!$AF$5:$AF$504,Cost_Register!$C$5:$C$504,$A14,Cost_Register!$F$5:$F$504,$B14)</f>
        <v>0</v>
      </c>
      <c r="G14" s="107">
        <f>SUMIFS(Cost_Register!$AG$5:$AG$504,Cost_Register!$C$5:$C$504,$A14,Cost_Register!$F$5:$F$504,$B14)</f>
        <v>0</v>
      </c>
      <c r="H14" s="107">
        <f t="shared" ref="H14:H21" si="4">SUM(C14:G14)</f>
        <v>450000</v>
      </c>
      <c r="I14" s="107">
        <f>SUMIFS(Benefits!$Q$5:$Q$304,Benefits!$C$5:$C$304,$A14)+SUMIFS(Benefits!$R$5:$R$304,Benefits!$C$5:$C$304,$A14)</f>
        <v>7580100</v>
      </c>
      <c r="J14" s="107">
        <f>SUMIFS(Benefits!$Q$5:$Q$304,Benefits!$C$5:$C$304,$A14)+SUMIFS(Benefits!$R$5:$R$304,Benefits!$C$5:$C$304,$A14)*5</f>
        <v>37900500</v>
      </c>
      <c r="K14" s="107">
        <f t="shared" si="1"/>
        <v>37450500</v>
      </c>
      <c r="L14" s="131">
        <f>IFERROR(H14/5/COUNTA(AI_Agent_Inventory!$A$5:$A$201),0)</f>
        <v>5294.1176470588234</v>
      </c>
      <c r="M14" s="132" cm="1">
        <f t="array" ref="M14">IFERROR((H14/5)/SUMPRODUCT((Demand_Scenarios!$B$5:$B$504=$A14)*Demand_Scenarios!$D$5:$D$504*Demand_Scenarios!$E$5:$E$504*Demand_Scenarios!$F$5:$F$504*Demand_Scenarios!$G$5:$G$504*12),0)</f>
        <v>0.64997530093856437</v>
      </c>
      <c r="N14" s="132" cm="1">
        <f t="array" ref="N14">IFERROR((H14/5)/SUMPRODUCT((Demand_Scenarios!$B$5:$B$504=$A14)*Demand_Scenarios!$D$5:$D$504*Demand_Scenarios!$E$5:$E$504*Demand_Scenarios!$F$5:$F$504*Demand_Scenarios!$G$5:$G$504*Demand_Scenarios!$I$5:$I$504*12),0)</f>
        <v>0.69146308610485574</v>
      </c>
      <c r="O14" s="108">
        <f t="shared" ref="O14:O21" si="5">IFERROR(H14/SUMIFS($H$5:$H$44,$A$5:$A$44,"PepsiCo standard")-1,0)</f>
        <v>-0.91943857026918896</v>
      </c>
    </row>
    <row r="15" spans="1:15" hidden="1" x14ac:dyDescent="0.2">
      <c r="A15" t="s">
        <v>555</v>
      </c>
      <c r="B15" t="s">
        <v>547</v>
      </c>
      <c r="C15" s="107">
        <f>SUMIFS(Cost_Register!$AC$5:$AC$504,Cost_Register!$C$5:$C$504,$A15,Cost_Register!$F$5:$F$504,$B15)</f>
        <v>964764</v>
      </c>
      <c r="D15" s="107">
        <f>SUMIFS(Cost_Register!$AD$5:$AD$504,Cost_Register!$C$5:$C$504,$A15,Cost_Register!$F$5:$F$504,$B15)</f>
        <v>993706.91999999993</v>
      </c>
      <c r="E15" s="107">
        <f>SUMIFS(Cost_Register!$AE$5:$AE$504,Cost_Register!$C$5:$C$504,$A15,Cost_Register!$F$5:$F$504,$B15)</f>
        <v>1023518.1276000001</v>
      </c>
      <c r="F15" s="107">
        <f>SUMIFS(Cost_Register!$AF$5:$AF$504,Cost_Register!$C$5:$C$504,$A15,Cost_Register!$F$5:$F$504,$B15)</f>
        <v>1054223.6714279999</v>
      </c>
      <c r="G15" s="107">
        <f>SUMIFS(Cost_Register!$AG$5:$AG$504,Cost_Register!$C$5:$C$504,$A15,Cost_Register!$F$5:$F$504,$B15)</f>
        <v>1085850.3815708403</v>
      </c>
      <c r="H15" s="107">
        <f t="shared" si="4"/>
        <v>5122063.10059884</v>
      </c>
      <c r="I15" s="107">
        <f>SUMIFS(Benefits!$Q$5:$Q$304,Benefits!$C$5:$C$304,$A15)+SUMIFS(Benefits!$R$5:$R$304,Benefits!$C$5:$C$304,$A15)</f>
        <v>7580100</v>
      </c>
      <c r="J15" s="107">
        <f>SUMIFS(Benefits!$Q$5:$Q$304,Benefits!$C$5:$C$304,$A15)+SUMIFS(Benefits!$R$5:$R$304,Benefits!$C$5:$C$304,$A15)*5</f>
        <v>37900500</v>
      </c>
      <c r="K15" s="107">
        <f t="shared" si="1"/>
        <v>32778436.899401158</v>
      </c>
      <c r="L15" s="131">
        <f>IFERROR(H15/5/COUNTA(AI_Agent_Inventory!$A$5:$A$201),0)</f>
        <v>60259.565889398116</v>
      </c>
      <c r="M15" s="132" cm="1">
        <f t="array" ref="M15">IFERROR((H15/5)/SUMPRODUCT((Demand_Scenarios!$B$5:$B$504=$A15)*Demand_Scenarios!$D$5:$D$504*Demand_Scenarios!$E$5:$E$504*Demand_Scenarios!$F$5:$F$504*Demand_Scenarios!$G$5:$G$504*12),0)</f>
        <v>7.3982544560845493</v>
      </c>
      <c r="N15" s="132" cm="1">
        <f t="array" ref="N15">IFERROR((H15/5)/SUMPRODUCT((Demand_Scenarios!$B$5:$B$504=$A15)*Demand_Scenarios!$D$5:$D$504*Demand_Scenarios!$E$5:$E$504*Demand_Scenarios!$F$5:$F$504*Demand_Scenarios!$G$5:$G$504*Demand_Scenarios!$I$5:$I$504*12),0)</f>
        <v>7.870483463919733</v>
      </c>
      <c r="O15" s="108">
        <f t="shared" si="5"/>
        <v>-8.3020607654058831E-2</v>
      </c>
    </row>
    <row r="16" spans="1:15" hidden="1" x14ac:dyDescent="0.2">
      <c r="A16" t="s">
        <v>555</v>
      </c>
      <c r="B16" t="s">
        <v>548</v>
      </c>
      <c r="C16" s="107">
        <f>SUMIFS(Cost_Register!$AC$5:$AC$504,Cost_Register!$C$5:$C$504,$A16,Cost_Register!$F$5:$F$504,$B16)</f>
        <v>1750</v>
      </c>
      <c r="D16" s="107">
        <f>SUMIFS(Cost_Register!$AD$5:$AD$504,Cost_Register!$C$5:$C$504,$A16,Cost_Register!$F$5:$F$504,$B16)</f>
        <v>1925.0000000000002</v>
      </c>
      <c r="E16" s="107">
        <f>SUMIFS(Cost_Register!$AE$5:$AE$504,Cost_Register!$C$5:$C$504,$A16,Cost_Register!$F$5:$F$504,$B16)</f>
        <v>2117.5000000000005</v>
      </c>
      <c r="F16" s="107">
        <f>SUMIFS(Cost_Register!$AF$5:$AF$504,Cost_Register!$C$5:$C$504,$A16,Cost_Register!$F$5:$F$504,$B16)</f>
        <v>2329.2500000000009</v>
      </c>
      <c r="G16" s="107">
        <f>SUMIFS(Cost_Register!$AG$5:$AG$504,Cost_Register!$C$5:$C$504,$A16,Cost_Register!$F$5:$F$504,$B16)</f>
        <v>2562.1750000000011</v>
      </c>
      <c r="H16" s="107">
        <f t="shared" si="4"/>
        <v>10683.925000000003</v>
      </c>
      <c r="I16" s="107">
        <f>SUMIFS(Benefits!$Q$5:$Q$304,Benefits!$C$5:$C$304,$A16)+SUMIFS(Benefits!$R$5:$R$304,Benefits!$C$5:$C$304,$A16)</f>
        <v>7580100</v>
      </c>
      <c r="J16" s="107">
        <f>SUMIFS(Benefits!$Q$5:$Q$304,Benefits!$C$5:$C$304,$A16)+SUMIFS(Benefits!$R$5:$R$304,Benefits!$C$5:$C$304,$A16)*5</f>
        <v>37900500</v>
      </c>
      <c r="K16" s="107">
        <f t="shared" si="1"/>
        <v>37889816.075000003</v>
      </c>
      <c r="L16" s="131">
        <f>IFERROR(H16/5/COUNTA(AI_Agent_Inventory!$A$5:$A$201),0)</f>
        <v>125.6932352941177</v>
      </c>
      <c r="M16" s="132" cm="1">
        <f t="array" ref="M16">IFERROR((H16/5)/SUMPRODUCT((Demand_Scenarios!$B$5:$B$504=$A16)*Demand_Scenarios!$D$5:$D$504*Demand_Scenarios!$E$5:$E$504*Demand_Scenarios!$F$5:$F$504*Demand_Scenarios!$G$5:$G$504*12),0)</f>
        <v>1.5431749704622343E-2</v>
      </c>
      <c r="N16" s="132" cm="1">
        <f t="array" ref="N16">IFERROR((H16/5)/SUMPRODUCT((Demand_Scenarios!$B$5:$B$504=$A16)*Demand_Scenarios!$D$5:$D$504*Demand_Scenarios!$E$5:$E$504*Demand_Scenarios!$F$5:$F$504*Demand_Scenarios!$G$5:$G$504*Demand_Scenarios!$I$5:$I$504*12),0)</f>
        <v>1.6416755004917384E-2</v>
      </c>
      <c r="O16" s="108">
        <f t="shared" si="5"/>
        <v>-0.99808730605969609</v>
      </c>
    </row>
    <row r="17" spans="1:15" hidden="1" x14ac:dyDescent="0.2">
      <c r="A17" t="s">
        <v>555</v>
      </c>
      <c r="B17" t="s">
        <v>549</v>
      </c>
      <c r="C17" s="107">
        <f>SUMIFS(Cost_Register!$AC$5:$AC$504,Cost_Register!$C$5:$C$504,$A17,Cost_Register!$F$5:$F$504,$B17)</f>
        <v>0</v>
      </c>
      <c r="D17" s="107">
        <f>SUMIFS(Cost_Register!$AD$5:$AD$504,Cost_Register!$C$5:$C$504,$A17,Cost_Register!$F$5:$F$504,$B17)</f>
        <v>0</v>
      </c>
      <c r="E17" s="107">
        <f>SUMIFS(Cost_Register!$AE$5:$AE$504,Cost_Register!$C$5:$C$504,$A17,Cost_Register!$F$5:$F$504,$B17)</f>
        <v>0</v>
      </c>
      <c r="F17" s="107">
        <f>SUMIFS(Cost_Register!$AF$5:$AF$504,Cost_Register!$C$5:$C$504,$A17,Cost_Register!$F$5:$F$504,$B17)</f>
        <v>0</v>
      </c>
      <c r="G17" s="107">
        <f>SUMIFS(Cost_Register!$AG$5:$AG$504,Cost_Register!$C$5:$C$504,$A17,Cost_Register!$F$5:$F$504,$B17)</f>
        <v>0</v>
      </c>
      <c r="H17" s="107">
        <f t="shared" si="4"/>
        <v>0</v>
      </c>
      <c r="I17" s="107">
        <f>SUMIFS(Benefits!$Q$5:$Q$304,Benefits!$C$5:$C$304,$A17)+SUMIFS(Benefits!$R$5:$R$304,Benefits!$C$5:$C$304,$A17)</f>
        <v>7580100</v>
      </c>
      <c r="J17" s="107">
        <f>SUMIFS(Benefits!$Q$5:$Q$304,Benefits!$C$5:$C$304,$A17)+SUMIFS(Benefits!$R$5:$R$304,Benefits!$C$5:$C$304,$A17)*5</f>
        <v>37900500</v>
      </c>
      <c r="K17" s="107">
        <f t="shared" si="1"/>
        <v>37900500</v>
      </c>
      <c r="L17" s="131">
        <f>IFERROR(H17/5/COUNTA(AI_Agent_Inventory!$A$5:$A$201),0)</f>
        <v>0</v>
      </c>
      <c r="M17" s="132" cm="1">
        <f t="array" ref="M17">IFERROR((H17/5)/SUMPRODUCT((Demand_Scenarios!$B$5:$B$504=$A17)*Demand_Scenarios!$D$5:$D$504*Demand_Scenarios!$E$5:$E$504*Demand_Scenarios!$F$5:$F$504*Demand_Scenarios!$G$5:$G$504*12),0)</f>
        <v>0</v>
      </c>
      <c r="N17" s="132" cm="1">
        <f t="array" ref="N17">IFERROR((H17/5)/SUMPRODUCT((Demand_Scenarios!$B$5:$B$504=$A17)*Demand_Scenarios!$D$5:$D$504*Demand_Scenarios!$E$5:$E$504*Demand_Scenarios!$F$5:$F$504*Demand_Scenarios!$G$5:$G$504*Demand_Scenarios!$I$5:$I$504*12),0)</f>
        <v>0</v>
      </c>
      <c r="O17" s="108">
        <f t="shared" si="5"/>
        <v>-1</v>
      </c>
    </row>
    <row r="18" spans="1:15" hidden="1" x14ac:dyDescent="0.2">
      <c r="A18" t="s">
        <v>555</v>
      </c>
      <c r="B18" t="s">
        <v>550</v>
      </c>
      <c r="C18" s="107">
        <f>SUMIFS(Cost_Register!$AC$5:$AC$504,Cost_Register!$C$5:$C$504,$A18,Cost_Register!$F$5:$F$504,$B18)</f>
        <v>0</v>
      </c>
      <c r="D18" s="107">
        <f>SUMIFS(Cost_Register!$AD$5:$AD$504,Cost_Register!$C$5:$C$504,$A18,Cost_Register!$F$5:$F$504,$B18)</f>
        <v>0</v>
      </c>
      <c r="E18" s="107">
        <f>SUMIFS(Cost_Register!$AE$5:$AE$504,Cost_Register!$C$5:$C$504,$A18,Cost_Register!$F$5:$F$504,$B18)</f>
        <v>0</v>
      </c>
      <c r="F18" s="107">
        <f>SUMIFS(Cost_Register!$AF$5:$AF$504,Cost_Register!$C$5:$C$504,$A18,Cost_Register!$F$5:$F$504,$B18)</f>
        <v>0</v>
      </c>
      <c r="G18" s="107">
        <f>SUMIFS(Cost_Register!$AG$5:$AG$504,Cost_Register!$C$5:$C$504,$A18,Cost_Register!$F$5:$F$504,$B18)</f>
        <v>0</v>
      </c>
      <c r="H18" s="107">
        <f t="shared" si="4"/>
        <v>0</v>
      </c>
      <c r="I18" s="107">
        <f>SUMIFS(Benefits!$Q$5:$Q$304,Benefits!$C$5:$C$304,$A18)+SUMIFS(Benefits!$R$5:$R$304,Benefits!$C$5:$C$304,$A18)</f>
        <v>7580100</v>
      </c>
      <c r="J18" s="107">
        <f>SUMIFS(Benefits!$Q$5:$Q$304,Benefits!$C$5:$C$304,$A18)+SUMIFS(Benefits!$R$5:$R$304,Benefits!$C$5:$C$304,$A18)*5</f>
        <v>37900500</v>
      </c>
      <c r="K18" s="107">
        <f t="shared" si="1"/>
        <v>37900500</v>
      </c>
      <c r="L18" s="131">
        <f>IFERROR(H18/5/COUNTA(AI_Agent_Inventory!$A$5:$A$201),0)</f>
        <v>0</v>
      </c>
      <c r="M18" s="132" cm="1">
        <f t="array" ref="M18">IFERROR((H18/5)/SUMPRODUCT((Demand_Scenarios!$B$5:$B$504=$A18)*Demand_Scenarios!$D$5:$D$504*Demand_Scenarios!$E$5:$E$504*Demand_Scenarios!$F$5:$F$504*Demand_Scenarios!$G$5:$G$504*12),0)</f>
        <v>0</v>
      </c>
      <c r="N18" s="132" cm="1">
        <f t="array" ref="N18">IFERROR((H18/5)/SUMPRODUCT((Demand_Scenarios!$B$5:$B$504=$A18)*Demand_Scenarios!$D$5:$D$504*Demand_Scenarios!$E$5:$E$504*Demand_Scenarios!$F$5:$F$504*Demand_Scenarios!$G$5:$G$504*Demand_Scenarios!$I$5:$I$504*12),0)</f>
        <v>0</v>
      </c>
      <c r="O18" s="108">
        <f t="shared" si="5"/>
        <v>-1</v>
      </c>
    </row>
    <row r="19" spans="1:15" hidden="1" x14ac:dyDescent="0.2">
      <c r="A19" t="s">
        <v>555</v>
      </c>
      <c r="B19" t="s">
        <v>551</v>
      </c>
      <c r="C19" s="107">
        <f>SUMIFS(Cost_Register!$AC$5:$AC$504,Cost_Register!$C$5:$C$504,$A19,Cost_Register!$F$5:$F$504,$B19)</f>
        <v>0</v>
      </c>
      <c r="D19" s="107">
        <f>SUMIFS(Cost_Register!$AD$5:$AD$504,Cost_Register!$C$5:$C$504,$A19,Cost_Register!$F$5:$F$504,$B19)</f>
        <v>0</v>
      </c>
      <c r="E19" s="107">
        <f>SUMIFS(Cost_Register!$AE$5:$AE$504,Cost_Register!$C$5:$C$504,$A19,Cost_Register!$F$5:$F$504,$B19)</f>
        <v>0</v>
      </c>
      <c r="F19" s="107">
        <f>SUMIFS(Cost_Register!$AF$5:$AF$504,Cost_Register!$C$5:$C$504,$A19,Cost_Register!$F$5:$F$504,$B19)</f>
        <v>0</v>
      </c>
      <c r="G19" s="107">
        <f>SUMIFS(Cost_Register!$AG$5:$AG$504,Cost_Register!$C$5:$C$504,$A19,Cost_Register!$F$5:$F$504,$B19)</f>
        <v>0</v>
      </c>
      <c r="H19" s="107">
        <f t="shared" si="4"/>
        <v>0</v>
      </c>
      <c r="I19" s="107">
        <f>SUMIFS(Benefits!$Q$5:$Q$304,Benefits!$C$5:$C$304,$A19)+SUMIFS(Benefits!$R$5:$R$304,Benefits!$C$5:$C$304,$A19)</f>
        <v>7580100</v>
      </c>
      <c r="J19" s="107">
        <f>SUMIFS(Benefits!$Q$5:$Q$304,Benefits!$C$5:$C$304,$A19)+SUMIFS(Benefits!$R$5:$R$304,Benefits!$C$5:$C$304,$A19)*5</f>
        <v>37900500</v>
      </c>
      <c r="K19" s="107">
        <f t="shared" si="1"/>
        <v>37900500</v>
      </c>
      <c r="L19" s="131">
        <f>IFERROR(H19/5/COUNTA(AI_Agent_Inventory!$A$5:$A$201),0)</f>
        <v>0</v>
      </c>
      <c r="M19" s="132" cm="1">
        <f t="array" ref="M19">IFERROR((H19/5)/SUMPRODUCT((Demand_Scenarios!$B$5:$B$504=$A19)*Demand_Scenarios!$D$5:$D$504*Demand_Scenarios!$E$5:$E$504*Demand_Scenarios!$F$5:$F$504*Demand_Scenarios!$G$5:$G$504*12),0)</f>
        <v>0</v>
      </c>
      <c r="N19" s="132" cm="1">
        <f t="array" ref="N19">IFERROR((H19/5)/SUMPRODUCT((Demand_Scenarios!$B$5:$B$504=$A19)*Demand_Scenarios!$D$5:$D$504*Demand_Scenarios!$E$5:$E$504*Demand_Scenarios!$F$5:$F$504*Demand_Scenarios!$G$5:$G$504*Demand_Scenarios!$I$5:$I$504*12),0)</f>
        <v>0</v>
      </c>
      <c r="O19" s="108">
        <f t="shared" si="5"/>
        <v>-1</v>
      </c>
    </row>
    <row r="20" spans="1:15" hidden="1" x14ac:dyDescent="0.2">
      <c r="A20" t="s">
        <v>555</v>
      </c>
      <c r="B20" t="s">
        <v>552</v>
      </c>
      <c r="C20" s="107">
        <f>SUMIFS(Cost_Register!$AC$5:$AC$504,Cost_Register!$C$5:$C$504,$A20,Cost_Register!$F$5:$F$504,$B20)</f>
        <v>0</v>
      </c>
      <c r="D20" s="107">
        <f>SUMIFS(Cost_Register!$AD$5:$AD$504,Cost_Register!$C$5:$C$504,$A20,Cost_Register!$F$5:$F$504,$B20)</f>
        <v>0</v>
      </c>
      <c r="E20" s="107">
        <f>SUMIFS(Cost_Register!$AE$5:$AE$504,Cost_Register!$C$5:$C$504,$A20,Cost_Register!$F$5:$F$504,$B20)</f>
        <v>0</v>
      </c>
      <c r="F20" s="107">
        <f>SUMIFS(Cost_Register!$AF$5:$AF$504,Cost_Register!$C$5:$C$504,$A20,Cost_Register!$F$5:$F$504,$B20)</f>
        <v>0</v>
      </c>
      <c r="G20" s="107">
        <f>SUMIFS(Cost_Register!$AG$5:$AG$504,Cost_Register!$C$5:$C$504,$A20,Cost_Register!$F$5:$F$504,$B20)</f>
        <v>0</v>
      </c>
      <c r="H20" s="107">
        <f t="shared" si="4"/>
        <v>0</v>
      </c>
      <c r="I20" s="107">
        <f>SUMIFS(Benefits!$Q$5:$Q$304,Benefits!$C$5:$C$304,$A20)+SUMIFS(Benefits!$R$5:$R$304,Benefits!$C$5:$C$304,$A20)</f>
        <v>7580100</v>
      </c>
      <c r="J20" s="107">
        <f>SUMIFS(Benefits!$Q$5:$Q$304,Benefits!$C$5:$C$304,$A20)+SUMIFS(Benefits!$R$5:$R$304,Benefits!$C$5:$C$304,$A20)*5</f>
        <v>37900500</v>
      </c>
      <c r="K20" s="107">
        <f t="shared" si="1"/>
        <v>37900500</v>
      </c>
      <c r="L20" s="131">
        <f>IFERROR(H20/5/COUNTA(AI_Agent_Inventory!$A$5:$A$201),0)</f>
        <v>0</v>
      </c>
      <c r="M20" s="132" cm="1">
        <f t="array" ref="M20">IFERROR((H20/5)/SUMPRODUCT((Demand_Scenarios!$B$5:$B$504=$A20)*Demand_Scenarios!$D$5:$D$504*Demand_Scenarios!$E$5:$E$504*Demand_Scenarios!$F$5:$F$504*Demand_Scenarios!$G$5:$G$504*12),0)</f>
        <v>0</v>
      </c>
      <c r="N20" s="132" cm="1">
        <f t="array" ref="N20">IFERROR((H20/5)/SUMPRODUCT((Demand_Scenarios!$B$5:$B$504=$A20)*Demand_Scenarios!$D$5:$D$504*Demand_Scenarios!$E$5:$E$504*Demand_Scenarios!$F$5:$F$504*Demand_Scenarios!$G$5:$G$504*Demand_Scenarios!$I$5:$I$504*12),0)</f>
        <v>0</v>
      </c>
      <c r="O20" s="108">
        <f t="shared" si="5"/>
        <v>-1</v>
      </c>
    </row>
    <row r="21" spans="1:15" hidden="1" x14ac:dyDescent="0.2">
      <c r="A21" t="s">
        <v>555</v>
      </c>
      <c r="B21" t="s">
        <v>553</v>
      </c>
      <c r="C21" s="107">
        <f>SUMIFS(Cost_Register!$AC$5:$AC$504,Cost_Register!$C$5:$C$504,$A21,Cost_Register!$F$5:$F$504,$B21)</f>
        <v>0</v>
      </c>
      <c r="D21" s="107">
        <f>SUMIFS(Cost_Register!$AD$5:$AD$504,Cost_Register!$C$5:$C$504,$A21,Cost_Register!$F$5:$F$504,$B21)</f>
        <v>0</v>
      </c>
      <c r="E21" s="107">
        <f>SUMIFS(Cost_Register!$AE$5:$AE$504,Cost_Register!$C$5:$C$504,$A21,Cost_Register!$F$5:$F$504,$B21)</f>
        <v>0</v>
      </c>
      <c r="F21" s="107">
        <f>SUMIFS(Cost_Register!$AF$5:$AF$504,Cost_Register!$C$5:$C$504,$A21,Cost_Register!$F$5:$F$504,$B21)</f>
        <v>0</v>
      </c>
      <c r="G21" s="107">
        <f>SUMIFS(Cost_Register!$AG$5:$AG$504,Cost_Register!$C$5:$C$504,$A21,Cost_Register!$F$5:$F$504,$B21)</f>
        <v>100000</v>
      </c>
      <c r="H21" s="107">
        <f t="shared" si="4"/>
        <v>100000</v>
      </c>
      <c r="I21" s="107">
        <f>SUMIFS(Benefits!$Q$5:$Q$304,Benefits!$C$5:$C$304,$A21)+SUMIFS(Benefits!$R$5:$R$304,Benefits!$C$5:$C$304,$A21)</f>
        <v>7580100</v>
      </c>
      <c r="J21" s="107">
        <f>SUMIFS(Benefits!$Q$5:$Q$304,Benefits!$C$5:$C$304,$A21)+SUMIFS(Benefits!$R$5:$R$304,Benefits!$C$5:$C$304,$A21)*5</f>
        <v>37900500</v>
      </c>
      <c r="K21" s="107">
        <f t="shared" si="1"/>
        <v>37800500</v>
      </c>
      <c r="L21" s="131">
        <f>IFERROR(H21/5/COUNTA(AI_Agent_Inventory!$A$5:$A$201),0)</f>
        <v>1176.4705882352941</v>
      </c>
      <c r="M21" s="132" cm="1">
        <f t="array" ref="M21">IFERROR((H21/5)/SUMPRODUCT((Demand_Scenarios!$B$5:$B$504=$A21)*Demand_Scenarios!$D$5:$D$504*Demand_Scenarios!$E$5:$E$504*Demand_Scenarios!$F$5:$F$504*Demand_Scenarios!$G$5:$G$504*12),0)</f>
        <v>0.14443895576412541</v>
      </c>
      <c r="N21" s="132" cm="1">
        <f t="array" ref="N21">IFERROR((H21/5)/SUMPRODUCT((Demand_Scenarios!$B$5:$B$504=$A21)*Demand_Scenarios!$D$5:$D$504*Demand_Scenarios!$E$5:$E$504*Demand_Scenarios!$F$5:$F$504*Demand_Scenarios!$G$5:$G$504*Demand_Scenarios!$I$5:$I$504*12),0)</f>
        <v>0.15365846357885682</v>
      </c>
      <c r="O21" s="108">
        <f t="shared" si="5"/>
        <v>-0.98209746005981979</v>
      </c>
    </row>
    <row r="22" spans="1:15" x14ac:dyDescent="0.2">
      <c r="A22" s="55" t="s">
        <v>555</v>
      </c>
      <c r="B22" s="55" t="s">
        <v>554</v>
      </c>
      <c r="C22" s="107">
        <f t="shared" ref="C22:H22" si="6">SUM(C14:C21)</f>
        <v>1416514</v>
      </c>
      <c r="D22" s="107">
        <f t="shared" si="6"/>
        <v>995631.91999999993</v>
      </c>
      <c r="E22" s="107">
        <f t="shared" si="6"/>
        <v>1025635.6276000001</v>
      </c>
      <c r="F22" s="107">
        <f t="shared" si="6"/>
        <v>1056552.9214279999</v>
      </c>
      <c r="G22" s="107">
        <f t="shared" si="6"/>
        <v>1188412.5565708403</v>
      </c>
      <c r="H22" s="107">
        <f t="shared" si="6"/>
        <v>5682747.0255988399</v>
      </c>
      <c r="I22" s="107">
        <f>SUMIFS(Benefits!$Q$5:$Q$304,Benefits!$C$5:$C$304,$A22)+SUMIFS(Benefits!$R$5:$R$304,Benefits!$C$5:$C$304,$A22)</f>
        <v>7580100</v>
      </c>
      <c r="J22" s="107">
        <f>SUMIFS(Benefits!$Q$5:$Q$304,Benefits!$C$5:$C$304,$A22)+SUMIFS(Benefits!$R$5:$R$304,Benefits!$C$5:$C$304,$A22)*5</f>
        <v>37900500</v>
      </c>
      <c r="K22" s="107">
        <f t="shared" si="1"/>
        <v>32217752.974401161</v>
      </c>
      <c r="L22" s="131">
        <f>IFERROR(H22/5/COUNTA(AI_Agent_Inventory!$A$5:$A$201),0)</f>
        <v>66855.84735998635</v>
      </c>
      <c r="M22" s="132" cm="1">
        <f t="array" ref="M22">IFERROR((H22/5)/SUMPRODUCT((Demand_Scenarios!$B$5:$B$504=$A22)*Demand_Scenarios!$D$5:$D$504*Demand_Scenarios!$E$5:$E$504*Demand_Scenarios!$F$5:$F$504*Demand_Scenarios!$G$5:$G$504*12),0)</f>
        <v>8.2081004624918599</v>
      </c>
      <c r="N22" s="132" cm="1">
        <f t="array" ref="N22">IFERROR((H22/5)/SUMPRODUCT((Demand_Scenarios!$B$5:$B$504=$A22)*Demand_Scenarios!$D$5:$D$504*Demand_Scenarios!$E$5:$E$504*Demand_Scenarios!$F$5:$F$504*Demand_Scenarios!$G$5:$G$504*Demand_Scenarios!$I$5:$I$504*12),0)</f>
        <v>8.7320217686083623</v>
      </c>
      <c r="O22" s="109">
        <f>IFERROR(H22/SUMIFS($H$5:$H$49,$A$5:$A$49,"PepsiCo standard",$B$5:$B$49,"TOTAL")-1,0)</f>
        <v>-5.368725997835222E-4</v>
      </c>
    </row>
    <row r="23" spans="1:15" hidden="1" x14ac:dyDescent="0.2">
      <c r="A23" t="s">
        <v>556</v>
      </c>
      <c r="B23" t="s">
        <v>546</v>
      </c>
      <c r="C23" s="107">
        <f>SUMIFS(Cost_Register!$AC$5:$AC$504,Cost_Register!$C$5:$C$504,$A23,Cost_Register!$F$5:$F$504,$B23)</f>
        <v>450000</v>
      </c>
      <c r="D23" s="107">
        <f>SUMIFS(Cost_Register!$AD$5:$AD$504,Cost_Register!$C$5:$C$504,$A23,Cost_Register!$F$5:$F$504,$B23)</f>
        <v>0</v>
      </c>
      <c r="E23" s="107">
        <f>SUMIFS(Cost_Register!$AE$5:$AE$504,Cost_Register!$C$5:$C$504,$A23,Cost_Register!$F$5:$F$504,$B23)</f>
        <v>0</v>
      </c>
      <c r="F23" s="107">
        <f>SUMIFS(Cost_Register!$AF$5:$AF$504,Cost_Register!$C$5:$C$504,$A23,Cost_Register!$F$5:$F$504,$B23)</f>
        <v>0</v>
      </c>
      <c r="G23" s="107">
        <f>SUMIFS(Cost_Register!$AG$5:$AG$504,Cost_Register!$C$5:$C$504,$A23,Cost_Register!$F$5:$F$504,$B23)</f>
        <v>0</v>
      </c>
      <c r="H23" s="107">
        <f t="shared" ref="H23:H30" si="7">SUM(C23:G23)</f>
        <v>450000</v>
      </c>
      <c r="I23" s="107">
        <f>SUMIFS(Benefits!$Q$5:$Q$304,Benefits!$C$5:$C$304,$A23)+SUMIFS(Benefits!$R$5:$R$304,Benefits!$C$5:$C$304,$A23)</f>
        <v>10106800</v>
      </c>
      <c r="J23" s="107">
        <f>SUMIFS(Benefits!$Q$5:$Q$304,Benefits!$C$5:$C$304,$A23)+SUMIFS(Benefits!$R$5:$R$304,Benefits!$C$5:$C$304,$A23)*5</f>
        <v>50534000</v>
      </c>
      <c r="K23" s="107">
        <f t="shared" si="1"/>
        <v>50084000</v>
      </c>
      <c r="L23" s="131">
        <f>IFERROR(H23/5/COUNTA(AI_Agent_Inventory!$A$5:$A$201),0)</f>
        <v>5294.1176470588234</v>
      </c>
      <c r="M23" s="132" cm="1">
        <f t="array" ref="M23">IFERROR((H23/5)/SUMPRODUCT((Demand_Scenarios!$B$5:$B$504=$A23)*Demand_Scenarios!$D$5:$D$504*Demand_Scenarios!$E$5:$E$504*Demand_Scenarios!$F$5:$F$504*Demand_Scenarios!$G$5:$G$504*12),0)</f>
        <v>0.48748147570392325</v>
      </c>
      <c r="N23" s="132" cm="1">
        <f t="array" ref="N23">IFERROR((H23/5)/SUMPRODUCT((Demand_Scenarios!$B$5:$B$504=$A23)*Demand_Scenarios!$D$5:$D$504*Demand_Scenarios!$E$5:$E$504*Demand_Scenarios!$F$5:$F$504*Demand_Scenarios!$G$5:$G$504*Demand_Scenarios!$I$5:$I$504*12),0)</f>
        <v>0.51313839547781381</v>
      </c>
      <c r="O23" s="108">
        <f t="shared" ref="O23:O30" si="8">IFERROR(H23/SUMIFS($H$5:$H$44,$A$5:$A$44,"PepsiCo standard")-1,0)</f>
        <v>-0.91943857026918896</v>
      </c>
    </row>
    <row r="24" spans="1:15" hidden="1" x14ac:dyDescent="0.2">
      <c r="A24" t="s">
        <v>556</v>
      </c>
      <c r="B24" t="s">
        <v>547</v>
      </c>
      <c r="C24" s="107">
        <f>SUMIFS(Cost_Register!$AC$5:$AC$504,Cost_Register!$C$5:$C$504,$A24,Cost_Register!$F$5:$F$504,$B24)</f>
        <v>1157716.8</v>
      </c>
      <c r="D24" s="107">
        <f>SUMIFS(Cost_Register!$AD$5:$AD$504,Cost_Register!$C$5:$C$504,$A24,Cost_Register!$F$5:$F$504,$B24)</f>
        <v>1192448.3040000002</v>
      </c>
      <c r="E24" s="107">
        <f>SUMIFS(Cost_Register!$AE$5:$AE$504,Cost_Register!$C$5:$C$504,$A24,Cost_Register!$F$5:$F$504,$B24)</f>
        <v>1228221.7531199998</v>
      </c>
      <c r="F24" s="107">
        <f>SUMIFS(Cost_Register!$AF$5:$AF$504,Cost_Register!$C$5:$C$504,$A24,Cost_Register!$F$5:$F$504,$B24)</f>
        <v>1265068.4057135999</v>
      </c>
      <c r="G24" s="107">
        <f>SUMIFS(Cost_Register!$AG$5:$AG$504,Cost_Register!$C$5:$C$504,$A24,Cost_Register!$F$5:$F$504,$B24)</f>
        <v>1303020.4578850081</v>
      </c>
      <c r="H24" s="107">
        <f t="shared" si="7"/>
        <v>6146475.7207186082</v>
      </c>
      <c r="I24" s="107">
        <f>SUMIFS(Benefits!$Q$5:$Q$304,Benefits!$C$5:$C$304,$A24)+SUMIFS(Benefits!$R$5:$R$304,Benefits!$C$5:$C$304,$A24)</f>
        <v>10106800</v>
      </c>
      <c r="J24" s="107">
        <f>SUMIFS(Benefits!$Q$5:$Q$304,Benefits!$C$5:$C$304,$A24)+SUMIFS(Benefits!$R$5:$R$304,Benefits!$C$5:$C$304,$A24)*5</f>
        <v>50534000</v>
      </c>
      <c r="K24" s="107">
        <f t="shared" si="1"/>
        <v>44387524.279281393</v>
      </c>
      <c r="L24" s="131">
        <f>IFERROR(H24/5/COUNTA(AI_Agent_Inventory!$A$5:$A$201),0)</f>
        <v>72311.479067277745</v>
      </c>
      <c r="M24" s="132" cm="1">
        <f t="array" ref="M24">IFERROR((H24/5)/SUMPRODUCT((Demand_Scenarios!$B$5:$B$504=$A24)*Demand_Scenarios!$D$5:$D$504*Demand_Scenarios!$E$5:$E$504*Demand_Scenarios!$F$5:$F$504*Demand_Scenarios!$G$5:$G$504*12),0)</f>
        <v>6.6584290104760937</v>
      </c>
      <c r="N24" s="132" cm="1">
        <f t="array" ref="N24">IFERROR((H24/5)/SUMPRODUCT((Demand_Scenarios!$B$5:$B$504=$A24)*Demand_Scenarios!$D$5:$D$504*Demand_Scenarios!$E$5:$E$504*Demand_Scenarios!$F$5:$F$504*Demand_Scenarios!$G$5:$G$504*Demand_Scenarios!$I$5:$I$504*12),0)</f>
        <v>7.0088726426064136</v>
      </c>
      <c r="O24" s="108">
        <f t="shared" si="8"/>
        <v>0.10037527081512954</v>
      </c>
    </row>
    <row r="25" spans="1:15" hidden="1" x14ac:dyDescent="0.2">
      <c r="A25" t="s">
        <v>556</v>
      </c>
      <c r="B25" t="s">
        <v>548</v>
      </c>
      <c r="C25" s="107">
        <f>SUMIFS(Cost_Register!$AC$5:$AC$504,Cost_Register!$C$5:$C$504,$A25,Cost_Register!$F$5:$F$504,$B25)</f>
        <v>3000</v>
      </c>
      <c r="D25" s="107">
        <f>SUMIFS(Cost_Register!$AD$5:$AD$504,Cost_Register!$C$5:$C$504,$A25,Cost_Register!$F$5:$F$504,$B25)</f>
        <v>3300</v>
      </c>
      <c r="E25" s="107">
        <f>SUMIFS(Cost_Register!$AE$5:$AE$504,Cost_Register!$C$5:$C$504,$A25,Cost_Register!$F$5:$F$504,$B25)</f>
        <v>3630.0000000000005</v>
      </c>
      <c r="F25" s="107">
        <f>SUMIFS(Cost_Register!$AF$5:$AF$504,Cost_Register!$C$5:$C$504,$A25,Cost_Register!$F$5:$F$504,$B25)</f>
        <v>3993.0000000000014</v>
      </c>
      <c r="G25" s="107">
        <f>SUMIFS(Cost_Register!$AG$5:$AG$504,Cost_Register!$C$5:$C$504,$A25,Cost_Register!$F$5:$F$504,$B25)</f>
        <v>4392.3000000000011</v>
      </c>
      <c r="H25" s="107">
        <f t="shared" si="7"/>
        <v>18315.300000000003</v>
      </c>
      <c r="I25" s="107">
        <f>SUMIFS(Benefits!$Q$5:$Q$304,Benefits!$C$5:$C$304,$A25)+SUMIFS(Benefits!$R$5:$R$304,Benefits!$C$5:$C$304,$A25)</f>
        <v>10106800</v>
      </c>
      <c r="J25" s="107">
        <f>SUMIFS(Benefits!$Q$5:$Q$304,Benefits!$C$5:$C$304,$A25)+SUMIFS(Benefits!$R$5:$R$304,Benefits!$C$5:$C$304,$A25)*5</f>
        <v>50534000</v>
      </c>
      <c r="K25" s="107">
        <f t="shared" si="1"/>
        <v>50515684.700000003</v>
      </c>
      <c r="L25" s="131">
        <f>IFERROR(H25/5/COUNTA(AI_Agent_Inventory!$A$5:$A$201),0)</f>
        <v>215.47411764705885</v>
      </c>
      <c r="M25" s="132" cm="1">
        <f t="array" ref="M25">IFERROR((H25/5)/SUMPRODUCT((Demand_Scenarios!$B$5:$B$504=$A25)*Demand_Scenarios!$D$5:$D$504*Demand_Scenarios!$E$5:$E$504*Demand_Scenarios!$F$5:$F$504*Demand_Scenarios!$G$5:$G$504*12),0)</f>
        <v>1.9840821048800149E-2</v>
      </c>
      <c r="N25" s="132" cm="1">
        <f t="array" ref="N25">IFERROR((H25/5)/SUMPRODUCT((Demand_Scenarios!$B$5:$B$504=$A25)*Demand_Scenarios!$D$5:$D$504*Demand_Scenarios!$E$5:$E$504*Demand_Scenarios!$F$5:$F$504*Demand_Scenarios!$G$5:$G$504*Demand_Scenarios!$I$5:$I$504*12),0)</f>
        <v>2.0885074788210677E-2</v>
      </c>
      <c r="O25" s="108">
        <f t="shared" si="8"/>
        <v>-0.99672109610233617</v>
      </c>
    </row>
    <row r="26" spans="1:15" hidden="1" x14ac:dyDescent="0.2">
      <c r="A26" t="s">
        <v>556</v>
      </c>
      <c r="B26" t="s">
        <v>549</v>
      </c>
      <c r="C26" s="107">
        <f>SUMIFS(Cost_Register!$AC$5:$AC$504,Cost_Register!$C$5:$C$504,$A26,Cost_Register!$F$5:$F$504,$B26)</f>
        <v>0</v>
      </c>
      <c r="D26" s="107">
        <f>SUMIFS(Cost_Register!$AD$5:$AD$504,Cost_Register!$C$5:$C$504,$A26,Cost_Register!$F$5:$F$504,$B26)</f>
        <v>0</v>
      </c>
      <c r="E26" s="107">
        <f>SUMIFS(Cost_Register!$AE$5:$AE$504,Cost_Register!$C$5:$C$504,$A26,Cost_Register!$F$5:$F$504,$B26)</f>
        <v>0</v>
      </c>
      <c r="F26" s="107">
        <f>SUMIFS(Cost_Register!$AF$5:$AF$504,Cost_Register!$C$5:$C$504,$A26,Cost_Register!$F$5:$F$504,$B26)</f>
        <v>0</v>
      </c>
      <c r="G26" s="107">
        <f>SUMIFS(Cost_Register!$AG$5:$AG$504,Cost_Register!$C$5:$C$504,$A26,Cost_Register!$F$5:$F$504,$B26)</f>
        <v>0</v>
      </c>
      <c r="H26" s="107">
        <f t="shared" si="7"/>
        <v>0</v>
      </c>
      <c r="I26" s="107">
        <f>SUMIFS(Benefits!$Q$5:$Q$304,Benefits!$C$5:$C$304,$A26)+SUMIFS(Benefits!$R$5:$R$304,Benefits!$C$5:$C$304,$A26)</f>
        <v>10106800</v>
      </c>
      <c r="J26" s="107">
        <f>SUMIFS(Benefits!$Q$5:$Q$304,Benefits!$C$5:$C$304,$A26)+SUMIFS(Benefits!$R$5:$R$304,Benefits!$C$5:$C$304,$A26)*5</f>
        <v>50534000</v>
      </c>
      <c r="K26" s="107">
        <f t="shared" si="1"/>
        <v>50534000</v>
      </c>
      <c r="L26" s="131">
        <f>IFERROR(H26/5/COUNTA(AI_Agent_Inventory!$A$5:$A$201),0)</f>
        <v>0</v>
      </c>
      <c r="M26" s="132" cm="1">
        <f t="array" ref="M26">IFERROR((H26/5)/SUMPRODUCT((Demand_Scenarios!$B$5:$B$504=$A26)*Demand_Scenarios!$D$5:$D$504*Demand_Scenarios!$E$5:$E$504*Demand_Scenarios!$F$5:$F$504*Demand_Scenarios!$G$5:$G$504*12),0)</f>
        <v>0</v>
      </c>
      <c r="N26" s="132" cm="1">
        <f t="array" ref="N26">IFERROR((H26/5)/SUMPRODUCT((Demand_Scenarios!$B$5:$B$504=$A26)*Demand_Scenarios!$D$5:$D$504*Demand_Scenarios!$E$5:$E$504*Demand_Scenarios!$F$5:$F$504*Demand_Scenarios!$G$5:$G$504*Demand_Scenarios!$I$5:$I$504*12),0)</f>
        <v>0</v>
      </c>
      <c r="O26" s="108">
        <f t="shared" si="8"/>
        <v>-1</v>
      </c>
    </row>
    <row r="27" spans="1:15" hidden="1" x14ac:dyDescent="0.2">
      <c r="A27" t="s">
        <v>556</v>
      </c>
      <c r="B27" t="s">
        <v>550</v>
      </c>
      <c r="C27" s="107">
        <f>SUMIFS(Cost_Register!$AC$5:$AC$504,Cost_Register!$C$5:$C$504,$A27,Cost_Register!$F$5:$F$504,$B27)</f>
        <v>0</v>
      </c>
      <c r="D27" s="107">
        <f>SUMIFS(Cost_Register!$AD$5:$AD$504,Cost_Register!$C$5:$C$504,$A27,Cost_Register!$F$5:$F$504,$B27)</f>
        <v>0</v>
      </c>
      <c r="E27" s="107">
        <f>SUMIFS(Cost_Register!$AE$5:$AE$504,Cost_Register!$C$5:$C$504,$A27,Cost_Register!$F$5:$F$504,$B27)</f>
        <v>0</v>
      </c>
      <c r="F27" s="107">
        <f>SUMIFS(Cost_Register!$AF$5:$AF$504,Cost_Register!$C$5:$C$504,$A27,Cost_Register!$F$5:$F$504,$B27)</f>
        <v>0</v>
      </c>
      <c r="G27" s="107">
        <f>SUMIFS(Cost_Register!$AG$5:$AG$504,Cost_Register!$C$5:$C$504,$A27,Cost_Register!$F$5:$F$504,$B27)</f>
        <v>0</v>
      </c>
      <c r="H27" s="107">
        <f t="shared" si="7"/>
        <v>0</v>
      </c>
      <c r="I27" s="107">
        <f>SUMIFS(Benefits!$Q$5:$Q$304,Benefits!$C$5:$C$304,$A27)+SUMIFS(Benefits!$R$5:$R$304,Benefits!$C$5:$C$304,$A27)</f>
        <v>10106800</v>
      </c>
      <c r="J27" s="107">
        <f>SUMIFS(Benefits!$Q$5:$Q$304,Benefits!$C$5:$C$304,$A27)+SUMIFS(Benefits!$R$5:$R$304,Benefits!$C$5:$C$304,$A27)*5</f>
        <v>50534000</v>
      </c>
      <c r="K27" s="107">
        <f t="shared" si="1"/>
        <v>50534000</v>
      </c>
      <c r="L27" s="131">
        <f>IFERROR(H27/5/COUNTA(AI_Agent_Inventory!$A$5:$A$201),0)</f>
        <v>0</v>
      </c>
      <c r="M27" s="132" cm="1">
        <f t="array" ref="M27">IFERROR((H27/5)/SUMPRODUCT((Demand_Scenarios!$B$5:$B$504=$A27)*Demand_Scenarios!$D$5:$D$504*Demand_Scenarios!$E$5:$E$504*Demand_Scenarios!$F$5:$F$504*Demand_Scenarios!$G$5:$G$504*12),0)</f>
        <v>0</v>
      </c>
      <c r="N27" s="132" cm="1">
        <f t="array" ref="N27">IFERROR((H27/5)/SUMPRODUCT((Demand_Scenarios!$B$5:$B$504=$A27)*Demand_Scenarios!$D$5:$D$504*Demand_Scenarios!$E$5:$E$504*Demand_Scenarios!$F$5:$F$504*Demand_Scenarios!$G$5:$G$504*Demand_Scenarios!$I$5:$I$504*12),0)</f>
        <v>0</v>
      </c>
      <c r="O27" s="108">
        <f t="shared" si="8"/>
        <v>-1</v>
      </c>
    </row>
    <row r="28" spans="1:15" hidden="1" x14ac:dyDescent="0.2">
      <c r="A28" t="s">
        <v>556</v>
      </c>
      <c r="B28" t="s">
        <v>551</v>
      </c>
      <c r="C28" s="107">
        <f>SUMIFS(Cost_Register!$AC$5:$AC$504,Cost_Register!$C$5:$C$504,$A28,Cost_Register!$F$5:$F$504,$B28)</f>
        <v>0</v>
      </c>
      <c r="D28" s="107">
        <f>SUMIFS(Cost_Register!$AD$5:$AD$504,Cost_Register!$C$5:$C$504,$A28,Cost_Register!$F$5:$F$504,$B28)</f>
        <v>0</v>
      </c>
      <c r="E28" s="107">
        <f>SUMIFS(Cost_Register!$AE$5:$AE$504,Cost_Register!$C$5:$C$504,$A28,Cost_Register!$F$5:$F$504,$B28)</f>
        <v>0</v>
      </c>
      <c r="F28" s="107">
        <f>SUMIFS(Cost_Register!$AF$5:$AF$504,Cost_Register!$C$5:$C$504,$A28,Cost_Register!$F$5:$F$504,$B28)</f>
        <v>0</v>
      </c>
      <c r="G28" s="107">
        <f>SUMIFS(Cost_Register!$AG$5:$AG$504,Cost_Register!$C$5:$C$504,$A28,Cost_Register!$F$5:$F$504,$B28)</f>
        <v>0</v>
      </c>
      <c r="H28" s="107">
        <f t="shared" si="7"/>
        <v>0</v>
      </c>
      <c r="I28" s="107">
        <f>SUMIFS(Benefits!$Q$5:$Q$304,Benefits!$C$5:$C$304,$A28)+SUMIFS(Benefits!$R$5:$R$304,Benefits!$C$5:$C$304,$A28)</f>
        <v>10106800</v>
      </c>
      <c r="J28" s="107">
        <f>SUMIFS(Benefits!$Q$5:$Q$304,Benefits!$C$5:$C$304,$A28)+SUMIFS(Benefits!$R$5:$R$304,Benefits!$C$5:$C$304,$A28)*5</f>
        <v>50534000</v>
      </c>
      <c r="K28" s="107">
        <f t="shared" si="1"/>
        <v>50534000</v>
      </c>
      <c r="L28" s="131">
        <f>IFERROR(H28/5/COUNTA(AI_Agent_Inventory!$A$5:$A$201),0)</f>
        <v>0</v>
      </c>
      <c r="M28" s="132" cm="1">
        <f t="array" ref="M28">IFERROR((H28/5)/SUMPRODUCT((Demand_Scenarios!$B$5:$B$504=$A28)*Demand_Scenarios!$D$5:$D$504*Demand_Scenarios!$E$5:$E$504*Demand_Scenarios!$F$5:$F$504*Demand_Scenarios!$G$5:$G$504*12),0)</f>
        <v>0</v>
      </c>
      <c r="N28" s="132" cm="1">
        <f t="array" ref="N28">IFERROR((H28/5)/SUMPRODUCT((Demand_Scenarios!$B$5:$B$504=$A28)*Demand_Scenarios!$D$5:$D$504*Demand_Scenarios!$E$5:$E$504*Demand_Scenarios!$F$5:$F$504*Demand_Scenarios!$G$5:$G$504*Demand_Scenarios!$I$5:$I$504*12),0)</f>
        <v>0</v>
      </c>
      <c r="O28" s="108">
        <f t="shared" si="8"/>
        <v>-1</v>
      </c>
    </row>
    <row r="29" spans="1:15" hidden="1" x14ac:dyDescent="0.2">
      <c r="A29" t="s">
        <v>556</v>
      </c>
      <c r="B29" t="s">
        <v>552</v>
      </c>
      <c r="C29" s="107">
        <f>SUMIFS(Cost_Register!$AC$5:$AC$504,Cost_Register!$C$5:$C$504,$A29,Cost_Register!$F$5:$F$504,$B29)</f>
        <v>0</v>
      </c>
      <c r="D29" s="107">
        <f>SUMIFS(Cost_Register!$AD$5:$AD$504,Cost_Register!$C$5:$C$504,$A29,Cost_Register!$F$5:$F$504,$B29)</f>
        <v>0</v>
      </c>
      <c r="E29" s="107">
        <f>SUMIFS(Cost_Register!$AE$5:$AE$504,Cost_Register!$C$5:$C$504,$A29,Cost_Register!$F$5:$F$504,$B29)</f>
        <v>0</v>
      </c>
      <c r="F29" s="107">
        <f>SUMIFS(Cost_Register!$AF$5:$AF$504,Cost_Register!$C$5:$C$504,$A29,Cost_Register!$F$5:$F$504,$B29)</f>
        <v>0</v>
      </c>
      <c r="G29" s="107">
        <f>SUMIFS(Cost_Register!$AG$5:$AG$504,Cost_Register!$C$5:$C$504,$A29,Cost_Register!$F$5:$F$504,$B29)</f>
        <v>0</v>
      </c>
      <c r="H29" s="107">
        <f t="shared" si="7"/>
        <v>0</v>
      </c>
      <c r="I29" s="107">
        <f>SUMIFS(Benefits!$Q$5:$Q$304,Benefits!$C$5:$C$304,$A29)+SUMIFS(Benefits!$R$5:$R$304,Benefits!$C$5:$C$304,$A29)</f>
        <v>10106800</v>
      </c>
      <c r="J29" s="107">
        <f>SUMIFS(Benefits!$Q$5:$Q$304,Benefits!$C$5:$C$304,$A29)+SUMIFS(Benefits!$R$5:$R$304,Benefits!$C$5:$C$304,$A29)*5</f>
        <v>50534000</v>
      </c>
      <c r="K29" s="107">
        <f t="shared" si="1"/>
        <v>50534000</v>
      </c>
      <c r="L29" s="131">
        <f>IFERROR(H29/5/COUNTA(AI_Agent_Inventory!$A$5:$A$201),0)</f>
        <v>0</v>
      </c>
      <c r="M29" s="132" cm="1">
        <f t="array" ref="M29">IFERROR((H29/5)/SUMPRODUCT((Demand_Scenarios!$B$5:$B$504=$A29)*Demand_Scenarios!$D$5:$D$504*Demand_Scenarios!$E$5:$E$504*Demand_Scenarios!$F$5:$F$504*Demand_Scenarios!$G$5:$G$504*12),0)</f>
        <v>0</v>
      </c>
      <c r="N29" s="132" cm="1">
        <f t="array" ref="N29">IFERROR((H29/5)/SUMPRODUCT((Demand_Scenarios!$B$5:$B$504=$A29)*Demand_Scenarios!$D$5:$D$504*Demand_Scenarios!$E$5:$E$504*Demand_Scenarios!$F$5:$F$504*Demand_Scenarios!$G$5:$G$504*Demand_Scenarios!$I$5:$I$504*12),0)</f>
        <v>0</v>
      </c>
      <c r="O29" s="108">
        <f t="shared" si="8"/>
        <v>-1</v>
      </c>
    </row>
    <row r="30" spans="1:15" hidden="1" x14ac:dyDescent="0.2">
      <c r="A30" t="s">
        <v>556</v>
      </c>
      <c r="B30" t="s">
        <v>553</v>
      </c>
      <c r="C30" s="107">
        <f>SUMIFS(Cost_Register!$AC$5:$AC$504,Cost_Register!$C$5:$C$504,$A30,Cost_Register!$F$5:$F$504,$B30)</f>
        <v>0</v>
      </c>
      <c r="D30" s="107">
        <f>SUMIFS(Cost_Register!$AD$5:$AD$504,Cost_Register!$C$5:$C$504,$A30,Cost_Register!$F$5:$F$504,$B30)</f>
        <v>0</v>
      </c>
      <c r="E30" s="107">
        <f>SUMIFS(Cost_Register!$AE$5:$AE$504,Cost_Register!$C$5:$C$504,$A30,Cost_Register!$F$5:$F$504,$B30)</f>
        <v>0</v>
      </c>
      <c r="F30" s="107">
        <f>SUMIFS(Cost_Register!$AF$5:$AF$504,Cost_Register!$C$5:$C$504,$A30,Cost_Register!$F$5:$F$504,$B30)</f>
        <v>0</v>
      </c>
      <c r="G30" s="107">
        <f>SUMIFS(Cost_Register!$AG$5:$AG$504,Cost_Register!$C$5:$C$504,$A30,Cost_Register!$F$5:$F$504,$B30)</f>
        <v>100000</v>
      </c>
      <c r="H30" s="107">
        <f t="shared" si="7"/>
        <v>100000</v>
      </c>
      <c r="I30" s="107">
        <f>SUMIFS(Benefits!$Q$5:$Q$304,Benefits!$C$5:$C$304,$A30)+SUMIFS(Benefits!$R$5:$R$304,Benefits!$C$5:$C$304,$A30)</f>
        <v>10106800</v>
      </c>
      <c r="J30" s="107">
        <f>SUMIFS(Benefits!$Q$5:$Q$304,Benefits!$C$5:$C$304,$A30)+SUMIFS(Benefits!$R$5:$R$304,Benefits!$C$5:$C$304,$A30)*5</f>
        <v>50534000</v>
      </c>
      <c r="K30" s="107">
        <f t="shared" si="1"/>
        <v>50434000</v>
      </c>
      <c r="L30" s="131">
        <f>IFERROR(H30/5/COUNTA(AI_Agent_Inventory!$A$5:$A$201),0)</f>
        <v>1176.4705882352941</v>
      </c>
      <c r="M30" s="132" cm="1">
        <f t="array" ref="M30">IFERROR((H30/5)/SUMPRODUCT((Demand_Scenarios!$B$5:$B$504=$A30)*Demand_Scenarios!$D$5:$D$504*Demand_Scenarios!$E$5:$E$504*Demand_Scenarios!$F$5:$F$504*Demand_Scenarios!$G$5:$G$504*12),0)</f>
        <v>0.10832921682309406</v>
      </c>
      <c r="N30" s="132" cm="1">
        <f t="array" ref="N30">IFERROR((H30/5)/SUMPRODUCT((Demand_Scenarios!$B$5:$B$504=$A30)*Demand_Scenarios!$D$5:$D$504*Demand_Scenarios!$E$5:$E$504*Demand_Scenarios!$F$5:$F$504*Demand_Scenarios!$G$5:$G$504*Demand_Scenarios!$I$5:$I$504*12),0)</f>
        <v>0.11403075455062531</v>
      </c>
      <c r="O30" s="108">
        <f t="shared" si="8"/>
        <v>-0.98209746005981979</v>
      </c>
    </row>
    <row r="31" spans="1:15" x14ac:dyDescent="0.2">
      <c r="A31" s="55" t="s">
        <v>556</v>
      </c>
      <c r="B31" s="55" t="s">
        <v>554</v>
      </c>
      <c r="C31" s="107">
        <f t="shared" ref="C31:H31" si="9">SUM(C23:C30)</f>
        <v>1610716.8</v>
      </c>
      <c r="D31" s="107">
        <f t="shared" si="9"/>
        <v>1195748.3040000002</v>
      </c>
      <c r="E31" s="107">
        <f t="shared" si="9"/>
        <v>1231851.7531199998</v>
      </c>
      <c r="F31" s="107">
        <f t="shared" si="9"/>
        <v>1269061.4057135999</v>
      </c>
      <c r="G31" s="107">
        <f t="shared" si="9"/>
        <v>1407412.7578850081</v>
      </c>
      <c r="H31" s="107">
        <f t="shared" si="9"/>
        <v>6714791.0207186081</v>
      </c>
      <c r="I31" s="107">
        <f>SUMIFS(Benefits!$Q$5:$Q$304,Benefits!$C$5:$C$304,$A31)+SUMIFS(Benefits!$R$5:$R$304,Benefits!$C$5:$C$304,$A31)</f>
        <v>10106800</v>
      </c>
      <c r="J31" s="107">
        <f>SUMIFS(Benefits!$Q$5:$Q$304,Benefits!$C$5:$C$304,$A31)+SUMIFS(Benefits!$R$5:$R$304,Benefits!$C$5:$C$304,$A31)*5</f>
        <v>50534000</v>
      </c>
      <c r="K31" s="107">
        <f t="shared" si="1"/>
        <v>43819208.979281396</v>
      </c>
      <c r="L31" s="131">
        <f>IFERROR(H31/5/COUNTA(AI_Agent_Inventory!$A$5:$A$201),0)</f>
        <v>78997.541420218913</v>
      </c>
      <c r="M31" s="132" cm="1">
        <f t="array" ref="M31">IFERROR((H31/5)/SUMPRODUCT((Demand_Scenarios!$B$5:$B$504=$A31)*Demand_Scenarios!$D$5:$D$504*Demand_Scenarios!$E$5:$E$504*Demand_Scenarios!$F$5:$F$504*Demand_Scenarios!$G$5:$G$504*12),0)</f>
        <v>7.2740805240519117</v>
      </c>
      <c r="N31" s="132" cm="1">
        <f t="array" ref="N31">IFERROR((H31/5)/SUMPRODUCT((Demand_Scenarios!$B$5:$B$504=$A31)*Demand_Scenarios!$D$5:$D$504*Demand_Scenarios!$E$5:$E$504*Demand_Scenarios!$F$5:$F$504*Demand_Scenarios!$G$5:$G$504*Demand_Scenarios!$I$5:$I$504*12),0)</f>
        <v>7.6569268674230635</v>
      </c>
      <c r="O31" s="109">
        <f>IFERROR(H31/SUMIFS($H$5:$H$49,$A$5:$A$49,"PepsiCo standard",$B$5:$B$49,"TOTAL")-1,0)</f>
        <v>0.18097568010237031</v>
      </c>
    </row>
    <row r="32" spans="1:15" hidden="1" x14ac:dyDescent="0.2">
      <c r="A32" t="s">
        <v>557</v>
      </c>
      <c r="B32" t="s">
        <v>546</v>
      </c>
      <c r="C32" s="107">
        <f>SUMIFS(Cost_Register!$AC$5:$AC$504,Cost_Register!$C$5:$C$504,$A32,Cost_Register!$F$5:$F$504,$B32)</f>
        <v>450000</v>
      </c>
      <c r="D32" s="107">
        <f>SUMIFS(Cost_Register!$AD$5:$AD$504,Cost_Register!$C$5:$C$504,$A32,Cost_Register!$F$5:$F$504,$B32)</f>
        <v>0</v>
      </c>
      <c r="E32" s="107">
        <f>SUMIFS(Cost_Register!$AE$5:$AE$504,Cost_Register!$C$5:$C$504,$A32,Cost_Register!$F$5:$F$504,$B32)</f>
        <v>0</v>
      </c>
      <c r="F32" s="107">
        <f>SUMIFS(Cost_Register!$AF$5:$AF$504,Cost_Register!$C$5:$C$504,$A32,Cost_Register!$F$5:$F$504,$B32)</f>
        <v>0</v>
      </c>
      <c r="G32" s="107">
        <f>SUMIFS(Cost_Register!$AG$5:$AG$504,Cost_Register!$C$5:$C$504,$A32,Cost_Register!$F$5:$F$504,$B32)</f>
        <v>0</v>
      </c>
      <c r="H32" s="107">
        <f t="shared" ref="H32:H39" si="10">SUM(C32:G32)</f>
        <v>450000</v>
      </c>
      <c r="I32" s="107">
        <f>SUMIFS(Benefits!$Q$5:$Q$304,Benefits!$C$5:$C$304,$A32)+SUMIFS(Benefits!$R$5:$R$304,Benefits!$C$5:$C$304,$A32)</f>
        <v>11370150</v>
      </c>
      <c r="J32" s="107">
        <f>SUMIFS(Benefits!$Q$5:$Q$304,Benefits!$C$5:$C$304,$A32)+SUMIFS(Benefits!$R$5:$R$304,Benefits!$C$5:$C$304,$A32)*5</f>
        <v>56850750</v>
      </c>
      <c r="K32" s="107">
        <f t="shared" si="1"/>
        <v>56400750</v>
      </c>
      <c r="L32" s="131">
        <f>IFERROR(H32/5/COUNTA(AI_Agent_Inventory!$A$5:$A$201),0)</f>
        <v>5294.1176470588234</v>
      </c>
      <c r="M32" s="132" cm="1">
        <f t="array" ref="M32">IFERROR((H32/5)/SUMPRODUCT((Demand_Scenarios!$B$5:$B$504=$A32)*Demand_Scenarios!$D$5:$D$504*Demand_Scenarios!$E$5:$E$504*Demand_Scenarios!$F$5:$F$504*Demand_Scenarios!$G$5:$G$504*12),0)</f>
        <v>0.41051071638225117</v>
      </c>
      <c r="N32" s="132" cm="1">
        <f t="array" ref="N32">IFERROR((H32/5)/SUMPRODUCT((Demand_Scenarios!$B$5:$B$504=$A32)*Demand_Scenarios!$D$5:$D$504*Demand_Scenarios!$E$5:$E$504*Demand_Scenarios!$F$5:$F$504*Demand_Scenarios!$G$5:$G$504*Demand_Scenarios!$I$5:$I$504*12),0)</f>
        <v>0.44140937245403339</v>
      </c>
      <c r="O32" s="108">
        <f t="shared" ref="O32:O39" si="11">IFERROR(H32/SUMIFS($H$5:$H$44,$A$5:$A$44,"PepsiCo standard")-1,0)</f>
        <v>-0.91943857026918896</v>
      </c>
    </row>
    <row r="33" spans="1:15" hidden="1" x14ac:dyDescent="0.2">
      <c r="A33" t="s">
        <v>557</v>
      </c>
      <c r="B33" t="s">
        <v>547</v>
      </c>
      <c r="C33" s="107">
        <f>SUMIFS(Cost_Register!$AC$5:$AC$504,Cost_Register!$C$5:$C$504,$A33,Cost_Register!$F$5:$F$504,$B33)</f>
        <v>1350669.5999999999</v>
      </c>
      <c r="D33" s="107">
        <f>SUMIFS(Cost_Register!$AD$5:$AD$504,Cost_Register!$C$5:$C$504,$A33,Cost_Register!$F$5:$F$504,$B33)</f>
        <v>1391189.6880000001</v>
      </c>
      <c r="E33" s="107">
        <f>SUMIFS(Cost_Register!$AE$5:$AE$504,Cost_Register!$C$5:$C$504,$A33,Cost_Register!$F$5:$F$504,$B33)</f>
        <v>1432925.3786399998</v>
      </c>
      <c r="F33" s="107">
        <f>SUMIFS(Cost_Register!$AF$5:$AF$504,Cost_Register!$C$5:$C$504,$A33,Cost_Register!$F$5:$F$504,$B33)</f>
        <v>1475913.1399992001</v>
      </c>
      <c r="G33" s="107">
        <f>SUMIFS(Cost_Register!$AG$5:$AG$504,Cost_Register!$C$5:$C$504,$A33,Cost_Register!$F$5:$F$504,$B33)</f>
        <v>1520190.5341991761</v>
      </c>
      <c r="H33" s="107">
        <f t="shared" si="10"/>
        <v>7170888.3408383764</v>
      </c>
      <c r="I33" s="107">
        <f>SUMIFS(Benefits!$Q$5:$Q$304,Benefits!$C$5:$C$304,$A33)+SUMIFS(Benefits!$R$5:$R$304,Benefits!$C$5:$C$304,$A33)</f>
        <v>11370150</v>
      </c>
      <c r="J33" s="107">
        <f>SUMIFS(Benefits!$Q$5:$Q$304,Benefits!$C$5:$C$304,$A33)+SUMIFS(Benefits!$R$5:$R$304,Benefits!$C$5:$C$304,$A33)*5</f>
        <v>56850750</v>
      </c>
      <c r="K33" s="107">
        <f t="shared" si="1"/>
        <v>49679861.659161627</v>
      </c>
      <c r="L33" s="131">
        <f>IFERROR(H33/5/COUNTA(AI_Agent_Inventory!$A$5:$A$201),0)</f>
        <v>84363.392245157374</v>
      </c>
      <c r="M33" s="132" cm="1">
        <f t="array" ref="M33">IFERROR((H33/5)/SUMPRODUCT((Demand_Scenarios!$B$5:$B$504=$A33)*Demand_Scenarios!$D$5:$D$504*Demand_Scenarios!$E$5:$E$504*Demand_Scenarios!$F$5:$F$504*Demand_Scenarios!$G$5:$G$504*12),0)</f>
        <v>6.5416144664326543</v>
      </c>
      <c r="N33" s="132" cm="1">
        <f t="array" ref="N33">IFERROR((H33/5)/SUMPRODUCT((Demand_Scenarios!$B$5:$B$504=$A33)*Demand_Scenarios!$D$5:$D$504*Demand_Scenarios!$E$5:$E$504*Demand_Scenarios!$F$5:$F$504*Demand_Scenarios!$G$5:$G$504*Demand_Scenarios!$I$5:$I$504*12),0)</f>
        <v>7.0339940499275837</v>
      </c>
      <c r="O33" s="108">
        <f t="shared" si="11"/>
        <v>0.28377114928431779</v>
      </c>
    </row>
    <row r="34" spans="1:15" hidden="1" x14ac:dyDescent="0.2">
      <c r="A34" t="s">
        <v>557</v>
      </c>
      <c r="B34" t="s">
        <v>548</v>
      </c>
      <c r="C34" s="107">
        <f>SUMIFS(Cost_Register!$AC$5:$AC$504,Cost_Register!$C$5:$C$504,$A34,Cost_Register!$F$5:$F$504,$B34)</f>
        <v>4500</v>
      </c>
      <c r="D34" s="107">
        <f>SUMIFS(Cost_Register!$AD$5:$AD$504,Cost_Register!$C$5:$C$504,$A34,Cost_Register!$F$5:$F$504,$B34)</f>
        <v>4950.0000000000009</v>
      </c>
      <c r="E34" s="107">
        <f>SUMIFS(Cost_Register!$AE$5:$AE$504,Cost_Register!$C$5:$C$504,$A34,Cost_Register!$F$5:$F$504,$B34)</f>
        <v>5445.0000000000009</v>
      </c>
      <c r="F34" s="107">
        <f>SUMIFS(Cost_Register!$AF$5:$AF$504,Cost_Register!$C$5:$C$504,$A34,Cost_Register!$F$5:$F$504,$B34)</f>
        <v>5989.5000000000018</v>
      </c>
      <c r="G34" s="107">
        <f>SUMIFS(Cost_Register!$AG$5:$AG$504,Cost_Register!$C$5:$C$504,$A34,Cost_Register!$F$5:$F$504,$B34)</f>
        <v>6588.4500000000016</v>
      </c>
      <c r="H34" s="107">
        <f t="shared" si="10"/>
        <v>27472.95</v>
      </c>
      <c r="I34" s="107">
        <f>SUMIFS(Benefits!$Q$5:$Q$304,Benefits!$C$5:$C$304,$A34)+SUMIFS(Benefits!$R$5:$R$304,Benefits!$C$5:$C$304,$A34)</f>
        <v>11370150</v>
      </c>
      <c r="J34" s="107">
        <f>SUMIFS(Benefits!$Q$5:$Q$304,Benefits!$C$5:$C$304,$A34)+SUMIFS(Benefits!$R$5:$R$304,Benefits!$C$5:$C$304,$A34)*5</f>
        <v>56850750</v>
      </c>
      <c r="K34" s="107">
        <f t="shared" si="1"/>
        <v>56823277.049999997</v>
      </c>
      <c r="L34" s="131">
        <f>IFERROR(H34/5/COUNTA(AI_Agent_Inventory!$A$5:$A$201),0)</f>
        <v>323.21117647058827</v>
      </c>
      <c r="M34" s="132" cm="1">
        <f t="array" ref="M34">IFERROR((H34/5)/SUMPRODUCT((Demand_Scenarios!$B$5:$B$504=$A34)*Demand_Scenarios!$D$5:$D$504*Demand_Scenarios!$E$5:$E$504*Demand_Scenarios!$F$5:$F$504*Demand_Scenarios!$G$5:$G$504*12),0)</f>
        <v>2.5062089745852816E-2</v>
      </c>
      <c r="N34" s="132" cm="1">
        <f t="array" ref="N34">IFERROR((H34/5)/SUMPRODUCT((Demand_Scenarios!$B$5:$B$504=$A34)*Demand_Scenarios!$D$5:$D$504*Demand_Scenarios!$E$5:$E$504*Demand_Scenarios!$F$5:$F$504*Demand_Scenarios!$G$5:$G$504*Demand_Scenarios!$I$5:$I$504*12),0)</f>
        <v>2.6948483597691194E-2</v>
      </c>
      <c r="O34" s="108">
        <f t="shared" si="11"/>
        <v>-0.99508164415350431</v>
      </c>
    </row>
    <row r="35" spans="1:15" hidden="1" x14ac:dyDescent="0.2">
      <c r="A35" t="s">
        <v>557</v>
      </c>
      <c r="B35" t="s">
        <v>549</v>
      </c>
      <c r="C35" s="107">
        <f>SUMIFS(Cost_Register!$AC$5:$AC$504,Cost_Register!$C$5:$C$504,$A35,Cost_Register!$F$5:$F$504,$B35)</f>
        <v>0</v>
      </c>
      <c r="D35" s="107">
        <f>SUMIFS(Cost_Register!$AD$5:$AD$504,Cost_Register!$C$5:$C$504,$A35,Cost_Register!$F$5:$F$504,$B35)</f>
        <v>0</v>
      </c>
      <c r="E35" s="107">
        <f>SUMIFS(Cost_Register!$AE$5:$AE$504,Cost_Register!$C$5:$C$504,$A35,Cost_Register!$F$5:$F$504,$B35)</f>
        <v>0</v>
      </c>
      <c r="F35" s="107">
        <f>SUMIFS(Cost_Register!$AF$5:$AF$504,Cost_Register!$C$5:$C$504,$A35,Cost_Register!$F$5:$F$504,$B35)</f>
        <v>0</v>
      </c>
      <c r="G35" s="107">
        <f>SUMIFS(Cost_Register!$AG$5:$AG$504,Cost_Register!$C$5:$C$504,$A35,Cost_Register!$F$5:$F$504,$B35)</f>
        <v>0</v>
      </c>
      <c r="H35" s="107">
        <f t="shared" si="10"/>
        <v>0</v>
      </c>
      <c r="I35" s="107">
        <f>SUMIFS(Benefits!$Q$5:$Q$304,Benefits!$C$5:$C$304,$A35)+SUMIFS(Benefits!$R$5:$R$304,Benefits!$C$5:$C$304,$A35)</f>
        <v>11370150</v>
      </c>
      <c r="J35" s="107">
        <f>SUMIFS(Benefits!$Q$5:$Q$304,Benefits!$C$5:$C$304,$A35)+SUMIFS(Benefits!$R$5:$R$304,Benefits!$C$5:$C$304,$A35)*5</f>
        <v>56850750</v>
      </c>
      <c r="K35" s="107">
        <f t="shared" si="1"/>
        <v>56850750</v>
      </c>
      <c r="L35" s="131">
        <f>IFERROR(H35/5/COUNTA(AI_Agent_Inventory!$A$5:$A$201),0)</f>
        <v>0</v>
      </c>
      <c r="M35" s="132" cm="1">
        <f t="array" ref="M35">IFERROR((H35/5)/SUMPRODUCT((Demand_Scenarios!$B$5:$B$504=$A35)*Demand_Scenarios!$D$5:$D$504*Demand_Scenarios!$E$5:$E$504*Demand_Scenarios!$F$5:$F$504*Demand_Scenarios!$G$5:$G$504*12),0)</f>
        <v>0</v>
      </c>
      <c r="N35" s="132" cm="1">
        <f t="array" ref="N35">IFERROR((H35/5)/SUMPRODUCT((Demand_Scenarios!$B$5:$B$504=$A35)*Demand_Scenarios!$D$5:$D$504*Demand_Scenarios!$E$5:$E$504*Demand_Scenarios!$F$5:$F$504*Demand_Scenarios!$G$5:$G$504*Demand_Scenarios!$I$5:$I$504*12),0)</f>
        <v>0</v>
      </c>
      <c r="O35" s="108">
        <f t="shared" si="11"/>
        <v>-1</v>
      </c>
    </row>
    <row r="36" spans="1:15" hidden="1" x14ac:dyDescent="0.2">
      <c r="A36" t="s">
        <v>557</v>
      </c>
      <c r="B36" t="s">
        <v>550</v>
      </c>
      <c r="C36" s="107">
        <f>SUMIFS(Cost_Register!$AC$5:$AC$504,Cost_Register!$C$5:$C$504,$A36,Cost_Register!$F$5:$F$504,$B36)</f>
        <v>0</v>
      </c>
      <c r="D36" s="107">
        <f>SUMIFS(Cost_Register!$AD$5:$AD$504,Cost_Register!$C$5:$C$504,$A36,Cost_Register!$F$5:$F$504,$B36)</f>
        <v>0</v>
      </c>
      <c r="E36" s="107">
        <f>SUMIFS(Cost_Register!$AE$5:$AE$504,Cost_Register!$C$5:$C$504,$A36,Cost_Register!$F$5:$F$504,$B36)</f>
        <v>0</v>
      </c>
      <c r="F36" s="107">
        <f>SUMIFS(Cost_Register!$AF$5:$AF$504,Cost_Register!$C$5:$C$504,$A36,Cost_Register!$F$5:$F$504,$B36)</f>
        <v>0</v>
      </c>
      <c r="G36" s="107">
        <f>SUMIFS(Cost_Register!$AG$5:$AG$504,Cost_Register!$C$5:$C$504,$A36,Cost_Register!$F$5:$F$504,$B36)</f>
        <v>0</v>
      </c>
      <c r="H36" s="107">
        <f t="shared" si="10"/>
        <v>0</v>
      </c>
      <c r="I36" s="107">
        <f>SUMIFS(Benefits!$Q$5:$Q$304,Benefits!$C$5:$C$304,$A36)+SUMIFS(Benefits!$R$5:$R$304,Benefits!$C$5:$C$304,$A36)</f>
        <v>11370150</v>
      </c>
      <c r="J36" s="107">
        <f>SUMIFS(Benefits!$Q$5:$Q$304,Benefits!$C$5:$C$304,$A36)+SUMIFS(Benefits!$R$5:$R$304,Benefits!$C$5:$C$304,$A36)*5</f>
        <v>56850750</v>
      </c>
      <c r="K36" s="107">
        <f t="shared" si="1"/>
        <v>56850750</v>
      </c>
      <c r="L36" s="131">
        <f>IFERROR(H36/5/COUNTA(AI_Agent_Inventory!$A$5:$A$201),0)</f>
        <v>0</v>
      </c>
      <c r="M36" s="132" cm="1">
        <f t="array" ref="M36">IFERROR((H36/5)/SUMPRODUCT((Demand_Scenarios!$B$5:$B$504=$A36)*Demand_Scenarios!$D$5:$D$504*Demand_Scenarios!$E$5:$E$504*Demand_Scenarios!$F$5:$F$504*Demand_Scenarios!$G$5:$G$504*12),0)</f>
        <v>0</v>
      </c>
      <c r="N36" s="132" cm="1">
        <f t="array" ref="N36">IFERROR((H36/5)/SUMPRODUCT((Demand_Scenarios!$B$5:$B$504=$A36)*Demand_Scenarios!$D$5:$D$504*Demand_Scenarios!$E$5:$E$504*Demand_Scenarios!$F$5:$F$504*Demand_Scenarios!$G$5:$G$504*Demand_Scenarios!$I$5:$I$504*12),0)</f>
        <v>0</v>
      </c>
      <c r="O36" s="108">
        <f t="shared" si="11"/>
        <v>-1</v>
      </c>
    </row>
    <row r="37" spans="1:15" hidden="1" x14ac:dyDescent="0.2">
      <c r="A37" t="s">
        <v>557</v>
      </c>
      <c r="B37" t="s">
        <v>551</v>
      </c>
      <c r="C37" s="107">
        <f>SUMIFS(Cost_Register!$AC$5:$AC$504,Cost_Register!$C$5:$C$504,$A37,Cost_Register!$F$5:$F$504,$B37)</f>
        <v>0</v>
      </c>
      <c r="D37" s="107">
        <f>SUMIFS(Cost_Register!$AD$5:$AD$504,Cost_Register!$C$5:$C$504,$A37,Cost_Register!$F$5:$F$504,$B37)</f>
        <v>0</v>
      </c>
      <c r="E37" s="107">
        <f>SUMIFS(Cost_Register!$AE$5:$AE$504,Cost_Register!$C$5:$C$504,$A37,Cost_Register!$F$5:$F$504,$B37)</f>
        <v>0</v>
      </c>
      <c r="F37" s="107">
        <f>SUMIFS(Cost_Register!$AF$5:$AF$504,Cost_Register!$C$5:$C$504,$A37,Cost_Register!$F$5:$F$504,$B37)</f>
        <v>0</v>
      </c>
      <c r="G37" s="107">
        <f>SUMIFS(Cost_Register!$AG$5:$AG$504,Cost_Register!$C$5:$C$504,$A37,Cost_Register!$F$5:$F$504,$B37)</f>
        <v>0</v>
      </c>
      <c r="H37" s="107">
        <f t="shared" si="10"/>
        <v>0</v>
      </c>
      <c r="I37" s="107">
        <f>SUMIFS(Benefits!$Q$5:$Q$304,Benefits!$C$5:$C$304,$A37)+SUMIFS(Benefits!$R$5:$R$304,Benefits!$C$5:$C$304,$A37)</f>
        <v>11370150</v>
      </c>
      <c r="J37" s="107">
        <f>SUMIFS(Benefits!$Q$5:$Q$304,Benefits!$C$5:$C$304,$A37)+SUMIFS(Benefits!$R$5:$R$304,Benefits!$C$5:$C$304,$A37)*5</f>
        <v>56850750</v>
      </c>
      <c r="K37" s="107">
        <f t="shared" si="1"/>
        <v>56850750</v>
      </c>
      <c r="L37" s="131">
        <f>IFERROR(H37/5/COUNTA(AI_Agent_Inventory!$A$5:$A$201),0)</f>
        <v>0</v>
      </c>
      <c r="M37" s="132" cm="1">
        <f t="array" ref="M37">IFERROR((H37/5)/SUMPRODUCT((Demand_Scenarios!$B$5:$B$504=$A37)*Demand_Scenarios!$D$5:$D$504*Demand_Scenarios!$E$5:$E$504*Demand_Scenarios!$F$5:$F$504*Demand_Scenarios!$G$5:$G$504*12),0)</f>
        <v>0</v>
      </c>
      <c r="N37" s="132" cm="1">
        <f t="array" ref="N37">IFERROR((H37/5)/SUMPRODUCT((Demand_Scenarios!$B$5:$B$504=$A37)*Demand_Scenarios!$D$5:$D$504*Demand_Scenarios!$E$5:$E$504*Demand_Scenarios!$F$5:$F$504*Demand_Scenarios!$G$5:$G$504*Demand_Scenarios!$I$5:$I$504*12),0)</f>
        <v>0</v>
      </c>
      <c r="O37" s="108">
        <f t="shared" si="11"/>
        <v>-1</v>
      </c>
    </row>
    <row r="38" spans="1:15" hidden="1" x14ac:dyDescent="0.2">
      <c r="A38" t="s">
        <v>557</v>
      </c>
      <c r="B38" t="s">
        <v>552</v>
      </c>
      <c r="C38" s="107">
        <f>SUMIFS(Cost_Register!$AC$5:$AC$504,Cost_Register!$C$5:$C$504,$A38,Cost_Register!$F$5:$F$504,$B38)</f>
        <v>0</v>
      </c>
      <c r="D38" s="107">
        <f>SUMIFS(Cost_Register!$AD$5:$AD$504,Cost_Register!$C$5:$C$504,$A38,Cost_Register!$F$5:$F$504,$B38)</f>
        <v>0</v>
      </c>
      <c r="E38" s="107">
        <f>SUMIFS(Cost_Register!$AE$5:$AE$504,Cost_Register!$C$5:$C$504,$A38,Cost_Register!$F$5:$F$504,$B38)</f>
        <v>0</v>
      </c>
      <c r="F38" s="107">
        <f>SUMIFS(Cost_Register!$AF$5:$AF$504,Cost_Register!$C$5:$C$504,$A38,Cost_Register!$F$5:$F$504,$B38)</f>
        <v>0</v>
      </c>
      <c r="G38" s="107">
        <f>SUMIFS(Cost_Register!$AG$5:$AG$504,Cost_Register!$C$5:$C$504,$A38,Cost_Register!$F$5:$F$504,$B38)</f>
        <v>0</v>
      </c>
      <c r="H38" s="107">
        <f t="shared" si="10"/>
        <v>0</v>
      </c>
      <c r="I38" s="107">
        <f>SUMIFS(Benefits!$Q$5:$Q$304,Benefits!$C$5:$C$304,$A38)+SUMIFS(Benefits!$R$5:$R$304,Benefits!$C$5:$C$304,$A38)</f>
        <v>11370150</v>
      </c>
      <c r="J38" s="107">
        <f>SUMIFS(Benefits!$Q$5:$Q$304,Benefits!$C$5:$C$304,$A38)+SUMIFS(Benefits!$R$5:$R$304,Benefits!$C$5:$C$304,$A38)*5</f>
        <v>56850750</v>
      </c>
      <c r="K38" s="107">
        <f t="shared" si="1"/>
        <v>56850750</v>
      </c>
      <c r="L38" s="131">
        <f>IFERROR(H38/5/COUNTA(AI_Agent_Inventory!$A$5:$A$201),0)</f>
        <v>0</v>
      </c>
      <c r="M38" s="132" cm="1">
        <f t="array" ref="M38">IFERROR((H38/5)/SUMPRODUCT((Demand_Scenarios!$B$5:$B$504=$A38)*Demand_Scenarios!$D$5:$D$504*Demand_Scenarios!$E$5:$E$504*Demand_Scenarios!$F$5:$F$504*Demand_Scenarios!$G$5:$G$504*12),0)</f>
        <v>0</v>
      </c>
      <c r="N38" s="132" cm="1">
        <f t="array" ref="N38">IFERROR((H38/5)/SUMPRODUCT((Demand_Scenarios!$B$5:$B$504=$A38)*Demand_Scenarios!$D$5:$D$504*Demand_Scenarios!$E$5:$E$504*Demand_Scenarios!$F$5:$F$504*Demand_Scenarios!$G$5:$G$504*Demand_Scenarios!$I$5:$I$504*12),0)</f>
        <v>0</v>
      </c>
      <c r="O38" s="108">
        <f t="shared" si="11"/>
        <v>-1</v>
      </c>
    </row>
    <row r="39" spans="1:15" hidden="1" x14ac:dyDescent="0.2">
      <c r="A39" t="s">
        <v>557</v>
      </c>
      <c r="B39" t="s">
        <v>553</v>
      </c>
      <c r="C39" s="107">
        <f>SUMIFS(Cost_Register!$AC$5:$AC$504,Cost_Register!$C$5:$C$504,$A39,Cost_Register!$F$5:$F$504,$B39)</f>
        <v>0</v>
      </c>
      <c r="D39" s="107">
        <f>SUMIFS(Cost_Register!$AD$5:$AD$504,Cost_Register!$C$5:$C$504,$A39,Cost_Register!$F$5:$F$504,$B39)</f>
        <v>0</v>
      </c>
      <c r="E39" s="107">
        <f>SUMIFS(Cost_Register!$AE$5:$AE$504,Cost_Register!$C$5:$C$504,$A39,Cost_Register!$F$5:$F$504,$B39)</f>
        <v>0</v>
      </c>
      <c r="F39" s="107">
        <f>SUMIFS(Cost_Register!$AF$5:$AF$504,Cost_Register!$C$5:$C$504,$A39,Cost_Register!$F$5:$F$504,$B39)</f>
        <v>0</v>
      </c>
      <c r="G39" s="107">
        <f>SUMIFS(Cost_Register!$AG$5:$AG$504,Cost_Register!$C$5:$C$504,$A39,Cost_Register!$F$5:$F$504,$B39)</f>
        <v>100000</v>
      </c>
      <c r="H39" s="107">
        <f t="shared" si="10"/>
        <v>100000</v>
      </c>
      <c r="I39" s="107">
        <f>SUMIFS(Benefits!$Q$5:$Q$304,Benefits!$C$5:$C$304,$A39)+SUMIFS(Benefits!$R$5:$R$304,Benefits!$C$5:$C$304,$A39)</f>
        <v>11370150</v>
      </c>
      <c r="J39" s="107">
        <f>SUMIFS(Benefits!$Q$5:$Q$304,Benefits!$C$5:$C$304,$A39)+SUMIFS(Benefits!$R$5:$R$304,Benefits!$C$5:$C$304,$A39)*5</f>
        <v>56850750</v>
      </c>
      <c r="K39" s="107">
        <f t="shared" si="1"/>
        <v>56750750</v>
      </c>
      <c r="L39" s="131">
        <f>IFERROR(H39/5/COUNTA(AI_Agent_Inventory!$A$5:$A$201),0)</f>
        <v>1176.4705882352941</v>
      </c>
      <c r="M39" s="132" cm="1">
        <f t="array" ref="M39">IFERROR((H39/5)/SUMPRODUCT((Demand_Scenarios!$B$5:$B$504=$A39)*Demand_Scenarios!$D$5:$D$504*Demand_Scenarios!$E$5:$E$504*Demand_Scenarios!$F$5:$F$504*Demand_Scenarios!$G$5:$G$504*12),0)</f>
        <v>9.1224603640500251E-2</v>
      </c>
      <c r="N39" s="132" cm="1">
        <f t="array" ref="N39">IFERROR((H39/5)/SUMPRODUCT((Demand_Scenarios!$B$5:$B$504=$A39)*Demand_Scenarios!$D$5:$D$504*Demand_Scenarios!$E$5:$E$504*Demand_Scenarios!$F$5:$F$504*Demand_Scenarios!$G$5:$G$504*Demand_Scenarios!$I$5:$I$504*12),0)</f>
        <v>9.8090971656451864E-2</v>
      </c>
      <c r="O39" s="108">
        <f t="shared" si="11"/>
        <v>-0.98209746005981979</v>
      </c>
    </row>
    <row r="40" spans="1:15" x14ac:dyDescent="0.2">
      <c r="A40" s="55" t="s">
        <v>557</v>
      </c>
      <c r="B40" s="55" t="s">
        <v>554</v>
      </c>
      <c r="C40" s="107">
        <f t="shared" ref="C40:H40" si="12">SUM(C32:C39)</f>
        <v>1805169.5999999999</v>
      </c>
      <c r="D40" s="107">
        <f t="shared" si="12"/>
        <v>1396139.6880000001</v>
      </c>
      <c r="E40" s="107">
        <f t="shared" si="12"/>
        <v>1438370.3786399998</v>
      </c>
      <c r="F40" s="107">
        <f t="shared" si="12"/>
        <v>1481902.6399992001</v>
      </c>
      <c r="G40" s="107">
        <f t="shared" si="12"/>
        <v>1626778.9841991761</v>
      </c>
      <c r="H40" s="107">
        <f t="shared" si="12"/>
        <v>7748361.2908383766</v>
      </c>
      <c r="I40" s="107">
        <f>SUMIFS(Benefits!$Q$5:$Q$304,Benefits!$C$5:$C$304,$A40)+SUMIFS(Benefits!$R$5:$R$304,Benefits!$C$5:$C$304,$A40)</f>
        <v>11370150</v>
      </c>
      <c r="J40" s="107">
        <f>SUMIFS(Benefits!$Q$5:$Q$304,Benefits!$C$5:$C$304,$A40)+SUMIFS(Benefits!$R$5:$R$304,Benefits!$C$5:$C$304,$A40)*5</f>
        <v>56850750</v>
      </c>
      <c r="K40" s="107">
        <f t="shared" si="1"/>
        <v>49102388.709161624</v>
      </c>
      <c r="L40" s="131">
        <f>IFERROR(H40/5/COUNTA(AI_Agent_Inventory!$A$5:$A$201),0)</f>
        <v>91157.191656922078</v>
      </c>
      <c r="M40" s="132" cm="1">
        <f t="array" ref="M40">IFERROR((H40/5)/SUMPRODUCT((Demand_Scenarios!$B$5:$B$504=$A40)*Demand_Scenarios!$D$5:$D$504*Demand_Scenarios!$E$5:$E$504*Demand_Scenarios!$F$5:$F$504*Demand_Scenarios!$G$5:$G$504*12),0)</f>
        <v>7.0684118762012575</v>
      </c>
      <c r="N40" s="132" cm="1">
        <f t="array" ref="N40">IFERROR((H40/5)/SUMPRODUCT((Demand_Scenarios!$B$5:$B$504=$A40)*Demand_Scenarios!$D$5:$D$504*Demand_Scenarios!$E$5:$E$504*Demand_Scenarios!$F$5:$F$504*Demand_Scenarios!$G$5:$G$504*Demand_Scenarios!$I$5:$I$504*12),0)</f>
        <v>7.6004428776357598</v>
      </c>
      <c r="O40" s="109">
        <f>IFERROR(H40/SUMIFS($H$5:$H$49,$A$5:$A$49,"PepsiCo standard",$B$5:$B$49,"TOTAL")-1,0)</f>
        <v>0.36275666910441595</v>
      </c>
    </row>
    <row r="41" spans="1:15" hidden="1" x14ac:dyDescent="0.2">
      <c r="A41" t="s">
        <v>558</v>
      </c>
      <c r="B41" t="s">
        <v>546</v>
      </c>
      <c r="C41" s="107">
        <f>SUMIFS(Cost_Register!$AC$5:$AC$504,Cost_Register!$C$5:$C$504,$A41,Cost_Register!$F$5:$F$504,$B41)</f>
        <v>450000</v>
      </c>
      <c r="D41" s="107">
        <f>SUMIFS(Cost_Register!$AD$5:$AD$504,Cost_Register!$C$5:$C$504,$A41,Cost_Register!$F$5:$F$504,$B41)</f>
        <v>0</v>
      </c>
      <c r="E41" s="107">
        <f>SUMIFS(Cost_Register!$AE$5:$AE$504,Cost_Register!$C$5:$C$504,$A41,Cost_Register!$F$5:$F$504,$B41)</f>
        <v>0</v>
      </c>
      <c r="F41" s="107">
        <f>SUMIFS(Cost_Register!$AF$5:$AF$504,Cost_Register!$C$5:$C$504,$A41,Cost_Register!$F$5:$F$504,$B41)</f>
        <v>0</v>
      </c>
      <c r="G41" s="107">
        <f>SUMIFS(Cost_Register!$AG$5:$AG$504,Cost_Register!$C$5:$C$504,$A41,Cost_Register!$F$5:$F$504,$B41)</f>
        <v>0</v>
      </c>
      <c r="H41" s="107">
        <f t="shared" ref="H41:H48" si="13">SUM(C41:G41)</f>
        <v>450000</v>
      </c>
      <c r="I41" s="107">
        <f>SUMIFS(Benefits!$Q$5:$Q$304,Benefits!$C$5:$C$304,$A41)+SUMIFS(Benefits!$R$5:$R$304,Benefits!$C$5:$C$304,$A41)</f>
        <v>8211775</v>
      </c>
      <c r="J41" s="107">
        <f>SUMIFS(Benefits!$Q$5:$Q$304,Benefits!$C$5:$C$304,$A41)+SUMIFS(Benefits!$R$5:$R$304,Benefits!$C$5:$C$304,$A41)*5</f>
        <v>41058875</v>
      </c>
      <c r="K41" s="107">
        <f t="shared" si="1"/>
        <v>40608875</v>
      </c>
      <c r="L41" s="131">
        <f>IFERROR(H41/5/COUNTA(AI_Agent_Inventory!$A$5:$A$201),0)</f>
        <v>5294.1176470588234</v>
      </c>
      <c r="M41" s="132" cm="1">
        <f t="array" ref="M41">IFERROR((H41/5)/SUMPRODUCT((Demand_Scenarios!$B$5:$B$504=$A41)*Demand_Scenarios!$D$5:$D$504*Demand_Scenarios!$E$5:$E$504*Demand_Scenarios!$F$5:$F$504*Demand_Scenarios!$G$5:$G$504*12),0)</f>
        <v>0.55712168651876937</v>
      </c>
      <c r="N41" s="132" cm="1">
        <f t="array" ref="N41">IFERROR((H41/5)/SUMPRODUCT((Demand_Scenarios!$B$5:$B$504=$A41)*Demand_Scenarios!$D$5:$D$504*Demand_Scenarios!$E$5:$E$504*Demand_Scenarios!$F$5:$F$504*Demand_Scenarios!$G$5:$G$504*Demand_Scenarios!$I$5:$I$504*12),0)</f>
        <v>0.5864438805460731</v>
      </c>
      <c r="O41" s="108">
        <f t="shared" ref="O41:O48" si="14">IFERROR(H41/SUMIFS($H$5:$H$44,$A$5:$A$44,"PepsiCo standard")-1,0)</f>
        <v>-0.91943857026918896</v>
      </c>
    </row>
    <row r="42" spans="1:15" hidden="1" x14ac:dyDescent="0.2">
      <c r="A42" t="s">
        <v>558</v>
      </c>
      <c r="B42" t="s">
        <v>547</v>
      </c>
      <c r="C42" s="107">
        <f>SUMIFS(Cost_Register!$AC$5:$AC$504,Cost_Register!$C$5:$C$504,$A42,Cost_Register!$F$5:$F$504,$B42)</f>
        <v>964764</v>
      </c>
      <c r="D42" s="107">
        <f>SUMIFS(Cost_Register!$AD$5:$AD$504,Cost_Register!$C$5:$C$504,$A42,Cost_Register!$F$5:$F$504,$B42)</f>
        <v>993706.91999999993</v>
      </c>
      <c r="E42" s="107">
        <f>SUMIFS(Cost_Register!$AE$5:$AE$504,Cost_Register!$C$5:$C$504,$A42,Cost_Register!$F$5:$F$504,$B42)</f>
        <v>1023518.1276000001</v>
      </c>
      <c r="F42" s="107">
        <f>SUMIFS(Cost_Register!$AF$5:$AF$504,Cost_Register!$C$5:$C$504,$A42,Cost_Register!$F$5:$F$504,$B42)</f>
        <v>1054223.6714279999</v>
      </c>
      <c r="G42" s="107">
        <f>SUMIFS(Cost_Register!$AG$5:$AG$504,Cost_Register!$C$5:$C$504,$A42,Cost_Register!$F$5:$F$504,$B42)</f>
        <v>1085850.3815708403</v>
      </c>
      <c r="H42" s="107">
        <f t="shared" si="13"/>
        <v>5122063.10059884</v>
      </c>
      <c r="I42" s="107">
        <f>SUMIFS(Benefits!$Q$5:$Q$304,Benefits!$C$5:$C$304,$A42)+SUMIFS(Benefits!$R$5:$R$304,Benefits!$C$5:$C$304,$A42)</f>
        <v>8211775</v>
      </c>
      <c r="J42" s="107">
        <f>SUMIFS(Benefits!$Q$5:$Q$304,Benefits!$C$5:$C$304,$A42)+SUMIFS(Benefits!$R$5:$R$304,Benefits!$C$5:$C$304,$A42)*5</f>
        <v>41058875</v>
      </c>
      <c r="K42" s="107">
        <f t="shared" si="1"/>
        <v>35936811.899401158</v>
      </c>
      <c r="L42" s="131">
        <f>IFERROR(H42/5/COUNTA(AI_Agent_Inventory!$A$5:$A$201),0)</f>
        <v>60259.565889398116</v>
      </c>
      <c r="M42" s="132" cm="1">
        <f t="array" ref="M42">IFERROR((H42/5)/SUMPRODUCT((Demand_Scenarios!$B$5:$B$504=$A42)*Demand_Scenarios!$D$5:$D$504*Demand_Scenarios!$E$5:$E$504*Demand_Scenarios!$F$5:$F$504*Demand_Scenarios!$G$5:$G$504*12),0)</f>
        <v>6.3413609623581841</v>
      </c>
      <c r="N42" s="132" cm="1">
        <f t="array" ref="N42">IFERROR((H42/5)/SUMPRODUCT((Demand_Scenarios!$B$5:$B$504=$A42)*Demand_Scenarios!$D$5:$D$504*Demand_Scenarios!$E$5:$E$504*Demand_Scenarios!$F$5:$F$504*Demand_Scenarios!$G$5:$G$504*Demand_Scenarios!$I$5:$I$504*12),0)</f>
        <v>6.6751168024822993</v>
      </c>
      <c r="O42" s="108">
        <f t="shared" si="14"/>
        <v>-8.3020607654058831E-2</v>
      </c>
    </row>
    <row r="43" spans="1:15" hidden="1" x14ac:dyDescent="0.2">
      <c r="A43" t="s">
        <v>558</v>
      </c>
      <c r="B43" t="s">
        <v>548</v>
      </c>
      <c r="C43" s="107">
        <f>SUMIFS(Cost_Register!$AC$5:$AC$504,Cost_Register!$C$5:$C$504,$A43,Cost_Register!$F$5:$F$504,$B43)</f>
        <v>2250</v>
      </c>
      <c r="D43" s="107">
        <f>SUMIFS(Cost_Register!$AD$5:$AD$504,Cost_Register!$C$5:$C$504,$A43,Cost_Register!$F$5:$F$504,$B43)</f>
        <v>2475.0000000000005</v>
      </c>
      <c r="E43" s="107">
        <f>SUMIFS(Cost_Register!$AE$5:$AE$504,Cost_Register!$C$5:$C$504,$A43,Cost_Register!$F$5:$F$504,$B43)</f>
        <v>2722.5000000000005</v>
      </c>
      <c r="F43" s="107">
        <f>SUMIFS(Cost_Register!$AF$5:$AF$504,Cost_Register!$C$5:$C$504,$A43,Cost_Register!$F$5:$F$504,$B43)</f>
        <v>2994.7500000000009</v>
      </c>
      <c r="G43" s="107">
        <f>SUMIFS(Cost_Register!$AG$5:$AG$504,Cost_Register!$C$5:$C$504,$A43,Cost_Register!$F$5:$F$504,$B43)</f>
        <v>3294.2250000000008</v>
      </c>
      <c r="H43" s="107">
        <f t="shared" si="13"/>
        <v>13736.475</v>
      </c>
      <c r="I43" s="107">
        <f>SUMIFS(Benefits!$Q$5:$Q$304,Benefits!$C$5:$C$304,$A43)+SUMIFS(Benefits!$R$5:$R$304,Benefits!$C$5:$C$304,$A43)</f>
        <v>8211775</v>
      </c>
      <c r="J43" s="107">
        <f>SUMIFS(Benefits!$Q$5:$Q$304,Benefits!$C$5:$C$304,$A43)+SUMIFS(Benefits!$R$5:$R$304,Benefits!$C$5:$C$304,$A43)*5</f>
        <v>41058875</v>
      </c>
      <c r="K43" s="107">
        <f t="shared" si="1"/>
        <v>41045138.524999999</v>
      </c>
      <c r="L43" s="131">
        <f>IFERROR(H43/5/COUNTA(AI_Agent_Inventory!$A$5:$A$201),0)</f>
        <v>161.60558823529414</v>
      </c>
      <c r="M43" s="132" cm="1">
        <f t="array" ref="M43">IFERROR((H43/5)/SUMPRODUCT((Demand_Scenarios!$B$5:$B$504=$A43)*Demand_Scenarios!$D$5:$D$504*Demand_Scenarios!$E$5:$E$504*Demand_Scenarios!$F$5:$F$504*Demand_Scenarios!$G$5:$G$504*12),0)</f>
        <v>1.7006418041828696E-2</v>
      </c>
      <c r="N43" s="132" cm="1">
        <f t="array" ref="N43">IFERROR((H43/5)/SUMPRODUCT((Demand_Scenarios!$B$5:$B$504=$A43)*Demand_Scenarios!$D$5:$D$504*Demand_Scenarios!$E$5:$E$504*Demand_Scenarios!$F$5:$F$504*Demand_Scenarios!$G$5:$G$504*Demand_Scenarios!$I$5:$I$504*12),0)</f>
        <v>1.7901492675609153E-2</v>
      </c>
      <c r="O43" s="108">
        <f t="shared" si="14"/>
        <v>-0.9975408220767521</v>
      </c>
    </row>
    <row r="44" spans="1:15" hidden="1" x14ac:dyDescent="0.2">
      <c r="A44" t="s">
        <v>558</v>
      </c>
      <c r="B44" t="s">
        <v>549</v>
      </c>
      <c r="C44" s="107">
        <f>SUMIFS(Cost_Register!$AC$5:$AC$504,Cost_Register!$C$5:$C$504,$A44,Cost_Register!$F$5:$F$504,$B44)</f>
        <v>0</v>
      </c>
      <c r="D44" s="107">
        <f>SUMIFS(Cost_Register!$AD$5:$AD$504,Cost_Register!$C$5:$C$504,$A44,Cost_Register!$F$5:$F$504,$B44)</f>
        <v>0</v>
      </c>
      <c r="E44" s="107">
        <f>SUMIFS(Cost_Register!$AE$5:$AE$504,Cost_Register!$C$5:$C$504,$A44,Cost_Register!$F$5:$F$504,$B44)</f>
        <v>0</v>
      </c>
      <c r="F44" s="107">
        <f>SUMIFS(Cost_Register!$AF$5:$AF$504,Cost_Register!$C$5:$C$504,$A44,Cost_Register!$F$5:$F$504,$B44)</f>
        <v>0</v>
      </c>
      <c r="G44" s="107">
        <f>SUMIFS(Cost_Register!$AG$5:$AG$504,Cost_Register!$C$5:$C$504,$A44,Cost_Register!$F$5:$F$504,$B44)</f>
        <v>0</v>
      </c>
      <c r="H44" s="107">
        <f t="shared" si="13"/>
        <v>0</v>
      </c>
      <c r="I44" s="107">
        <f>SUMIFS(Benefits!$Q$5:$Q$304,Benefits!$C$5:$C$304,$A44)+SUMIFS(Benefits!$R$5:$R$304,Benefits!$C$5:$C$304,$A44)</f>
        <v>8211775</v>
      </c>
      <c r="J44" s="107">
        <f>SUMIFS(Benefits!$Q$5:$Q$304,Benefits!$C$5:$C$304,$A44)+SUMIFS(Benefits!$R$5:$R$304,Benefits!$C$5:$C$304,$A44)*5</f>
        <v>41058875</v>
      </c>
      <c r="K44" s="107">
        <f t="shared" si="1"/>
        <v>41058875</v>
      </c>
      <c r="L44" s="131">
        <f>IFERROR(H44/5/COUNTA(AI_Agent_Inventory!$A$5:$A$201),0)</f>
        <v>0</v>
      </c>
      <c r="M44" s="132" cm="1">
        <f t="array" ref="M44">IFERROR((H44/5)/SUMPRODUCT((Demand_Scenarios!$B$5:$B$504=$A44)*Demand_Scenarios!$D$5:$D$504*Demand_Scenarios!$E$5:$E$504*Demand_Scenarios!$F$5:$F$504*Demand_Scenarios!$G$5:$G$504*12),0)</f>
        <v>0</v>
      </c>
      <c r="N44" s="132" cm="1">
        <f t="array" ref="N44">IFERROR((H44/5)/SUMPRODUCT((Demand_Scenarios!$B$5:$B$504=$A44)*Demand_Scenarios!$D$5:$D$504*Demand_Scenarios!$E$5:$E$504*Demand_Scenarios!$F$5:$F$504*Demand_Scenarios!$G$5:$G$504*Demand_Scenarios!$I$5:$I$504*12),0)</f>
        <v>0</v>
      </c>
      <c r="O44" s="108">
        <f t="shared" si="14"/>
        <v>-1</v>
      </c>
    </row>
    <row r="45" spans="1:15" hidden="1" x14ac:dyDescent="0.2">
      <c r="A45" t="s">
        <v>558</v>
      </c>
      <c r="B45" t="s">
        <v>550</v>
      </c>
      <c r="C45" s="107">
        <f>SUMIFS(Cost_Register!$AC$5:$AC$504,Cost_Register!$C$5:$C$504,$A45,Cost_Register!$F$5:$F$504,$B45)</f>
        <v>0</v>
      </c>
      <c r="D45" s="107">
        <f>SUMIFS(Cost_Register!$AD$5:$AD$504,Cost_Register!$C$5:$C$504,$A45,Cost_Register!$F$5:$F$504,$B45)</f>
        <v>0</v>
      </c>
      <c r="E45" s="107">
        <f>SUMIFS(Cost_Register!$AE$5:$AE$504,Cost_Register!$C$5:$C$504,$A45,Cost_Register!$F$5:$F$504,$B45)</f>
        <v>0</v>
      </c>
      <c r="F45" s="107">
        <f>SUMIFS(Cost_Register!$AF$5:$AF$504,Cost_Register!$C$5:$C$504,$A45,Cost_Register!$F$5:$F$504,$B45)</f>
        <v>0</v>
      </c>
      <c r="G45" s="107">
        <f>SUMIFS(Cost_Register!$AG$5:$AG$504,Cost_Register!$C$5:$C$504,$A45,Cost_Register!$F$5:$F$504,$B45)</f>
        <v>0</v>
      </c>
      <c r="H45" s="107">
        <f t="shared" si="13"/>
        <v>0</v>
      </c>
      <c r="I45" s="107">
        <f>SUMIFS(Benefits!$Q$5:$Q$304,Benefits!$C$5:$C$304,$A45)+SUMIFS(Benefits!$R$5:$R$304,Benefits!$C$5:$C$304,$A45)</f>
        <v>8211775</v>
      </c>
      <c r="J45" s="107">
        <f>SUMIFS(Benefits!$Q$5:$Q$304,Benefits!$C$5:$C$304,$A45)+SUMIFS(Benefits!$R$5:$R$304,Benefits!$C$5:$C$304,$A45)*5</f>
        <v>41058875</v>
      </c>
      <c r="K45" s="107">
        <f t="shared" si="1"/>
        <v>41058875</v>
      </c>
      <c r="L45" s="131">
        <f>IFERROR(H45/5/COUNTA(AI_Agent_Inventory!$A$5:$A$201),0)</f>
        <v>0</v>
      </c>
      <c r="M45" s="132" cm="1">
        <f t="array" ref="M45">IFERROR((H45/5)/SUMPRODUCT((Demand_Scenarios!$B$5:$B$504=$A45)*Demand_Scenarios!$D$5:$D$504*Demand_Scenarios!$E$5:$E$504*Demand_Scenarios!$F$5:$F$504*Demand_Scenarios!$G$5:$G$504*12),0)</f>
        <v>0</v>
      </c>
      <c r="N45" s="132" cm="1">
        <f t="array" ref="N45">IFERROR((H45/5)/SUMPRODUCT((Demand_Scenarios!$B$5:$B$504=$A45)*Demand_Scenarios!$D$5:$D$504*Demand_Scenarios!$E$5:$E$504*Demand_Scenarios!$F$5:$F$504*Demand_Scenarios!$G$5:$G$504*Demand_Scenarios!$I$5:$I$504*12),0)</f>
        <v>0</v>
      </c>
      <c r="O45" s="108">
        <f t="shared" si="14"/>
        <v>-1</v>
      </c>
    </row>
    <row r="46" spans="1:15" hidden="1" x14ac:dyDescent="0.2">
      <c r="A46" t="s">
        <v>558</v>
      </c>
      <c r="B46" t="s">
        <v>551</v>
      </c>
      <c r="C46" s="107">
        <f>SUMIFS(Cost_Register!$AC$5:$AC$504,Cost_Register!$C$5:$C$504,$A46,Cost_Register!$F$5:$F$504,$B46)</f>
        <v>0</v>
      </c>
      <c r="D46" s="107">
        <f>SUMIFS(Cost_Register!$AD$5:$AD$504,Cost_Register!$C$5:$C$504,$A46,Cost_Register!$F$5:$F$504,$B46)</f>
        <v>0</v>
      </c>
      <c r="E46" s="107">
        <f>SUMIFS(Cost_Register!$AE$5:$AE$504,Cost_Register!$C$5:$C$504,$A46,Cost_Register!$F$5:$F$504,$B46)</f>
        <v>0</v>
      </c>
      <c r="F46" s="107">
        <f>SUMIFS(Cost_Register!$AF$5:$AF$504,Cost_Register!$C$5:$C$504,$A46,Cost_Register!$F$5:$F$504,$B46)</f>
        <v>0</v>
      </c>
      <c r="G46" s="107">
        <f>SUMIFS(Cost_Register!$AG$5:$AG$504,Cost_Register!$C$5:$C$504,$A46,Cost_Register!$F$5:$F$504,$B46)</f>
        <v>0</v>
      </c>
      <c r="H46" s="107">
        <f t="shared" si="13"/>
        <v>0</v>
      </c>
      <c r="I46" s="107">
        <f>SUMIFS(Benefits!$Q$5:$Q$304,Benefits!$C$5:$C$304,$A46)+SUMIFS(Benefits!$R$5:$R$304,Benefits!$C$5:$C$304,$A46)</f>
        <v>8211775</v>
      </c>
      <c r="J46" s="107">
        <f>SUMIFS(Benefits!$Q$5:$Q$304,Benefits!$C$5:$C$304,$A46)+SUMIFS(Benefits!$R$5:$R$304,Benefits!$C$5:$C$304,$A46)*5</f>
        <v>41058875</v>
      </c>
      <c r="K46" s="107">
        <f t="shared" si="1"/>
        <v>41058875</v>
      </c>
      <c r="L46" s="131">
        <f>IFERROR(H46/5/COUNTA(AI_Agent_Inventory!$A$5:$A$201),0)</f>
        <v>0</v>
      </c>
      <c r="M46" s="132" cm="1">
        <f t="array" ref="M46">IFERROR((H46/5)/SUMPRODUCT((Demand_Scenarios!$B$5:$B$504=$A46)*Demand_Scenarios!$D$5:$D$504*Demand_Scenarios!$E$5:$E$504*Demand_Scenarios!$F$5:$F$504*Demand_Scenarios!$G$5:$G$504*12),0)</f>
        <v>0</v>
      </c>
      <c r="N46" s="132" cm="1">
        <f t="array" ref="N46">IFERROR((H46/5)/SUMPRODUCT((Demand_Scenarios!$B$5:$B$504=$A46)*Demand_Scenarios!$D$5:$D$504*Demand_Scenarios!$E$5:$E$504*Demand_Scenarios!$F$5:$F$504*Demand_Scenarios!$G$5:$G$504*Demand_Scenarios!$I$5:$I$504*12),0)</f>
        <v>0</v>
      </c>
      <c r="O46" s="108">
        <f t="shared" si="14"/>
        <v>-1</v>
      </c>
    </row>
    <row r="47" spans="1:15" hidden="1" x14ac:dyDescent="0.2">
      <c r="A47" t="s">
        <v>558</v>
      </c>
      <c r="B47" t="s">
        <v>552</v>
      </c>
      <c r="C47" s="107">
        <f>SUMIFS(Cost_Register!$AC$5:$AC$504,Cost_Register!$C$5:$C$504,$A47,Cost_Register!$F$5:$F$504,$B47)</f>
        <v>0</v>
      </c>
      <c r="D47" s="107">
        <f>SUMIFS(Cost_Register!$AD$5:$AD$504,Cost_Register!$C$5:$C$504,$A47,Cost_Register!$F$5:$F$504,$B47)</f>
        <v>0</v>
      </c>
      <c r="E47" s="107">
        <f>SUMIFS(Cost_Register!$AE$5:$AE$504,Cost_Register!$C$5:$C$504,$A47,Cost_Register!$F$5:$F$504,$B47)</f>
        <v>0</v>
      </c>
      <c r="F47" s="107">
        <f>SUMIFS(Cost_Register!$AF$5:$AF$504,Cost_Register!$C$5:$C$504,$A47,Cost_Register!$F$5:$F$504,$B47)</f>
        <v>0</v>
      </c>
      <c r="G47" s="107">
        <f>SUMIFS(Cost_Register!$AG$5:$AG$504,Cost_Register!$C$5:$C$504,$A47,Cost_Register!$F$5:$F$504,$B47)</f>
        <v>0</v>
      </c>
      <c r="H47" s="107">
        <f t="shared" si="13"/>
        <v>0</v>
      </c>
      <c r="I47" s="107">
        <f>SUMIFS(Benefits!$Q$5:$Q$304,Benefits!$C$5:$C$304,$A47)+SUMIFS(Benefits!$R$5:$R$304,Benefits!$C$5:$C$304,$A47)</f>
        <v>8211775</v>
      </c>
      <c r="J47" s="107">
        <f>SUMIFS(Benefits!$Q$5:$Q$304,Benefits!$C$5:$C$304,$A47)+SUMIFS(Benefits!$R$5:$R$304,Benefits!$C$5:$C$304,$A47)*5</f>
        <v>41058875</v>
      </c>
      <c r="K47" s="107">
        <f t="shared" si="1"/>
        <v>41058875</v>
      </c>
      <c r="L47" s="131">
        <f>IFERROR(H47/5/COUNTA(AI_Agent_Inventory!$A$5:$A$201),0)</f>
        <v>0</v>
      </c>
      <c r="M47" s="132" cm="1">
        <f t="array" ref="M47">IFERROR((H47/5)/SUMPRODUCT((Demand_Scenarios!$B$5:$B$504=$A47)*Demand_Scenarios!$D$5:$D$504*Demand_Scenarios!$E$5:$E$504*Demand_Scenarios!$F$5:$F$504*Demand_Scenarios!$G$5:$G$504*12),0)</f>
        <v>0</v>
      </c>
      <c r="N47" s="132" cm="1">
        <f t="array" ref="N47">IFERROR((H47/5)/SUMPRODUCT((Demand_Scenarios!$B$5:$B$504=$A47)*Demand_Scenarios!$D$5:$D$504*Demand_Scenarios!$E$5:$E$504*Demand_Scenarios!$F$5:$F$504*Demand_Scenarios!$G$5:$G$504*Demand_Scenarios!$I$5:$I$504*12),0)</f>
        <v>0</v>
      </c>
      <c r="O47" s="108">
        <f t="shared" si="14"/>
        <v>-1</v>
      </c>
    </row>
    <row r="48" spans="1:15" hidden="1" x14ac:dyDescent="0.2">
      <c r="A48" t="s">
        <v>558</v>
      </c>
      <c r="B48" t="s">
        <v>553</v>
      </c>
      <c r="C48" s="107">
        <f>SUMIFS(Cost_Register!$AC$5:$AC$504,Cost_Register!$C$5:$C$504,$A48,Cost_Register!$F$5:$F$504,$B48)</f>
        <v>0</v>
      </c>
      <c r="D48" s="107">
        <f>SUMIFS(Cost_Register!$AD$5:$AD$504,Cost_Register!$C$5:$C$504,$A48,Cost_Register!$F$5:$F$504,$B48)</f>
        <v>0</v>
      </c>
      <c r="E48" s="107">
        <f>SUMIFS(Cost_Register!$AE$5:$AE$504,Cost_Register!$C$5:$C$504,$A48,Cost_Register!$F$5:$F$504,$B48)</f>
        <v>0</v>
      </c>
      <c r="F48" s="107">
        <f>SUMIFS(Cost_Register!$AF$5:$AF$504,Cost_Register!$C$5:$C$504,$A48,Cost_Register!$F$5:$F$504,$B48)</f>
        <v>0</v>
      </c>
      <c r="G48" s="107">
        <f>SUMIFS(Cost_Register!$AG$5:$AG$504,Cost_Register!$C$5:$C$504,$A48,Cost_Register!$F$5:$F$504,$B48)</f>
        <v>100000</v>
      </c>
      <c r="H48" s="107">
        <f t="shared" si="13"/>
        <v>100000</v>
      </c>
      <c r="I48" s="107">
        <f>SUMIFS(Benefits!$Q$5:$Q$304,Benefits!$C$5:$C$304,$A48)+SUMIFS(Benefits!$R$5:$R$304,Benefits!$C$5:$C$304,$A48)</f>
        <v>8211775</v>
      </c>
      <c r="J48" s="107">
        <f>SUMIFS(Benefits!$Q$5:$Q$304,Benefits!$C$5:$C$304,$A48)+SUMIFS(Benefits!$R$5:$R$304,Benefits!$C$5:$C$304,$A48)*5</f>
        <v>41058875</v>
      </c>
      <c r="K48" s="107">
        <f t="shared" si="1"/>
        <v>40958875</v>
      </c>
      <c r="L48" s="131">
        <f>IFERROR(H48/5/COUNTA(AI_Agent_Inventory!$A$5:$A$201),0)</f>
        <v>1176.4705882352941</v>
      </c>
      <c r="M48" s="132" cm="1">
        <f t="array" ref="M48">IFERROR((H48/5)/SUMPRODUCT((Demand_Scenarios!$B$5:$B$504=$A48)*Demand_Scenarios!$D$5:$D$504*Demand_Scenarios!$E$5:$E$504*Demand_Scenarios!$F$5:$F$504*Demand_Scenarios!$G$5:$G$504*12),0)</f>
        <v>0.12380481922639321</v>
      </c>
      <c r="N48" s="132" cm="1">
        <f t="array" ref="N48">IFERROR((H48/5)/SUMPRODUCT((Demand_Scenarios!$B$5:$B$504=$A48)*Demand_Scenarios!$D$5:$D$504*Demand_Scenarios!$E$5:$E$504*Demand_Scenarios!$F$5:$F$504*Demand_Scenarios!$G$5:$G$504*Demand_Scenarios!$I$5:$I$504*12),0)</f>
        <v>0.13032086234357179</v>
      </c>
      <c r="O48" s="108">
        <f t="shared" si="14"/>
        <v>-0.98209746005981979</v>
      </c>
    </row>
    <row r="49" spans="1:15" x14ac:dyDescent="0.2">
      <c r="A49" s="55" t="s">
        <v>558</v>
      </c>
      <c r="B49" s="55" t="s">
        <v>554</v>
      </c>
      <c r="C49" s="107">
        <f t="shared" ref="C49:H49" si="15">SUM(C41:C48)</f>
        <v>1417014</v>
      </c>
      <c r="D49" s="107">
        <f t="shared" si="15"/>
        <v>996181.91999999993</v>
      </c>
      <c r="E49" s="107">
        <f t="shared" si="15"/>
        <v>1026240.6276000001</v>
      </c>
      <c r="F49" s="107">
        <f t="shared" si="15"/>
        <v>1057218.4214279999</v>
      </c>
      <c r="G49" s="107">
        <f t="shared" si="15"/>
        <v>1189144.6065708403</v>
      </c>
      <c r="H49" s="107">
        <f t="shared" si="15"/>
        <v>5685799.5755988397</v>
      </c>
      <c r="I49" s="107">
        <f>SUMIFS(Benefits!$Q$5:$Q$304,Benefits!$C$5:$C$304,$A49)+SUMIFS(Benefits!$R$5:$R$304,Benefits!$C$5:$C$304,$A49)</f>
        <v>8211775</v>
      </c>
      <c r="J49" s="107">
        <f>SUMIFS(Benefits!$Q$5:$Q$304,Benefits!$C$5:$C$304,$A49)+SUMIFS(Benefits!$R$5:$R$304,Benefits!$C$5:$C$304,$A49)*5</f>
        <v>41058875</v>
      </c>
      <c r="K49" s="107">
        <f t="shared" si="1"/>
        <v>35373075.424401164</v>
      </c>
      <c r="L49" s="131">
        <f>IFERROR(H49/5/COUNTA(AI_Agent_Inventory!$A$5:$A$201),0)</f>
        <v>66891.759712927524</v>
      </c>
      <c r="M49" s="132" cm="1">
        <f t="array" ref="M49">IFERROR((H49/5)/SUMPRODUCT((Demand_Scenarios!$B$5:$B$504=$A49)*Demand_Scenarios!$D$5:$D$504*Demand_Scenarios!$E$5:$E$504*Demand_Scenarios!$F$5:$F$504*Demand_Scenarios!$G$5:$G$504*12),0)</f>
        <v>7.0392938861451748</v>
      </c>
      <c r="N49" s="132" cm="1">
        <f t="array" ref="N49">IFERROR((H49/5)/SUMPRODUCT((Demand_Scenarios!$B$5:$B$504=$A49)*Demand_Scenarios!$D$5:$D$504*Demand_Scenarios!$E$5:$E$504*Demand_Scenarios!$F$5:$F$504*Demand_Scenarios!$G$5:$G$504*Demand_Scenarios!$I$5:$I$504*12),0)</f>
        <v>7.4097830380475536</v>
      </c>
      <c r="O49" s="109">
        <f>IFERROR(H49/SUMIFS($H$5:$H$49,$A$5:$A$49,"PepsiCo standard",$B$5:$B$49,"TOTAL")-1,0)</f>
        <v>0</v>
      </c>
    </row>
  </sheetData>
  <autoFilter ref="A4:O49" xr:uid="{00000000-0009-0000-0000-00000F000000}">
    <filterColumn colId="0">
      <colorFilter dxfId="0"/>
    </filterColumn>
  </autoFilter>
  <mergeCells count="2">
    <mergeCell ref="A1:O1"/>
    <mergeCell ref="A2:O2"/>
  </mergeCells>
  <pageMargins left="0.75" right="0.75" top="1" bottom="1" header="0.5" footer="0.5"/>
  <pageSetup fitToHeight="0"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A9030-54AA-4000-A862-29F5A931ABFC}">
  <dimension ref="A1:C21"/>
  <sheetViews>
    <sheetView workbookViewId="0">
      <selection activeCell="C11" sqref="C11"/>
    </sheetView>
  </sheetViews>
  <sheetFormatPr baseColWidth="10" defaultColWidth="8.83203125" defaultRowHeight="15" x14ac:dyDescent="0.2"/>
  <cols>
    <col min="2" max="2" width="49.5" bestFit="1" customWidth="1"/>
    <col min="3" max="3" width="58" customWidth="1"/>
  </cols>
  <sheetData>
    <row r="1" spans="1:3" x14ac:dyDescent="0.2">
      <c r="A1" s="177" t="s">
        <v>1244</v>
      </c>
      <c r="B1" s="177" t="s">
        <v>1245</v>
      </c>
      <c r="C1" s="177" t="s">
        <v>1246</v>
      </c>
    </row>
    <row r="2" spans="1:3" x14ac:dyDescent="0.2">
      <c r="A2" t="s">
        <v>1247</v>
      </c>
      <c r="B2" t="s">
        <v>1248</v>
      </c>
      <c r="C2" t="s">
        <v>1249</v>
      </c>
    </row>
    <row r="3" spans="1:3" x14ac:dyDescent="0.2">
      <c r="A3" t="s">
        <v>1250</v>
      </c>
      <c r="B3" t="s">
        <v>1251</v>
      </c>
      <c r="C3" t="s">
        <v>1252</v>
      </c>
    </row>
    <row r="4" spans="1:3" x14ac:dyDescent="0.2">
      <c r="A4" t="s">
        <v>1253</v>
      </c>
      <c r="B4" t="s">
        <v>1254</v>
      </c>
      <c r="C4" t="s">
        <v>1255</v>
      </c>
    </row>
    <row r="5" spans="1:3" x14ac:dyDescent="0.2">
      <c r="A5" t="s">
        <v>1256</v>
      </c>
      <c r="B5" t="s">
        <v>1257</v>
      </c>
      <c r="C5" t="s">
        <v>1258</v>
      </c>
    </row>
    <row r="6" spans="1:3" x14ac:dyDescent="0.2">
      <c r="A6" t="s">
        <v>1259</v>
      </c>
      <c r="B6" t="s">
        <v>1260</v>
      </c>
      <c r="C6" t="s">
        <v>1261</v>
      </c>
    </row>
    <row r="7" spans="1:3" x14ac:dyDescent="0.2">
      <c r="A7" t="s">
        <v>1262</v>
      </c>
      <c r="B7" t="s">
        <v>1263</v>
      </c>
      <c r="C7" t="s">
        <v>1264</v>
      </c>
    </row>
    <row r="8" spans="1:3" x14ac:dyDescent="0.2">
      <c r="A8" t="s">
        <v>1265</v>
      </c>
      <c r="B8" t="s">
        <v>1266</v>
      </c>
      <c r="C8" t="s">
        <v>1267</v>
      </c>
    </row>
    <row r="9" spans="1:3" x14ac:dyDescent="0.2">
      <c r="A9" t="s">
        <v>1268</v>
      </c>
      <c r="B9" t="s">
        <v>1269</v>
      </c>
      <c r="C9" t="s">
        <v>1270</v>
      </c>
    </row>
    <row r="10" spans="1:3" x14ac:dyDescent="0.2">
      <c r="A10" t="s">
        <v>1271</v>
      </c>
      <c r="B10" t="s">
        <v>1272</v>
      </c>
      <c r="C10" t="s">
        <v>1273</v>
      </c>
    </row>
    <row r="11" spans="1:3" x14ac:dyDescent="0.2">
      <c r="A11" t="s">
        <v>1274</v>
      </c>
      <c r="B11" t="s">
        <v>1275</v>
      </c>
      <c r="C11" t="s">
        <v>1276</v>
      </c>
    </row>
    <row r="12" spans="1:3" x14ac:dyDescent="0.2">
      <c r="A12" t="s">
        <v>1277</v>
      </c>
      <c r="B12" t="s">
        <v>1278</v>
      </c>
      <c r="C12" t="s">
        <v>1279</v>
      </c>
    </row>
    <row r="13" spans="1:3" x14ac:dyDescent="0.2">
      <c r="A13" t="s">
        <v>1280</v>
      </c>
      <c r="B13" t="s">
        <v>1281</v>
      </c>
      <c r="C13" t="s">
        <v>1282</v>
      </c>
    </row>
    <row r="14" spans="1:3" x14ac:dyDescent="0.2">
      <c r="A14" t="s">
        <v>1283</v>
      </c>
      <c r="B14" t="s">
        <v>1284</v>
      </c>
      <c r="C14" t="s">
        <v>1285</v>
      </c>
    </row>
    <row r="15" spans="1:3" x14ac:dyDescent="0.2">
      <c r="A15" t="s">
        <v>1286</v>
      </c>
      <c r="B15" t="s">
        <v>1287</v>
      </c>
      <c r="C15" t="s">
        <v>1288</v>
      </c>
    </row>
    <row r="16" spans="1:3" x14ac:dyDescent="0.2">
      <c r="A16" t="s">
        <v>1289</v>
      </c>
      <c r="B16" t="s">
        <v>1290</v>
      </c>
      <c r="C16" t="s">
        <v>1291</v>
      </c>
    </row>
    <row r="17" spans="1:3" x14ac:dyDescent="0.2">
      <c r="A17" t="s">
        <v>1292</v>
      </c>
      <c r="B17" t="s">
        <v>1293</v>
      </c>
      <c r="C17" t="s">
        <v>1294</v>
      </c>
    </row>
    <row r="18" spans="1:3" x14ac:dyDescent="0.2">
      <c r="A18" t="s">
        <v>1295</v>
      </c>
      <c r="B18" t="s">
        <v>1296</v>
      </c>
      <c r="C18" t="s">
        <v>1297</v>
      </c>
    </row>
    <row r="19" spans="1:3" x14ac:dyDescent="0.2">
      <c r="A19" t="s">
        <v>1298</v>
      </c>
      <c r="B19" t="s">
        <v>1299</v>
      </c>
      <c r="C19" t="s">
        <v>1300</v>
      </c>
    </row>
    <row r="20" spans="1:3" x14ac:dyDescent="0.2">
      <c r="A20" t="s">
        <v>1301</v>
      </c>
      <c r="B20" t="s">
        <v>1302</v>
      </c>
      <c r="C20" t="s">
        <v>1303</v>
      </c>
    </row>
    <row r="21" spans="1:3" x14ac:dyDescent="0.2">
      <c r="A21" t="s">
        <v>1304</v>
      </c>
      <c r="B21" t="s">
        <v>1305</v>
      </c>
      <c r="C21" t="s">
        <v>1306</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9B7B6-195D-4390-8E6A-3DF49CBCB626}">
  <dimension ref="A1:G80"/>
  <sheetViews>
    <sheetView workbookViewId="0">
      <pane ySplit="9" topLeftCell="A21" activePane="bottomLeft" state="frozen"/>
      <selection pane="bottomLeft" activeCell="A29" sqref="A29:G29"/>
    </sheetView>
  </sheetViews>
  <sheetFormatPr baseColWidth="10" defaultColWidth="8.83203125" defaultRowHeight="15" x14ac:dyDescent="0.2"/>
  <cols>
    <col min="1" max="1" width="10" customWidth="1"/>
    <col min="2" max="2" width="38.1640625" customWidth="1"/>
    <col min="3" max="3" width="51.83203125" customWidth="1"/>
    <col min="4" max="4" width="20.83203125" customWidth="1"/>
    <col min="5" max="5" width="51.83203125" customWidth="1"/>
    <col min="6" max="6" width="42.6640625" customWidth="1"/>
    <col min="7" max="7" width="31.83203125" customWidth="1"/>
  </cols>
  <sheetData>
    <row r="1" spans="1:7" ht="28" customHeight="1" x14ac:dyDescent="0.25">
      <c r="A1" s="204" t="s">
        <v>943</v>
      </c>
      <c r="B1" s="204"/>
      <c r="C1" s="204"/>
      <c r="D1" s="204"/>
      <c r="E1" s="204"/>
      <c r="F1" s="204"/>
      <c r="G1" s="204"/>
    </row>
    <row r="2" spans="1:7" ht="36" customHeight="1" x14ac:dyDescent="0.2">
      <c r="A2" s="205" t="s">
        <v>944</v>
      </c>
      <c r="B2" s="205"/>
      <c r="C2" s="205"/>
      <c r="D2" s="205"/>
      <c r="E2" s="205"/>
      <c r="F2" s="205"/>
      <c r="G2" s="205"/>
    </row>
    <row r="3" spans="1:7" ht="18" customHeight="1" x14ac:dyDescent="0.2"/>
    <row r="4" spans="1:7" ht="18" customHeight="1" x14ac:dyDescent="0.2">
      <c r="A4" t="s">
        <v>945</v>
      </c>
      <c r="B4" s="128">
        <v>46298</v>
      </c>
    </row>
    <row r="5" spans="1:7" ht="18" customHeight="1" x14ac:dyDescent="0.2">
      <c r="A5" t="s">
        <v>946</v>
      </c>
      <c r="B5" t="s">
        <v>1113</v>
      </c>
    </row>
    <row r="6" spans="1:7" ht="18" customHeight="1" x14ac:dyDescent="0.2">
      <c r="A6" t="s">
        <v>948</v>
      </c>
      <c r="B6" t="s">
        <v>949</v>
      </c>
    </row>
    <row r="7" spans="1:7" ht="18" customHeight="1" x14ac:dyDescent="0.2">
      <c r="A7" t="s">
        <v>100</v>
      </c>
      <c r="B7" t="s">
        <v>950</v>
      </c>
    </row>
    <row r="8" spans="1:7" ht="18" customHeight="1" x14ac:dyDescent="0.2">
      <c r="A8" s="125" t="s">
        <v>1186</v>
      </c>
      <c r="B8" s="125" t="s">
        <v>1187</v>
      </c>
    </row>
    <row r="9" spans="1:7" ht="18" customHeight="1" x14ac:dyDescent="0.2">
      <c r="A9" s="126" t="s">
        <v>951</v>
      </c>
      <c r="B9" s="126" t="s">
        <v>952</v>
      </c>
      <c r="C9" s="126" t="s">
        <v>953</v>
      </c>
      <c r="D9" s="126" t="s">
        <v>954</v>
      </c>
      <c r="E9" s="126" t="s">
        <v>955</v>
      </c>
      <c r="F9" s="126" t="s">
        <v>956</v>
      </c>
      <c r="G9" s="126" t="s">
        <v>957</v>
      </c>
    </row>
    <row r="10" spans="1:7" ht="64" x14ac:dyDescent="0.2">
      <c r="A10" s="85">
        <v>4.0999999999999996</v>
      </c>
      <c r="B10" s="85" t="s">
        <v>958</v>
      </c>
      <c r="C10" s="85" t="s">
        <v>959</v>
      </c>
      <c r="D10" s="85" t="s">
        <v>960</v>
      </c>
      <c r="E10" s="127" t="s">
        <v>961</v>
      </c>
      <c r="F10" s="85" t="s">
        <v>29</v>
      </c>
      <c r="G10" s="85" t="s">
        <v>962</v>
      </c>
    </row>
    <row r="11" spans="1:7" ht="64" x14ac:dyDescent="0.2">
      <c r="A11" s="85">
        <v>4.2</v>
      </c>
      <c r="B11" s="85" t="s">
        <v>963</v>
      </c>
      <c r="C11" s="85" t="s">
        <v>964</v>
      </c>
      <c r="D11" s="85" t="s">
        <v>965</v>
      </c>
      <c r="E11" s="127" t="s">
        <v>961</v>
      </c>
      <c r="F11" s="85" t="s">
        <v>966</v>
      </c>
      <c r="G11" s="85" t="s">
        <v>967</v>
      </c>
    </row>
    <row r="12" spans="1:7" ht="96" x14ac:dyDescent="0.2">
      <c r="A12" s="85">
        <v>4.3</v>
      </c>
      <c r="B12" s="85" t="s">
        <v>968</v>
      </c>
      <c r="C12" s="85" t="s">
        <v>964</v>
      </c>
      <c r="D12" s="85" t="s">
        <v>1003</v>
      </c>
      <c r="E12" s="127" t="s">
        <v>961</v>
      </c>
      <c r="F12" s="85" t="s">
        <v>56</v>
      </c>
      <c r="G12" s="85" t="s">
        <v>969</v>
      </c>
    </row>
    <row r="13" spans="1:7" ht="80" x14ac:dyDescent="0.2">
      <c r="A13" s="85">
        <v>4.4000000000000004</v>
      </c>
      <c r="B13" s="85" t="s">
        <v>970</v>
      </c>
      <c r="C13" s="85" t="s">
        <v>959</v>
      </c>
      <c r="D13" s="85" t="s">
        <v>971</v>
      </c>
      <c r="E13" s="127" t="s">
        <v>961</v>
      </c>
      <c r="F13" s="85" t="s">
        <v>73</v>
      </c>
      <c r="G13" s="85" t="s">
        <v>972</v>
      </c>
    </row>
    <row r="14" spans="1:7" ht="112" x14ac:dyDescent="0.2">
      <c r="A14" s="85">
        <v>4.5</v>
      </c>
      <c r="B14" s="85" t="s">
        <v>973</v>
      </c>
      <c r="C14" s="85" t="s">
        <v>959</v>
      </c>
      <c r="D14" s="85" t="s">
        <v>974</v>
      </c>
      <c r="E14" s="127" t="s">
        <v>961</v>
      </c>
      <c r="F14" s="85" t="s">
        <v>975</v>
      </c>
      <c r="G14" s="85" t="s">
        <v>976</v>
      </c>
    </row>
    <row r="15" spans="1:7" ht="112" x14ac:dyDescent="0.2">
      <c r="A15" s="85">
        <v>4.5999999999999996</v>
      </c>
      <c r="B15" s="85" t="s">
        <v>977</v>
      </c>
      <c r="C15" s="85" t="s">
        <v>959</v>
      </c>
      <c r="D15" s="85" t="s">
        <v>1004</v>
      </c>
      <c r="E15" s="127" t="s">
        <v>961</v>
      </c>
      <c r="F15" s="85" t="s">
        <v>46</v>
      </c>
      <c r="G15" s="85" t="s">
        <v>978</v>
      </c>
    </row>
    <row r="16" spans="1:7" ht="96" x14ac:dyDescent="0.2">
      <c r="A16" s="85">
        <v>4.7</v>
      </c>
      <c r="B16" s="85" t="s">
        <v>979</v>
      </c>
      <c r="C16" s="85" t="s">
        <v>964</v>
      </c>
      <c r="D16" s="85" t="s">
        <v>980</v>
      </c>
      <c r="E16" s="127" t="s">
        <v>961</v>
      </c>
      <c r="F16" s="85" t="s">
        <v>981</v>
      </c>
      <c r="G16" s="85" t="s">
        <v>982</v>
      </c>
    </row>
    <row r="17" spans="1:7" ht="80" x14ac:dyDescent="0.2">
      <c r="A17" s="85">
        <v>4.8</v>
      </c>
      <c r="B17" s="85" t="s">
        <v>983</v>
      </c>
      <c r="C17" s="85" t="s">
        <v>984</v>
      </c>
      <c r="D17" s="85" t="s">
        <v>985</v>
      </c>
      <c r="E17" s="127" t="s">
        <v>961</v>
      </c>
      <c r="F17" s="85" t="s">
        <v>29</v>
      </c>
      <c r="G17" s="85" t="s">
        <v>986</v>
      </c>
    </row>
    <row r="18" spans="1:7" ht="18" customHeight="1" x14ac:dyDescent="0.2"/>
    <row r="19" spans="1:7" ht="18" customHeight="1" x14ac:dyDescent="0.2"/>
    <row r="20" spans="1:7" ht="18" customHeight="1" x14ac:dyDescent="0.2">
      <c r="A20" s="202" t="s">
        <v>987</v>
      </c>
      <c r="B20" s="202"/>
      <c r="C20" s="202"/>
      <c r="D20" s="202"/>
      <c r="E20" s="202"/>
      <c r="F20" s="202"/>
      <c r="G20" s="202"/>
    </row>
    <row r="21" spans="1:7" ht="48" customHeight="1" x14ac:dyDescent="0.2">
      <c r="A21" s="203" t="s">
        <v>1005</v>
      </c>
      <c r="B21" s="203"/>
      <c r="C21" s="203"/>
      <c r="D21" s="203"/>
      <c r="E21" s="203"/>
      <c r="F21" s="203"/>
      <c r="G21" s="203"/>
    </row>
    <row r="22" spans="1:7" ht="48" customHeight="1" x14ac:dyDescent="0.2">
      <c r="A22" s="203"/>
      <c r="B22" s="203"/>
      <c r="C22" s="203"/>
      <c r="D22" s="203"/>
      <c r="E22" s="203"/>
      <c r="F22" s="203"/>
      <c r="G22" s="203"/>
    </row>
    <row r="23" spans="1:7" ht="18" customHeight="1" x14ac:dyDescent="0.2"/>
    <row r="24" spans="1:7" ht="18" customHeight="1" x14ac:dyDescent="0.2">
      <c r="A24" t="s">
        <v>988</v>
      </c>
      <c r="B24" t="s">
        <v>989</v>
      </c>
    </row>
    <row r="25" spans="1:7" ht="18" customHeight="1" x14ac:dyDescent="0.2">
      <c r="A25" t="s">
        <v>990</v>
      </c>
      <c r="B25" t="s">
        <v>991</v>
      </c>
    </row>
    <row r="26" spans="1:7" ht="18" customHeight="1" x14ac:dyDescent="0.2">
      <c r="A26" t="s">
        <v>992</v>
      </c>
      <c r="B26" t="s">
        <v>991</v>
      </c>
    </row>
    <row r="27" spans="1:7" ht="18" customHeight="1" x14ac:dyDescent="0.2">
      <c r="A27" t="s">
        <v>993</v>
      </c>
      <c r="B27" t="s">
        <v>991</v>
      </c>
    </row>
    <row r="29" spans="1:7" ht="19" x14ac:dyDescent="0.25">
      <c r="A29" s="200" t="s">
        <v>1006</v>
      </c>
      <c r="B29" s="200"/>
      <c r="C29" s="200"/>
      <c r="D29" s="200"/>
      <c r="E29" s="200"/>
      <c r="F29" s="200"/>
      <c r="G29" s="200"/>
    </row>
    <row r="30" spans="1:7" x14ac:dyDescent="0.2">
      <c r="A30" s="126" t="s">
        <v>1007</v>
      </c>
      <c r="B30" s="126" t="s">
        <v>955</v>
      </c>
      <c r="C30" s="126" t="s">
        <v>1008</v>
      </c>
      <c r="D30" s="126" t="s">
        <v>1009</v>
      </c>
      <c r="E30" s="126" t="s">
        <v>1010</v>
      </c>
      <c r="F30" s="126" t="s">
        <v>1011</v>
      </c>
      <c r="G30" s="126" t="s">
        <v>1012</v>
      </c>
    </row>
    <row r="31" spans="1:7" ht="64" x14ac:dyDescent="0.2">
      <c r="A31" s="85" t="s">
        <v>1013</v>
      </c>
      <c r="B31" s="127" t="s">
        <v>961</v>
      </c>
      <c r="C31" s="85" t="s">
        <v>1014</v>
      </c>
      <c r="D31" s="85" t="s">
        <v>1015</v>
      </c>
      <c r="E31" s="85" t="s">
        <v>1016</v>
      </c>
      <c r="F31" s="85" t="s">
        <v>100</v>
      </c>
      <c r="G31" s="148" t="s">
        <v>964</v>
      </c>
    </row>
    <row r="32" spans="1:7" ht="64" x14ac:dyDescent="0.2">
      <c r="A32" s="85" t="s">
        <v>28</v>
      </c>
      <c r="B32" s="127" t="s">
        <v>961</v>
      </c>
      <c r="C32" s="85" t="s">
        <v>1017</v>
      </c>
      <c r="D32" s="85" t="s">
        <v>1018</v>
      </c>
      <c r="E32" s="85" t="s">
        <v>1019</v>
      </c>
      <c r="F32" s="85" t="s">
        <v>29</v>
      </c>
      <c r="G32" s="148" t="s">
        <v>964</v>
      </c>
    </row>
    <row r="33" spans="1:7" ht="80" x14ac:dyDescent="0.2">
      <c r="A33" s="85" t="s">
        <v>35</v>
      </c>
      <c r="B33" s="127" t="s">
        <v>961</v>
      </c>
      <c r="C33" s="85" t="s">
        <v>1020</v>
      </c>
      <c r="D33" s="85" t="s">
        <v>1021</v>
      </c>
      <c r="E33" s="85" t="s">
        <v>1022</v>
      </c>
      <c r="F33" s="85" t="s">
        <v>36</v>
      </c>
      <c r="G33" s="148" t="s">
        <v>964</v>
      </c>
    </row>
    <row r="34" spans="1:7" ht="64" x14ac:dyDescent="0.2">
      <c r="A34" s="85" t="s">
        <v>40</v>
      </c>
      <c r="B34" s="127" t="s">
        <v>961</v>
      </c>
      <c r="C34" s="85" t="s">
        <v>1023</v>
      </c>
      <c r="D34" s="85" t="s">
        <v>1024</v>
      </c>
      <c r="E34" s="85" t="s">
        <v>1025</v>
      </c>
      <c r="F34" s="85" t="s">
        <v>41</v>
      </c>
      <c r="G34" s="148" t="s">
        <v>964</v>
      </c>
    </row>
    <row r="35" spans="1:7" ht="64" x14ac:dyDescent="0.2">
      <c r="A35" s="85" t="s">
        <v>45</v>
      </c>
      <c r="B35" s="127" t="s">
        <v>961</v>
      </c>
      <c r="C35" s="85" t="s">
        <v>1026</v>
      </c>
      <c r="D35" s="85" t="s">
        <v>1027</v>
      </c>
      <c r="E35" s="85" t="s">
        <v>1028</v>
      </c>
      <c r="F35" s="85" t="s">
        <v>46</v>
      </c>
      <c r="G35" s="148" t="s">
        <v>964</v>
      </c>
    </row>
    <row r="36" spans="1:7" ht="80" x14ac:dyDescent="0.2">
      <c r="A36" s="85" t="s">
        <v>50</v>
      </c>
      <c r="B36" s="127" t="s">
        <v>961</v>
      </c>
      <c r="C36" s="85" t="s">
        <v>1029</v>
      </c>
      <c r="D36" s="85" t="s">
        <v>1030</v>
      </c>
      <c r="E36" s="85" t="s">
        <v>1031</v>
      </c>
      <c r="F36" s="85" t="s">
        <v>51</v>
      </c>
      <c r="G36" s="148" t="s">
        <v>964</v>
      </c>
    </row>
    <row r="37" spans="1:7" ht="96" x14ac:dyDescent="0.2">
      <c r="A37" s="85" t="s">
        <v>55</v>
      </c>
      <c r="B37" s="127" t="s">
        <v>961</v>
      </c>
      <c r="C37" s="85" t="s">
        <v>1032</v>
      </c>
      <c r="D37" s="85" t="s">
        <v>1033</v>
      </c>
      <c r="E37" s="85" t="s">
        <v>1034</v>
      </c>
      <c r="F37" s="85" t="s">
        <v>56</v>
      </c>
      <c r="G37" s="148" t="s">
        <v>964</v>
      </c>
    </row>
    <row r="38" spans="1:7" ht="64" x14ac:dyDescent="0.2">
      <c r="A38" s="85" t="s">
        <v>61</v>
      </c>
      <c r="B38" s="127" t="s">
        <v>961</v>
      </c>
      <c r="C38" s="85" t="s">
        <v>1035</v>
      </c>
      <c r="D38" s="85" t="s">
        <v>1036</v>
      </c>
      <c r="E38" s="85" t="s">
        <v>1037</v>
      </c>
      <c r="F38" s="85" t="s">
        <v>62</v>
      </c>
      <c r="G38" s="148" t="s">
        <v>964</v>
      </c>
    </row>
    <row r="39" spans="1:7" ht="64" x14ac:dyDescent="0.2">
      <c r="A39" s="85" t="s">
        <v>66</v>
      </c>
      <c r="B39" s="127" t="s">
        <v>961</v>
      </c>
      <c r="C39" s="85" t="s">
        <v>1038</v>
      </c>
      <c r="D39" s="85" t="s">
        <v>1039</v>
      </c>
      <c r="E39" s="85" t="s">
        <v>1040</v>
      </c>
      <c r="F39" s="85" t="s">
        <v>67</v>
      </c>
      <c r="G39" s="148" t="s">
        <v>964</v>
      </c>
    </row>
    <row r="40" spans="1:7" ht="80" x14ac:dyDescent="0.2">
      <c r="A40" s="85" t="s">
        <v>72</v>
      </c>
      <c r="B40" s="127" t="s">
        <v>961</v>
      </c>
      <c r="C40" s="85" t="s">
        <v>1041</v>
      </c>
      <c r="D40" s="85" t="s">
        <v>1042</v>
      </c>
      <c r="E40" s="85" t="s">
        <v>1043</v>
      </c>
      <c r="F40" s="85" t="s">
        <v>73</v>
      </c>
      <c r="G40" s="148" t="s">
        <v>964</v>
      </c>
    </row>
    <row r="41" spans="1:7" ht="64" x14ac:dyDescent="0.2">
      <c r="A41" s="85" t="s">
        <v>1044</v>
      </c>
      <c r="B41" s="127" t="s">
        <v>961</v>
      </c>
      <c r="C41" s="85" t="s">
        <v>1045</v>
      </c>
      <c r="D41" s="85" t="s">
        <v>1046</v>
      </c>
      <c r="E41" s="85" t="s">
        <v>1047</v>
      </c>
      <c r="F41" s="85" t="s">
        <v>1048</v>
      </c>
      <c r="G41" s="148" t="s">
        <v>959</v>
      </c>
    </row>
    <row r="42" spans="1:7" ht="80" x14ac:dyDescent="0.2">
      <c r="A42" s="85" t="s">
        <v>353</v>
      </c>
      <c r="B42" s="127" t="s">
        <v>961</v>
      </c>
      <c r="C42" s="85" t="s">
        <v>1049</v>
      </c>
      <c r="D42" s="85" t="s">
        <v>1050</v>
      </c>
      <c r="E42" s="85" t="s">
        <v>1051</v>
      </c>
      <c r="F42" s="85" t="s">
        <v>1052</v>
      </c>
      <c r="G42" s="148" t="s">
        <v>964</v>
      </c>
    </row>
    <row r="43" spans="1:7" ht="80" x14ac:dyDescent="0.2">
      <c r="A43" s="85" t="s">
        <v>1053</v>
      </c>
      <c r="B43" s="127" t="s">
        <v>961</v>
      </c>
      <c r="C43" s="85" t="s">
        <v>1054</v>
      </c>
      <c r="D43" s="85" t="s">
        <v>1055</v>
      </c>
      <c r="E43" s="85" t="s">
        <v>1056</v>
      </c>
      <c r="F43" s="85" t="s">
        <v>46</v>
      </c>
      <c r="G43" s="148" t="s">
        <v>959</v>
      </c>
    </row>
    <row r="44" spans="1:7" ht="64" x14ac:dyDescent="0.2">
      <c r="A44" s="85" t="s">
        <v>520</v>
      </c>
      <c r="B44" s="127" t="s">
        <v>961</v>
      </c>
      <c r="C44" s="85" t="s">
        <v>1057</v>
      </c>
      <c r="D44" s="85" t="s">
        <v>1058</v>
      </c>
      <c r="E44" s="85" t="s">
        <v>1059</v>
      </c>
      <c r="F44" s="85" t="s">
        <v>1048</v>
      </c>
      <c r="G44" s="148" t="s">
        <v>959</v>
      </c>
    </row>
    <row r="45" spans="1:7" ht="80" x14ac:dyDescent="0.2">
      <c r="A45" s="85" t="s">
        <v>1060</v>
      </c>
      <c r="B45" s="127" t="s">
        <v>961</v>
      </c>
      <c r="C45" s="85" t="s">
        <v>1061</v>
      </c>
      <c r="D45" s="85" t="s">
        <v>1062</v>
      </c>
      <c r="E45" s="85" t="s">
        <v>1063</v>
      </c>
      <c r="F45" s="85" t="s">
        <v>1048</v>
      </c>
      <c r="G45" s="148" t="s">
        <v>959</v>
      </c>
    </row>
    <row r="46" spans="1:7" ht="80" x14ac:dyDescent="0.2">
      <c r="A46" s="85" t="s">
        <v>94</v>
      </c>
      <c r="B46" s="127" t="s">
        <v>961</v>
      </c>
      <c r="C46" s="85" t="s">
        <v>1064</v>
      </c>
      <c r="D46" s="85" t="s">
        <v>1065</v>
      </c>
      <c r="E46" s="85" t="s">
        <v>1066</v>
      </c>
      <c r="F46" s="85" t="s">
        <v>981</v>
      </c>
      <c r="G46" s="148" t="s">
        <v>964</v>
      </c>
    </row>
    <row r="47" spans="1:7" ht="80" x14ac:dyDescent="0.2">
      <c r="A47" s="85" t="s">
        <v>1067</v>
      </c>
      <c r="B47" s="127" t="s">
        <v>961</v>
      </c>
      <c r="C47" s="85" t="s">
        <v>1068</v>
      </c>
      <c r="D47" s="85" t="s">
        <v>1069</v>
      </c>
      <c r="E47" s="85" t="s">
        <v>1070</v>
      </c>
      <c r="F47" s="85" t="s">
        <v>100</v>
      </c>
      <c r="G47" s="148" t="s">
        <v>947</v>
      </c>
    </row>
    <row r="48" spans="1:7" ht="64" x14ac:dyDescent="0.2">
      <c r="A48" s="85" t="s">
        <v>1071</v>
      </c>
      <c r="B48" s="127" t="s">
        <v>1072</v>
      </c>
      <c r="C48" s="85" t="s">
        <v>1073</v>
      </c>
      <c r="D48" s="85" t="s">
        <v>1074</v>
      </c>
      <c r="E48" s="85" t="s">
        <v>1075</v>
      </c>
      <c r="F48" s="85" t="s">
        <v>1076</v>
      </c>
      <c r="G48" s="148" t="s">
        <v>959</v>
      </c>
    </row>
    <row r="49" spans="1:7" ht="80" x14ac:dyDescent="0.2">
      <c r="A49" s="85" t="s">
        <v>1077</v>
      </c>
      <c r="B49" s="127" t="s">
        <v>1072</v>
      </c>
      <c r="C49" s="85" t="s">
        <v>1078</v>
      </c>
      <c r="D49" s="85" t="s">
        <v>1079</v>
      </c>
      <c r="E49" s="85" t="s">
        <v>1080</v>
      </c>
      <c r="F49" s="85" t="s">
        <v>1076</v>
      </c>
      <c r="G49" s="148" t="s">
        <v>959</v>
      </c>
    </row>
    <row r="52" spans="1:7" x14ac:dyDescent="0.2">
      <c r="A52" s="202" t="s">
        <v>1081</v>
      </c>
      <c r="B52" s="202"/>
      <c r="C52" s="202"/>
      <c r="D52" s="202"/>
      <c r="E52" s="202"/>
      <c r="F52" s="202"/>
      <c r="G52" s="202"/>
    </row>
    <row r="53" spans="1:7" ht="42" customHeight="1" x14ac:dyDescent="0.2">
      <c r="A53" s="203" t="s">
        <v>1082</v>
      </c>
      <c r="B53" s="203"/>
      <c r="C53" s="203"/>
      <c r="D53" s="203"/>
      <c r="E53" s="203"/>
      <c r="F53" s="203"/>
      <c r="G53" s="203"/>
    </row>
    <row r="54" spans="1:7" ht="42" customHeight="1" x14ac:dyDescent="0.2">
      <c r="A54" s="203"/>
      <c r="B54" s="203"/>
      <c r="C54" s="203"/>
      <c r="D54" s="203"/>
      <c r="E54" s="203"/>
      <c r="F54" s="203"/>
      <c r="G54" s="203"/>
    </row>
    <row r="55" spans="1:7" ht="42" customHeight="1" x14ac:dyDescent="0.2">
      <c r="A55" s="203"/>
      <c r="B55" s="203"/>
      <c r="C55" s="203"/>
      <c r="D55" s="203"/>
      <c r="E55" s="203"/>
      <c r="F55" s="203"/>
      <c r="G55" s="203"/>
    </row>
    <row r="57" spans="1:7" ht="19" x14ac:dyDescent="0.25">
      <c r="A57" s="200" t="s">
        <v>1114</v>
      </c>
      <c r="B57" s="200"/>
      <c r="C57" s="200"/>
      <c r="D57" s="200"/>
      <c r="E57" s="200"/>
      <c r="F57" s="200"/>
      <c r="G57" s="200"/>
    </row>
    <row r="58" spans="1:7" x14ac:dyDescent="0.2">
      <c r="A58" s="201" t="s">
        <v>1115</v>
      </c>
      <c r="B58" s="201"/>
      <c r="C58" s="201"/>
      <c r="D58" s="201"/>
      <c r="E58" s="201"/>
      <c r="F58" s="201"/>
      <c r="G58" s="201"/>
    </row>
    <row r="60" spans="1:7" x14ac:dyDescent="0.2">
      <c r="A60" s="126" t="s">
        <v>1116</v>
      </c>
      <c r="B60" s="126" t="s">
        <v>1117</v>
      </c>
      <c r="C60" s="126" t="s">
        <v>1118</v>
      </c>
      <c r="D60" s="126" t="s">
        <v>955</v>
      </c>
      <c r="E60" s="126" t="s">
        <v>1119</v>
      </c>
      <c r="F60" s="126" t="s">
        <v>1120</v>
      </c>
      <c r="G60" s="126" t="s">
        <v>1012</v>
      </c>
    </row>
    <row r="61" spans="1:7" ht="48" x14ac:dyDescent="0.2">
      <c r="A61" s="85">
        <v>1</v>
      </c>
      <c r="B61" s="85" t="s">
        <v>1121</v>
      </c>
      <c r="C61" s="85" t="s">
        <v>1122</v>
      </c>
      <c r="D61" s="149" t="s">
        <v>1123</v>
      </c>
      <c r="E61" s="85" t="s">
        <v>1124</v>
      </c>
      <c r="F61" s="85" t="s">
        <v>1125</v>
      </c>
      <c r="G61" s="148" t="s">
        <v>1126</v>
      </c>
    </row>
    <row r="62" spans="1:7" ht="32" x14ac:dyDescent="0.2">
      <c r="A62" s="85">
        <v>2</v>
      </c>
      <c r="B62" s="85" t="s">
        <v>1127</v>
      </c>
      <c r="C62" s="85" t="s">
        <v>1128</v>
      </c>
      <c r="D62" s="149" t="s">
        <v>961</v>
      </c>
      <c r="E62" s="85" t="s">
        <v>1129</v>
      </c>
      <c r="F62" s="85" t="s">
        <v>1130</v>
      </c>
      <c r="G62" s="148" t="s">
        <v>959</v>
      </c>
    </row>
    <row r="63" spans="1:7" ht="48" x14ac:dyDescent="0.2">
      <c r="A63" s="85">
        <v>3</v>
      </c>
      <c r="B63" s="85" t="s">
        <v>1131</v>
      </c>
      <c r="C63" s="85" t="s">
        <v>1132</v>
      </c>
      <c r="D63" s="149" t="s">
        <v>961</v>
      </c>
      <c r="E63" s="85" t="s">
        <v>1133</v>
      </c>
      <c r="F63" s="85" t="s">
        <v>1134</v>
      </c>
      <c r="G63" s="148" t="s">
        <v>959</v>
      </c>
    </row>
    <row r="64" spans="1:7" ht="32" x14ac:dyDescent="0.2">
      <c r="A64" s="85">
        <v>4</v>
      </c>
      <c r="B64" s="85" t="s">
        <v>1135</v>
      </c>
      <c r="C64" s="85" t="s">
        <v>1136</v>
      </c>
      <c r="D64" s="149" t="s">
        <v>1137</v>
      </c>
      <c r="E64" s="85" t="s">
        <v>1138</v>
      </c>
      <c r="F64" s="85" t="s">
        <v>1139</v>
      </c>
      <c r="G64" s="148" t="s">
        <v>964</v>
      </c>
    </row>
    <row r="65" spans="1:7" ht="32" x14ac:dyDescent="0.2">
      <c r="A65" s="85">
        <v>5</v>
      </c>
      <c r="B65" s="85" t="s">
        <v>1140</v>
      </c>
      <c r="C65" s="85" t="s">
        <v>1141</v>
      </c>
      <c r="D65" s="149" t="s">
        <v>961</v>
      </c>
      <c r="E65" s="85" t="s">
        <v>1133</v>
      </c>
      <c r="F65" s="85" t="s">
        <v>1142</v>
      </c>
      <c r="G65" s="148" t="s">
        <v>959</v>
      </c>
    </row>
    <row r="66" spans="1:7" ht="48" x14ac:dyDescent="0.2">
      <c r="A66" s="85">
        <v>6</v>
      </c>
      <c r="B66" s="85" t="s">
        <v>1143</v>
      </c>
      <c r="C66" s="85" t="s">
        <v>1144</v>
      </c>
      <c r="D66" s="149" t="s">
        <v>1137</v>
      </c>
      <c r="E66" s="85" t="s">
        <v>1145</v>
      </c>
      <c r="F66" s="85" t="s">
        <v>1146</v>
      </c>
      <c r="G66" s="148" t="s">
        <v>964</v>
      </c>
    </row>
    <row r="67" spans="1:7" ht="32" x14ac:dyDescent="0.2">
      <c r="A67" s="85">
        <v>7</v>
      </c>
      <c r="B67" s="85" t="s">
        <v>1147</v>
      </c>
      <c r="C67" s="85" t="s">
        <v>1148</v>
      </c>
      <c r="D67" s="149" t="s">
        <v>961</v>
      </c>
      <c r="E67" s="85" t="s">
        <v>1149</v>
      </c>
      <c r="F67" s="85" t="s">
        <v>1150</v>
      </c>
      <c r="G67" s="148" t="s">
        <v>959</v>
      </c>
    </row>
    <row r="68" spans="1:7" ht="32" x14ac:dyDescent="0.2">
      <c r="A68" s="85">
        <v>8</v>
      </c>
      <c r="B68" s="85" t="s">
        <v>1151</v>
      </c>
      <c r="C68" s="85" t="s">
        <v>1152</v>
      </c>
      <c r="D68" s="149" t="s">
        <v>1123</v>
      </c>
      <c r="E68" s="85" t="s">
        <v>1153</v>
      </c>
      <c r="F68" s="85" t="s">
        <v>1154</v>
      </c>
      <c r="G68" s="148" t="s">
        <v>1155</v>
      </c>
    </row>
    <row r="69" spans="1:7" ht="48" x14ac:dyDescent="0.2">
      <c r="A69" s="85">
        <v>9</v>
      </c>
      <c r="B69" s="85" t="s">
        <v>1156</v>
      </c>
      <c r="C69" s="85" t="s">
        <v>1157</v>
      </c>
      <c r="D69" s="149" t="s">
        <v>1137</v>
      </c>
      <c r="E69" s="85" t="s">
        <v>1158</v>
      </c>
      <c r="F69" s="85" t="s">
        <v>1159</v>
      </c>
      <c r="G69" s="148" t="s">
        <v>964</v>
      </c>
    </row>
    <row r="70" spans="1:7" ht="32" x14ac:dyDescent="0.2">
      <c r="A70" s="85">
        <v>10</v>
      </c>
      <c r="B70" s="85" t="s">
        <v>1160</v>
      </c>
      <c r="C70" s="85" t="s">
        <v>1161</v>
      </c>
      <c r="D70" s="149" t="s">
        <v>1162</v>
      </c>
      <c r="E70" s="85" t="s">
        <v>1163</v>
      </c>
      <c r="F70" s="85" t="s">
        <v>1164</v>
      </c>
      <c r="G70" s="148" t="s">
        <v>984</v>
      </c>
    </row>
    <row r="71" spans="1:7" ht="32" x14ac:dyDescent="0.2">
      <c r="A71" s="85">
        <v>11</v>
      </c>
      <c r="B71" s="85" t="s">
        <v>1165</v>
      </c>
      <c r="C71" s="85" t="s">
        <v>1166</v>
      </c>
      <c r="D71" s="149" t="s">
        <v>961</v>
      </c>
      <c r="E71" s="85" t="s">
        <v>1167</v>
      </c>
      <c r="F71" s="85" t="s">
        <v>1168</v>
      </c>
      <c r="G71" s="148" t="s">
        <v>959</v>
      </c>
    </row>
    <row r="72" spans="1:7" ht="48" x14ac:dyDescent="0.2">
      <c r="A72" s="85">
        <v>12</v>
      </c>
      <c r="B72" s="85" t="s">
        <v>1169</v>
      </c>
      <c r="C72" s="85" t="s">
        <v>1170</v>
      </c>
      <c r="D72" s="149" t="s">
        <v>1137</v>
      </c>
      <c r="E72" s="85" t="s">
        <v>1171</v>
      </c>
      <c r="F72" s="85" t="s">
        <v>1172</v>
      </c>
      <c r="G72" s="148" t="s">
        <v>964</v>
      </c>
    </row>
    <row r="73" spans="1:7" ht="48" x14ac:dyDescent="0.2">
      <c r="A73" s="85">
        <v>13</v>
      </c>
      <c r="B73" s="85" t="s">
        <v>1173</v>
      </c>
      <c r="C73" s="85" t="s">
        <v>1174</v>
      </c>
      <c r="D73" s="149" t="s">
        <v>1175</v>
      </c>
      <c r="E73" s="85" t="s">
        <v>1176</v>
      </c>
      <c r="F73" s="85" t="s">
        <v>1177</v>
      </c>
      <c r="G73" s="148" t="s">
        <v>1178</v>
      </c>
    </row>
    <row r="74" spans="1:7" ht="32" x14ac:dyDescent="0.2">
      <c r="A74" s="85">
        <v>14</v>
      </c>
      <c r="B74" s="85" t="s">
        <v>1179</v>
      </c>
      <c r="C74" s="85" t="s">
        <v>1180</v>
      </c>
      <c r="D74" s="149" t="s">
        <v>1175</v>
      </c>
      <c r="E74" s="85" t="s">
        <v>1181</v>
      </c>
      <c r="F74" s="85" t="s">
        <v>1182</v>
      </c>
      <c r="G74" s="148" t="s">
        <v>1183</v>
      </c>
    </row>
    <row r="77" spans="1:7" x14ac:dyDescent="0.2">
      <c r="A77" s="202" t="s">
        <v>1184</v>
      </c>
      <c r="B77" s="202"/>
      <c r="C77" s="202"/>
      <c r="D77" s="202"/>
      <c r="E77" s="202"/>
      <c r="F77" s="202"/>
      <c r="G77" s="202"/>
    </row>
    <row r="78" spans="1:7" ht="48" customHeight="1" x14ac:dyDescent="0.2">
      <c r="A78" s="203" t="s">
        <v>1185</v>
      </c>
      <c r="B78" s="203"/>
      <c r="C78" s="203"/>
      <c r="D78" s="203"/>
      <c r="E78" s="203"/>
      <c r="F78" s="203"/>
      <c r="G78" s="203"/>
    </row>
    <row r="79" spans="1:7" ht="48" customHeight="1" x14ac:dyDescent="0.2">
      <c r="A79" s="203"/>
      <c r="B79" s="203"/>
      <c r="C79" s="203"/>
      <c r="D79" s="203"/>
      <c r="E79" s="203"/>
      <c r="F79" s="203"/>
      <c r="G79" s="203"/>
    </row>
    <row r="80" spans="1:7" ht="48" customHeight="1" x14ac:dyDescent="0.2">
      <c r="A80" s="203"/>
      <c r="B80" s="203"/>
      <c r="C80" s="203"/>
      <c r="D80" s="203"/>
      <c r="E80" s="203"/>
      <c r="F80" s="203"/>
      <c r="G80" s="203"/>
    </row>
  </sheetData>
  <mergeCells count="11">
    <mergeCell ref="A52:G52"/>
    <mergeCell ref="A1:G1"/>
    <mergeCell ref="A2:G2"/>
    <mergeCell ref="A20:G20"/>
    <mergeCell ref="A21:G22"/>
    <mergeCell ref="A29:G29"/>
    <mergeCell ref="A57:G57"/>
    <mergeCell ref="A58:G58"/>
    <mergeCell ref="A77:G77"/>
    <mergeCell ref="A78:G80"/>
    <mergeCell ref="A53:G55"/>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U10"/>
  <sheetViews>
    <sheetView workbookViewId="0">
      <selection activeCell="L22" sqref="L22"/>
    </sheetView>
  </sheetViews>
  <sheetFormatPr baseColWidth="10" defaultColWidth="8.83203125" defaultRowHeight="15" x14ac:dyDescent="0.2"/>
  <sheetData>
    <row r="1" spans="1:21" x14ac:dyDescent="0.2">
      <c r="A1" t="s">
        <v>559</v>
      </c>
      <c r="B1" t="s">
        <v>560</v>
      </c>
      <c r="C1" t="s">
        <v>561</v>
      </c>
      <c r="D1" t="s">
        <v>562</v>
      </c>
      <c r="E1" t="s">
        <v>563</v>
      </c>
      <c r="F1" t="s">
        <v>564</v>
      </c>
      <c r="G1" t="s">
        <v>565</v>
      </c>
      <c r="H1" t="s">
        <v>537</v>
      </c>
      <c r="I1" t="s">
        <v>566</v>
      </c>
      <c r="J1" t="s">
        <v>567</v>
      </c>
      <c r="K1" t="s">
        <v>568</v>
      </c>
      <c r="L1" t="s">
        <v>569</v>
      </c>
      <c r="M1" t="s">
        <v>570</v>
      </c>
      <c r="N1" t="s">
        <v>571</v>
      </c>
      <c r="O1" t="s">
        <v>572</v>
      </c>
      <c r="P1" t="s">
        <v>573</v>
      </c>
      <c r="Q1" t="s">
        <v>305</v>
      </c>
      <c r="R1" t="s">
        <v>574</v>
      </c>
      <c r="S1" t="s">
        <v>575</v>
      </c>
      <c r="T1" t="s">
        <v>576</v>
      </c>
      <c r="U1" t="s">
        <v>577</v>
      </c>
    </row>
    <row r="2" spans="1:21" x14ac:dyDescent="0.2">
      <c r="A2" t="s">
        <v>578</v>
      </c>
      <c r="B2" t="s">
        <v>579</v>
      </c>
      <c r="C2" t="s">
        <v>580</v>
      </c>
      <c r="D2" t="s">
        <v>581</v>
      </c>
      <c r="E2" t="s">
        <v>582</v>
      </c>
      <c r="F2" t="s">
        <v>583</v>
      </c>
      <c r="G2" t="s">
        <v>584</v>
      </c>
      <c r="H2" t="s">
        <v>545</v>
      </c>
      <c r="I2" t="s">
        <v>585</v>
      </c>
      <c r="J2" t="s">
        <v>546</v>
      </c>
      <c r="K2" t="s">
        <v>586</v>
      </c>
      <c r="L2" t="s">
        <v>546</v>
      </c>
      <c r="M2" t="s">
        <v>587</v>
      </c>
      <c r="N2" t="s">
        <v>588</v>
      </c>
      <c r="O2" t="s">
        <v>589</v>
      </c>
      <c r="P2" t="s">
        <v>590</v>
      </c>
      <c r="Q2" t="s">
        <v>591</v>
      </c>
      <c r="R2" t="s">
        <v>592</v>
      </c>
      <c r="S2" t="s">
        <v>593</v>
      </c>
      <c r="T2" t="s">
        <v>594</v>
      </c>
      <c r="U2" t="s">
        <v>595</v>
      </c>
    </row>
    <row r="3" spans="1:21" x14ac:dyDescent="0.2">
      <c r="A3" t="s">
        <v>596</v>
      </c>
      <c r="B3" t="s">
        <v>597</v>
      </c>
      <c r="C3" t="s">
        <v>598</v>
      </c>
      <c r="D3" t="s">
        <v>599</v>
      </c>
      <c r="E3" t="s">
        <v>600</v>
      </c>
      <c r="F3" t="s">
        <v>601</v>
      </c>
      <c r="G3" t="s">
        <v>602</v>
      </c>
      <c r="H3" t="s">
        <v>555</v>
      </c>
      <c r="I3" t="s">
        <v>603</v>
      </c>
      <c r="J3" t="s">
        <v>547</v>
      </c>
      <c r="K3" t="s">
        <v>604</v>
      </c>
      <c r="L3" t="s">
        <v>605</v>
      </c>
      <c r="M3" t="s">
        <v>606</v>
      </c>
      <c r="N3" t="s">
        <v>607</v>
      </c>
      <c r="O3" t="s">
        <v>608</v>
      </c>
      <c r="P3" t="s">
        <v>609</v>
      </c>
      <c r="Q3" t="s">
        <v>610</v>
      </c>
      <c r="R3" t="s">
        <v>611</v>
      </c>
      <c r="S3" t="s">
        <v>612</v>
      </c>
      <c r="T3" t="s">
        <v>613</v>
      </c>
      <c r="U3" t="s">
        <v>614</v>
      </c>
    </row>
    <row r="4" spans="1:21" x14ac:dyDescent="0.2">
      <c r="A4" t="s">
        <v>615</v>
      </c>
      <c r="B4" t="s">
        <v>616</v>
      </c>
      <c r="C4" t="s">
        <v>677</v>
      </c>
      <c r="D4" t="s">
        <v>617</v>
      </c>
      <c r="E4" t="s">
        <v>618</v>
      </c>
      <c r="F4" t="s">
        <v>619</v>
      </c>
      <c r="G4" t="s">
        <v>620</v>
      </c>
      <c r="H4" t="s">
        <v>556</v>
      </c>
      <c r="I4" t="s">
        <v>621</v>
      </c>
      <c r="J4" t="s">
        <v>548</v>
      </c>
      <c r="K4" t="s">
        <v>622</v>
      </c>
      <c r="L4" t="s">
        <v>623</v>
      </c>
      <c r="M4" t="s">
        <v>549</v>
      </c>
      <c r="N4" t="s">
        <v>624</v>
      </c>
      <c r="O4" t="s">
        <v>625</v>
      </c>
      <c r="P4" t="s">
        <v>626</v>
      </c>
      <c r="Q4" t="s">
        <v>627</v>
      </c>
      <c r="R4" t="s">
        <v>628</v>
      </c>
      <c r="S4" t="s">
        <v>629</v>
      </c>
      <c r="T4" t="s">
        <v>630</v>
      </c>
      <c r="U4" t="s">
        <v>631</v>
      </c>
    </row>
    <row r="5" spans="1:21" x14ac:dyDescent="0.2">
      <c r="A5" t="s">
        <v>632</v>
      </c>
      <c r="B5" t="s">
        <v>633</v>
      </c>
      <c r="D5" t="s">
        <v>634</v>
      </c>
      <c r="E5" t="s">
        <v>635</v>
      </c>
      <c r="F5" t="s">
        <v>636</v>
      </c>
      <c r="H5" t="s">
        <v>557</v>
      </c>
      <c r="I5" t="s">
        <v>637</v>
      </c>
      <c r="J5" t="s">
        <v>549</v>
      </c>
      <c r="K5" t="s">
        <v>638</v>
      </c>
      <c r="L5" t="s">
        <v>639</v>
      </c>
      <c r="M5" t="s">
        <v>551</v>
      </c>
      <c r="N5" t="s">
        <v>640</v>
      </c>
      <c r="O5" t="s">
        <v>641</v>
      </c>
      <c r="P5" t="s">
        <v>642</v>
      </c>
      <c r="Q5" t="s">
        <v>643</v>
      </c>
      <c r="R5" t="s">
        <v>460</v>
      </c>
      <c r="S5" t="s">
        <v>644</v>
      </c>
      <c r="T5" t="s">
        <v>645</v>
      </c>
      <c r="U5" t="s">
        <v>646</v>
      </c>
    </row>
    <row r="6" spans="1:21" x14ac:dyDescent="0.2">
      <c r="A6" t="s">
        <v>647</v>
      </c>
      <c r="B6" t="s">
        <v>648</v>
      </c>
      <c r="D6" t="s">
        <v>649</v>
      </c>
      <c r="E6" t="s">
        <v>677</v>
      </c>
      <c r="H6" t="s">
        <v>558</v>
      </c>
      <c r="I6" t="s">
        <v>650</v>
      </c>
      <c r="J6" t="s">
        <v>550</v>
      </c>
      <c r="K6" t="s">
        <v>651</v>
      </c>
      <c r="L6" t="s">
        <v>652</v>
      </c>
      <c r="M6" t="s">
        <v>550</v>
      </c>
      <c r="N6" t="s">
        <v>653</v>
      </c>
      <c r="O6" t="s">
        <v>654</v>
      </c>
      <c r="P6" t="s">
        <v>655</v>
      </c>
      <c r="Q6" t="s">
        <v>656</v>
      </c>
      <c r="R6" t="s">
        <v>677</v>
      </c>
      <c r="S6" t="s">
        <v>657</v>
      </c>
      <c r="T6" t="s">
        <v>658</v>
      </c>
      <c r="U6" t="s">
        <v>620</v>
      </c>
    </row>
    <row r="7" spans="1:21" x14ac:dyDescent="0.2">
      <c r="A7" t="s">
        <v>659</v>
      </c>
      <c r="B7" t="s">
        <v>677</v>
      </c>
      <c r="D7" t="s">
        <v>660</v>
      </c>
      <c r="H7" t="s">
        <v>677</v>
      </c>
      <c r="I7" t="s">
        <v>661</v>
      </c>
      <c r="J7" t="s">
        <v>551</v>
      </c>
      <c r="K7" t="s">
        <v>662</v>
      </c>
      <c r="L7" t="s">
        <v>677</v>
      </c>
      <c r="M7" t="s">
        <v>677</v>
      </c>
      <c r="N7" t="s">
        <v>663</v>
      </c>
      <c r="O7" t="s">
        <v>664</v>
      </c>
      <c r="P7" t="s">
        <v>665</v>
      </c>
      <c r="Q7" t="s">
        <v>666</v>
      </c>
      <c r="S7" t="s">
        <v>667</v>
      </c>
      <c r="T7" t="s">
        <v>677</v>
      </c>
      <c r="U7" t="s">
        <v>677</v>
      </c>
    </row>
    <row r="8" spans="1:21" x14ac:dyDescent="0.2">
      <c r="A8" t="s">
        <v>668</v>
      </c>
      <c r="D8" t="s">
        <v>677</v>
      </c>
      <c r="I8" t="s">
        <v>677</v>
      </c>
      <c r="J8" t="s">
        <v>552</v>
      </c>
      <c r="K8" t="s">
        <v>669</v>
      </c>
      <c r="N8" t="s">
        <v>677</v>
      </c>
      <c r="O8" t="s">
        <v>677</v>
      </c>
      <c r="P8" t="s">
        <v>670</v>
      </c>
      <c r="Q8" t="s">
        <v>671</v>
      </c>
      <c r="S8" t="s">
        <v>677</v>
      </c>
    </row>
    <row r="9" spans="1:21" x14ac:dyDescent="0.2">
      <c r="A9" t="s">
        <v>677</v>
      </c>
      <c r="J9" t="s">
        <v>553</v>
      </c>
      <c r="K9" t="s">
        <v>549</v>
      </c>
      <c r="P9" t="s">
        <v>677</v>
      </c>
      <c r="Q9" t="s">
        <v>677</v>
      </c>
    </row>
    <row r="10" spans="1:21" x14ac:dyDescent="0.2">
      <c r="J10" t="s">
        <v>677</v>
      </c>
      <c r="K10" t="s">
        <v>677</v>
      </c>
    </row>
  </sheetData>
  <pageMargins left="0.75" right="0.75" top="1" bottom="1" header="0.5" footer="0.5"/>
  <pageSetup fitToHeight="0"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BE238-6384-40C9-8896-6263E53624F7}">
  <dimension ref="A1:F19"/>
  <sheetViews>
    <sheetView workbookViewId="0"/>
  </sheetViews>
  <sheetFormatPr baseColWidth="10" defaultColWidth="8.83203125" defaultRowHeight="15" x14ac:dyDescent="0.2"/>
  <sheetData>
    <row r="1" spans="1:6" x14ac:dyDescent="0.2">
      <c r="A1" t="s">
        <v>537</v>
      </c>
      <c r="B1" t="s">
        <v>540</v>
      </c>
      <c r="D1" t="s">
        <v>525</v>
      </c>
      <c r="E1" t="s">
        <v>1001</v>
      </c>
      <c r="F1" t="s">
        <v>1002</v>
      </c>
    </row>
    <row r="2" spans="1:6" x14ac:dyDescent="0.2">
      <c r="A2" t="s">
        <v>545</v>
      </c>
      <c r="B2" s="122">
        <f>Five_Year_TCO!H13</f>
        <v>3806361.102401223</v>
      </c>
      <c r="D2" s="133">
        <f>Summary!A4</f>
        <v>46235</v>
      </c>
      <c r="E2" s="122">
        <f>Model_Monthly!C76</f>
        <v>954536.37853982393</v>
      </c>
      <c r="F2" s="122">
        <f>Model_Monthly!C78</f>
        <v>427404.34859992116</v>
      </c>
    </row>
    <row r="3" spans="1:6" x14ac:dyDescent="0.2">
      <c r="A3" t="s">
        <v>555</v>
      </c>
      <c r="B3" s="122">
        <f>Five_Year_TCO!H22</f>
        <v>5682747.0255988399</v>
      </c>
      <c r="D3" s="133">
        <f>Summary!A5</f>
        <v>46266</v>
      </c>
      <c r="E3" s="122">
        <f>Model_Monthly!D76</f>
        <v>954569.54231915693</v>
      </c>
      <c r="F3" s="122">
        <f>Model_Monthly!D78</f>
        <v>355012.5366587083</v>
      </c>
    </row>
    <row r="4" spans="1:6" x14ac:dyDescent="0.2">
      <c r="A4" t="s">
        <v>556</v>
      </c>
      <c r="B4" s="122">
        <f>Five_Year_TCO!H31</f>
        <v>6714791.0207186081</v>
      </c>
      <c r="D4" s="133">
        <f>Summary!A6</f>
        <v>46296</v>
      </c>
      <c r="E4" s="122">
        <f>Model_Monthly!E76</f>
        <v>954612.18806128902</v>
      </c>
      <c r="F4" s="122">
        <f>Model_Monthly!E78</f>
        <v>291450.00471281062</v>
      </c>
    </row>
    <row r="5" spans="1:6" x14ac:dyDescent="0.2">
      <c r="A5" t="s">
        <v>557</v>
      </c>
      <c r="B5" s="122">
        <f>Five_Year_TCO!H40</f>
        <v>7748361.2908383766</v>
      </c>
      <c r="D5" s="133">
        <f>Summary!A7</f>
        <v>46327</v>
      </c>
      <c r="E5" s="122">
        <f>Model_Monthly!F76</f>
        <v>954654.81261080666</v>
      </c>
      <c r="F5" s="122">
        <f>Model_Monthly!F78</f>
        <v>247383.20533347619</v>
      </c>
    </row>
    <row r="6" spans="1:6" x14ac:dyDescent="0.2">
      <c r="A6" t="s">
        <v>558</v>
      </c>
      <c r="B6" s="122">
        <f>Five_Year_TCO!H49</f>
        <v>5685799.5755988397</v>
      </c>
      <c r="D6" s="133">
        <f>Summary!A8</f>
        <v>46357</v>
      </c>
      <c r="E6" s="122">
        <f>Model_Monthly!G76</f>
        <v>954697.41607367259</v>
      </c>
      <c r="F6" s="122">
        <f>Model_Monthly!G78</f>
        <v>215035.63892162699</v>
      </c>
    </row>
    <row r="7" spans="1:6" x14ac:dyDescent="0.2">
      <c r="D7" s="133">
        <f>Summary!A9</f>
        <v>46388</v>
      </c>
      <c r="E7" s="122">
        <f>Model_Monthly!H76</f>
        <v>954739.9985553202</v>
      </c>
      <c r="F7" s="122">
        <f>Model_Monthly!H78</f>
        <v>190281.30827773205</v>
      </c>
    </row>
    <row r="8" spans="1:6" x14ac:dyDescent="0.2">
      <c r="D8" s="133">
        <f>Summary!A10</f>
        <v>46419</v>
      </c>
      <c r="E8" s="122">
        <f>Model_Monthly!I76</f>
        <v>954782.56016065553</v>
      </c>
      <c r="F8" s="122">
        <f>Model_Monthly!I78</f>
        <v>170727.64302216488</v>
      </c>
    </row>
    <row r="9" spans="1:6" x14ac:dyDescent="0.2">
      <c r="D9" s="133">
        <f>Summary!A11</f>
        <v>46447</v>
      </c>
      <c r="E9" s="122">
        <f>Model_Monthly!J76</f>
        <v>954825.10099406028</v>
      </c>
      <c r="F9" s="122">
        <f>Model_Monthly!J78</f>
        <v>154891.70728591894</v>
      </c>
    </row>
    <row r="10" spans="1:6" x14ac:dyDescent="0.2">
      <c r="D10" s="133">
        <f>Summary!A12</f>
        <v>46478</v>
      </c>
      <c r="E10" s="122">
        <f>Model_Monthly!K76</f>
        <v>959571.62115939404</v>
      </c>
      <c r="F10" s="122">
        <f>Model_Monthly!K78</f>
        <v>142504.00933891223</v>
      </c>
    </row>
    <row r="11" spans="1:6" x14ac:dyDescent="0.2">
      <c r="D11" s="133">
        <f>Summary!A13</f>
        <v>46508</v>
      </c>
      <c r="E11" s="122">
        <f>Model_Monthly!L76</f>
        <v>959614.12075999717</v>
      </c>
      <c r="F11" s="122">
        <f>Model_Monthly!L78</f>
        <v>131454.38081416901</v>
      </c>
    </row>
    <row r="12" spans="1:6" x14ac:dyDescent="0.2">
      <c r="D12" s="133">
        <f>Summary!A14</f>
        <v>46539</v>
      </c>
      <c r="E12" s="122">
        <f>Model_Monthly!M76</f>
        <v>959656.59989869315</v>
      </c>
      <c r="F12" s="122">
        <f>Model_Monthly!M78</f>
        <v>122039.70764129293</v>
      </c>
    </row>
    <row r="13" spans="1:6" x14ac:dyDescent="0.2">
      <c r="D13" s="133">
        <f>Summary!A15</f>
        <v>46569</v>
      </c>
      <c r="E13" s="122">
        <f>Model_Monthly!N76</f>
        <v>959699.05867779173</v>
      </c>
      <c r="F13" s="122">
        <f>Model_Monthly!N78</f>
        <v>113922.21284537051</v>
      </c>
    </row>
    <row r="14" spans="1:6" x14ac:dyDescent="0.2">
      <c r="D14" s="133">
        <f>Summary!A16</f>
        <v>46600</v>
      </c>
      <c r="E14" s="122">
        <f>Model_Monthly!O76</f>
        <v>959724.87496358668</v>
      </c>
      <c r="F14" s="122">
        <f>Model_Monthly!O78</f>
        <v>109699.05539035729</v>
      </c>
    </row>
    <row r="15" spans="1:6" x14ac:dyDescent="0.2">
      <c r="D15" s="133">
        <f>Summary!A17</f>
        <v>46631</v>
      </c>
      <c r="E15" s="122">
        <f>Model_Monthly!P76</f>
        <v>959734.05728784064</v>
      </c>
      <c r="F15" s="122">
        <f>Model_Monthly!P78</f>
        <v>108588.12480798911</v>
      </c>
    </row>
    <row r="16" spans="1:6" x14ac:dyDescent="0.2">
      <c r="D16" s="133">
        <f>Summary!A18</f>
        <v>46661</v>
      </c>
      <c r="E16" s="122">
        <f>Model_Monthly!Q76</f>
        <v>959733.73795487359</v>
      </c>
      <c r="F16" s="122">
        <f>Model_Monthly!Q78</f>
        <v>109133.75746471187</v>
      </c>
    </row>
    <row r="17" spans="4:6" x14ac:dyDescent="0.2">
      <c r="D17" s="133">
        <f>Summary!A19</f>
        <v>46692</v>
      </c>
      <c r="E17" s="122">
        <f>Model_Monthly!R76</f>
        <v>959733.42021857132</v>
      </c>
      <c r="F17" s="122">
        <f>Model_Monthly!R78</f>
        <v>109682.1319940815</v>
      </c>
    </row>
    <row r="18" spans="4:6" x14ac:dyDescent="0.2">
      <c r="D18" s="133">
        <f>Summary!A20</f>
        <v>46722</v>
      </c>
      <c r="E18" s="122">
        <f>Model_Monthly!S76</f>
        <v>959733.1040709503</v>
      </c>
      <c r="F18" s="122">
        <f>Model_Monthly!S78</f>
        <v>110233.26217435244</v>
      </c>
    </row>
    <row r="19" spans="4:6" x14ac:dyDescent="0.2">
      <c r="D19" s="133">
        <f>Summary!A21</f>
        <v>46753</v>
      </c>
      <c r="E19" s="122">
        <f>Model_Monthly!T76</f>
        <v>959732.78950406751</v>
      </c>
      <c r="F19" s="122">
        <f>Model_Monthly!T78</f>
        <v>110787.16185301672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513C777A44F2C48BC7FFF9256560BA9" ma:contentTypeVersion="8" ma:contentTypeDescription="Create a new document." ma:contentTypeScope="" ma:versionID="d7e5894b2bde9d80d5c74501ece1d69a">
  <xsd:schema xmlns:xsd="http://www.w3.org/2001/XMLSchema" xmlns:xs="http://www.w3.org/2001/XMLSchema" xmlns:p="http://schemas.microsoft.com/office/2006/metadata/properties" xmlns:ns2="ca577197-9906-4170-a9bb-974e15f05a78" targetNamespace="http://schemas.microsoft.com/office/2006/metadata/properties" ma:root="true" ma:fieldsID="a8086edddfeadb898445ebd238546b3a" ns2:_="">
    <xsd:import namespace="ca577197-9906-4170-a9bb-974e15f05a7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a577197-9906-4170-a9bb-974e15f05a7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OCR" ma:index="15"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1ECAC58-73A5-450C-A8C2-0A539BFEAE9B}">
  <ds:schemaRefs>
    <ds:schemaRef ds:uri="http://www.w3.org/XML/1998/namespace"/>
    <ds:schemaRef ds:uri="http://schemas.microsoft.com/office/infopath/2007/PartnerControls"/>
    <ds:schemaRef ds:uri="http://purl.org/dc/elements/1.1/"/>
    <ds:schemaRef ds:uri="http://schemas.openxmlformats.org/package/2006/metadata/core-properties"/>
    <ds:schemaRef ds:uri="http://purl.org/dc/terms/"/>
    <ds:schemaRef ds:uri="http://schemas.microsoft.com/office/2006/documentManagement/types"/>
    <ds:schemaRef ds:uri="http://purl.org/dc/dcmitype/"/>
    <ds:schemaRef ds:uri="ca577197-9906-4170-a9bb-974e15f05a78"/>
    <ds:schemaRef ds:uri="http://schemas.microsoft.com/office/2006/metadata/properties"/>
  </ds:schemaRefs>
</ds:datastoreItem>
</file>

<file path=customXml/itemProps2.xml><?xml version="1.0" encoding="utf-8"?>
<ds:datastoreItem xmlns:ds="http://schemas.openxmlformats.org/officeDocument/2006/customXml" ds:itemID="{21EE1DA8-7618-444D-B322-BA5AB7D067B6}">
  <ds:schemaRefs>
    <ds:schemaRef ds:uri="http://schemas.microsoft.com/sharepoint/v3/contenttype/forms"/>
  </ds:schemaRefs>
</ds:datastoreItem>
</file>

<file path=customXml/itemProps3.xml><?xml version="1.0" encoding="utf-8"?>
<ds:datastoreItem xmlns:ds="http://schemas.openxmlformats.org/officeDocument/2006/customXml" ds:itemID="{E485D0D6-D84F-4D24-AFEE-C08746744D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a577197-9906-4170-a9bb-974e15f05a7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404b1967-6507-45ab-8a6d-7374a3f478be}" enabled="0" method="" siteId="{404b1967-6507-45ab-8a6d-7374a3f478be}" removed="1"/>
  <clbl:label id="{42cc3295-cd0e-449c-b98e-5ce5b560c1d3}" enabled="0" method="" siteId="{42cc3295-cd0e-449c-b98e-5ce5b560c1d3}"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21</vt:i4>
      </vt:variant>
      <vt:variant>
        <vt:lpstr>Named Ranges</vt:lpstr>
      </vt:variant>
      <vt:variant>
        <vt:i4>22</vt:i4>
      </vt:variant>
    </vt:vector>
  </HeadingPairs>
  <TitlesOfParts>
    <vt:vector size="43" baseType="lpstr">
      <vt:lpstr>Instructions</vt:lpstr>
      <vt:lpstr>AI_Agent_Inventory</vt:lpstr>
      <vt:lpstr>Demand_Scenarios</vt:lpstr>
      <vt:lpstr>AI_Consumption</vt:lpstr>
      <vt:lpstr>Assumptions</vt:lpstr>
      <vt:lpstr>Unit_Costs</vt:lpstr>
      <vt:lpstr>Agent Rollout Plan</vt:lpstr>
      <vt:lpstr>Cost_Register</vt:lpstr>
      <vt:lpstr>Infra_Sizing</vt:lpstr>
      <vt:lpstr>Staffing</vt:lpstr>
      <vt:lpstr>Benefits</vt:lpstr>
      <vt:lpstr>LLM_Calc</vt:lpstr>
      <vt:lpstr>Observability</vt:lpstr>
      <vt:lpstr>Model_Monthly</vt:lpstr>
      <vt:lpstr>Charts</vt:lpstr>
      <vt:lpstr>Summary</vt:lpstr>
      <vt:lpstr>Five_Year_TCO</vt:lpstr>
      <vt:lpstr>SA Catalog</vt:lpstr>
      <vt:lpstr>Validation_Attestation</vt:lpstr>
      <vt:lpstr>_Lists</vt:lpstr>
      <vt:lpstr>Chart Data</vt:lpstr>
      <vt:lpstr>AgentPattern</vt:lpstr>
      <vt:lpstr>AgentStatus</vt:lpstr>
      <vt:lpstr>Autonomy</vt:lpstr>
      <vt:lpstr>ChargingBasis</vt:lpstr>
      <vt:lpstr>Complexity</vt:lpstr>
      <vt:lpstr>Confidence</vt:lpstr>
      <vt:lpstr>CostClass</vt:lpstr>
      <vt:lpstr>Currency</vt:lpstr>
      <vt:lpstr>Environment</vt:lpstr>
      <vt:lpstr>EvidenceType</vt:lpstr>
      <vt:lpstr>Frequency</vt:lpstr>
      <vt:lpstr>Hosting</vt:lpstr>
      <vt:lpstr>Inclusion</vt:lpstr>
      <vt:lpstr>InputSource</vt:lpstr>
      <vt:lpstr>ModelClass</vt:lpstr>
      <vt:lpstr>Owner</vt:lpstr>
      <vt:lpstr>Instructions!Print_Titles</vt:lpstr>
      <vt:lpstr>Scenario</vt:lpstr>
      <vt:lpstr>SolutionType</vt:lpstr>
      <vt:lpstr>Technology</vt:lpstr>
      <vt:lpstr>ValidationStatus</vt:lpstr>
      <vt:lpstr>YesNo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PEP DEVX Model for Agent Cost Estimation with Instructions</dc:title>
  <dc:subject>IT Services for AI token commercial estimation</dc:subject>
  <dc:creator>ESPERON, LOURDES {PEP}</dc:creator>
  <cp:keywords>AI, tokens, commercial estimation, IT Services, FinOps</cp:keywords>
  <dc:description/>
  <cp:lastModifiedBy>SUDIPTA MAITI</cp:lastModifiedBy>
  <cp:revision/>
  <dcterms:created xsi:type="dcterms:W3CDTF">2026-09-28T16:30:44Z</dcterms:created>
  <dcterms:modified xsi:type="dcterms:W3CDTF">2026-10-07T04:54:56Z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0x010100B513C777A44F2C48BC7FFF9256560BA9</vt:lpwstr>
  </property>
</Properties>
</file>
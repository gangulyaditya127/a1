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24226"/>
  <mc:AlternateContent xmlns:mc="http://schemas.openxmlformats.org/markup-compatibility/2006">
    <mc:Choice Requires="x15">
      <x15ac:absPath xmlns:x15ac="http://schemas.microsoft.com/office/spreadsheetml/2010/11/ac" url="https://769372677-my.sharepoint.com/personal/vijay_gorde_canadalife_com/Documents/Desktop/AMS/POC/Tabletop/Final Copy/"/>
    </mc:Choice>
  </mc:AlternateContent>
  <xr:revisionPtr revIDLastSave="0" documentId="8_{E06084CD-DDF4-4E12-9C24-B9AF8392432F}" xr6:coauthVersionLast="47" xr6:coauthVersionMax="47" xr10:uidLastSave="{00000000-0000-0000-0000-000000000000}"/>
  <bookViews>
    <workbookView xWindow="-110" yWindow="-110" windowWidth="19420" windowHeight="11500" tabRatio="813" firstSheet="11" activeTab="11" xr2:uid="{00000000-000D-0000-FFFF-FFFF00000000}"/>
  </bookViews>
  <sheets>
    <sheet name="Readme" sheetId="30" state="hidden" r:id="rId1"/>
    <sheet name="Application- Nauman" sheetId="59" state="hidden" r:id="rId2"/>
    <sheet name="Incident Data " sheetId="24" state="hidden" r:id="rId3"/>
    <sheet name="Problem data" sheetId="25" state="hidden" r:id="rId4"/>
    <sheet name="Change Request Data " sheetId="26" state="hidden" r:id="rId5"/>
    <sheet name="JIRA Service Request Data" sheetId="27" state="hidden" r:id="rId6"/>
    <sheet name="Current state- team" sheetId="20" state="hidden" r:id="rId7"/>
    <sheet name="SLA Details" sheetId="29" state="hidden" r:id="rId8"/>
    <sheet name="AI &amp; Automation" sheetId="32" state="hidden" r:id="rId9"/>
    <sheet name="Services" sheetId="33" state="hidden" r:id="rId10"/>
    <sheet name="Model" sheetId="34" state="hidden" r:id="rId11"/>
    <sheet name="Application List" sheetId="60" r:id="rId12"/>
    <sheet name="WBR" sheetId="50" r:id="rId13"/>
    <sheet name="Guidelines" sheetId="22" r:id="rId14"/>
  </sheets>
  <definedNames>
    <definedName name="_xlnm._FilterDatabase" localSheetId="11" hidden="1">'Application List'!$A$2:$AI$12</definedName>
    <definedName name="_xlnm._FilterDatabase" localSheetId="1" hidden="1">'Application- Nauman'!$A$2:$BW$53</definedName>
    <definedName name="_xlnm._FilterDatabase" localSheetId="12" hidden="1">WBR!$A$2:$AN$198</definedName>
    <definedName name="Abends">#REF!</definedName>
    <definedName name="AbendScore">#REF!</definedName>
    <definedName name="AnnualFTE">#REF!</definedName>
    <definedName name="AppType">#REF!</definedName>
    <definedName name="BusinessFit">#REF!</definedName>
    <definedName name="BusMaint">#REF!</definedName>
    <definedName name="Change">#REF!</definedName>
    <definedName name="ChangeScore">#REF!</definedName>
    <definedName name="DataDrivenDesign">#REF!</definedName>
    <definedName name="Defect">#REF!</definedName>
    <definedName name="DefectScore">#REF!</definedName>
    <definedName name="DevType">#REF!</definedName>
    <definedName name="disposition">#REF!</definedName>
    <definedName name="Documentation">#REF!</definedName>
    <definedName name="IncidenScore">#REF!</definedName>
    <definedName name="Incident">#REF!</definedName>
    <definedName name="IncidentScore">#REF!</definedName>
    <definedName name="master" localSheetId="11">'Application List'!$E$2:$W$16</definedName>
    <definedName name="master" localSheetId="1">'Application- Nauman'!$F$2:$AJ$202</definedName>
    <definedName name="master" localSheetId="12">WBR!$E$2:$W$202</definedName>
    <definedName name="master">#REF!</definedName>
    <definedName name="NoInHouseExp">#REF!</definedName>
    <definedName name="NoOfBatch">#REF!</definedName>
    <definedName name="NoOfOnline">#REF!</definedName>
    <definedName name="NoOfScreen">#REF!</definedName>
    <definedName name="OverBusQual">#REF!</definedName>
    <definedName name="OverITQual">#REF!</definedName>
    <definedName name="PrimeTech">#REF!</definedName>
    <definedName name="ServiceClass">#REF!</definedName>
    <definedName name="SourceCodeQual">#REF!</definedName>
    <definedName name="Stability">#REF!</definedName>
    <definedName name="StrucDesign">#REF!</definedName>
    <definedName name="SupportLevel">#REF!</definedName>
    <definedName name="Z_D8972B65_960A_490B_89FF_CDB3D5C517E6_.wvu.FilterData" localSheetId="11" hidden="1">'Application List'!$E$2:$Q$2951</definedName>
    <definedName name="Z_D8972B65_960A_490B_89FF_CDB3D5C517E6_.wvu.FilterData" localSheetId="1" hidden="1">'Application- Nauman'!$F$2:$U$3137</definedName>
    <definedName name="Z_D8972B65_960A_490B_89FF_CDB3D5C517E6_.wvu.FilterData" localSheetId="12" hidden="1">WBR!$E$2:$Q$3137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59" l="1"/>
  <c r="A49" i="59"/>
  <c r="A48" i="59"/>
  <c r="A47" i="59"/>
  <c r="A46" i="59"/>
  <c r="BD45" i="59"/>
  <c r="A45" i="59"/>
  <c r="BD44" i="59"/>
  <c r="A44" i="59"/>
  <c r="A43" i="59"/>
  <c r="BE42" i="59"/>
  <c r="A42" i="59"/>
  <c r="BE41" i="59"/>
  <c r="A41" i="59"/>
  <c r="BE40" i="59"/>
  <c r="A40" i="59"/>
  <c r="BE39" i="59"/>
  <c r="A39" i="59"/>
  <c r="BE38" i="59"/>
  <c r="A38" i="59"/>
  <c r="BE37" i="59"/>
  <c r="A37" i="59"/>
  <c r="BE36" i="59"/>
  <c r="A36" i="59"/>
  <c r="BE35" i="59"/>
  <c r="A35" i="59"/>
  <c r="BE34" i="59"/>
  <c r="A34" i="59"/>
  <c r="BE33" i="59"/>
  <c r="A33" i="59"/>
  <c r="BE32" i="59"/>
  <c r="A32" i="59"/>
  <c r="BE31" i="59"/>
  <c r="A31" i="59"/>
  <c r="BE30" i="59"/>
  <c r="A30" i="59"/>
  <c r="BE29" i="59"/>
  <c r="A29" i="59"/>
  <c r="BE28" i="59"/>
  <c r="A28" i="59"/>
  <c r="BE27" i="59"/>
  <c r="A27" i="59"/>
  <c r="BE26" i="59"/>
  <c r="A26" i="59"/>
  <c r="BE25" i="59"/>
  <c r="A25" i="59"/>
  <c r="BE24" i="59"/>
  <c r="A24" i="59"/>
  <c r="BE23" i="59"/>
  <c r="A23" i="59"/>
  <c r="A22" i="59"/>
  <c r="A21" i="59"/>
  <c r="A20" i="59"/>
  <c r="A19" i="59"/>
  <c r="A18" i="59"/>
  <c r="A17" i="59"/>
  <c r="A16" i="59"/>
  <c r="A15" i="59"/>
  <c r="A14" i="59"/>
  <c r="A13" i="59"/>
  <c r="A12" i="59"/>
  <c r="A11" i="59"/>
  <c r="A10" i="59"/>
  <c r="A9" i="59"/>
  <c r="A8" i="59"/>
  <c r="A7" i="59"/>
  <c r="A6" i="59"/>
  <c r="A5" i="59"/>
  <c r="A4" i="59"/>
  <c r="A3"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Arun  Gopalakrishnan</author>
  </authors>
  <commentList>
    <comment ref="Q6" authorId="0" shapeId="0" xr:uid="{00000000-0006-0000-0200-000001000000}">
      <text>
        <r>
          <rPr>
            <sz val="9"/>
            <color indexed="81"/>
            <rFont val="Tahoma"/>
            <family val="2"/>
          </rPr>
          <t>Data Fix,
Code Fix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Arun  Gopalakrishnan</author>
  </authors>
  <commentList>
    <comment ref="E6" authorId="0" shapeId="0" xr:uid="{00000000-0006-0000-0300-000001000000}">
      <text>
        <r>
          <rPr>
            <sz val="9"/>
            <color indexed="81"/>
            <rFont val="Tahoma"/>
            <family val="2"/>
          </rPr>
          <t>On hold
Closed
In Progress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Arun  Gopalakrishnan</author>
  </authors>
  <commentList>
    <comment ref="E6" authorId="0" shapeId="0" xr:uid="{00000000-0006-0000-0400-000001000000}">
      <text>
        <r>
          <rPr>
            <sz val="9"/>
            <color indexed="81"/>
            <rFont val="Tahoma"/>
            <family val="2"/>
          </rPr>
          <t>A - (0 - 20) Hrs
B - (20 - 50) Hrs
C - (50 - 80) Hrs
D - (80 - 100) Hrs
ME(Minor Enhancement) - (&gt; than100)hrs</t>
        </r>
      </text>
    </comment>
    <comment ref="F6" authorId="0" shapeId="0" xr:uid="{00000000-0006-0000-0400-000002000000}">
      <text>
        <r>
          <rPr>
            <sz val="9"/>
            <color indexed="81"/>
            <rFont val="Tahoma"/>
            <family val="2"/>
          </rPr>
          <t>System change
Technical change
Business change
Regulatory Change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Arun  Gopalakrishnan</author>
  </authors>
  <commentList>
    <comment ref="N6" authorId="0" shapeId="0" xr:uid="{00000000-0006-0000-0500-000001000000}">
      <text>
        <r>
          <rPr>
            <sz val="9"/>
            <color indexed="81"/>
            <rFont val="Tahoma"/>
            <family val="2"/>
          </rPr>
          <t xml:space="preserve">Data Fix
Business Analysis
Report Generation
Prod Support Activity 
</t>
        </r>
      </text>
    </comment>
  </commentList>
</comments>
</file>

<file path=xl/sharedStrings.xml><?xml version="1.0" encoding="utf-8"?>
<sst xmlns="http://schemas.openxmlformats.org/spreadsheetml/2006/main" count="4921" uniqueCount="1053">
  <si>
    <t>Application Portfolio Capture</t>
  </si>
  <si>
    <t>Add user service requests from the ticketing tool to the "Service Request Data" sheet, preferably covering 12 to 18 months.</t>
  </si>
  <si>
    <t>Enter details for all in-scope applications and their attributes in the "Application Details" sheet. Please use the provided guidelines for each attribute.</t>
  </si>
  <si>
    <t>Populate the "Incident Data" sheet with incident records from the ticketing tool that are within scope, ideally covering the last 12 to 18 months.</t>
  </si>
  <si>
    <t>Fill the "Problem Data" sheet with relevant problem management records from the ticketing tool, preferably from the past 12 to 18 months.</t>
  </si>
  <si>
    <t>Complete the "Change Request Data" sheet with change requests and minor enhancements from the ticketing tool, ideally for the last 12 to 18 months.</t>
  </si>
  <si>
    <t>Current State - List full-time equivalent (FTE) resource details mapped to each in-scope application in the "Current state team" sheet.</t>
  </si>
  <si>
    <t>Specify expected service levels and targets in the "SLA Details" sheet.</t>
  </si>
  <si>
    <t>Document the current AI and automation tools implemented in your environment in the "AI &amp; Automation" sheet.</t>
  </si>
  <si>
    <t>Provide information about the current maturity of service management in the "Services" sheet.</t>
  </si>
  <si>
    <t xml:space="preserve">Describe the current operating model in the "Model" sheet.
</t>
  </si>
  <si>
    <t>SL No</t>
  </si>
  <si>
    <t>Application Details</t>
  </si>
  <si>
    <t>Service Volume</t>
  </si>
  <si>
    <t>People</t>
  </si>
  <si>
    <t>Business function/domain</t>
  </si>
  <si>
    <t>Budget</t>
  </si>
  <si>
    <t>Portfolio/LOB</t>
  </si>
  <si>
    <t>APM#</t>
  </si>
  <si>
    <t>Application Name</t>
  </si>
  <si>
    <t>Application Owner</t>
  </si>
  <si>
    <t xml:space="preserve">Description Of Application </t>
  </si>
  <si>
    <t>Location (Multiple Geography)</t>
  </si>
  <si>
    <t>Size</t>
  </si>
  <si>
    <t>Complexity</t>
  </si>
  <si>
    <t>Complexity Remarks</t>
  </si>
  <si>
    <t>Data sensitivity (Protected-B/ PII)</t>
  </si>
  <si>
    <t>Masked data</t>
  </si>
  <si>
    <t>Criticality</t>
  </si>
  <si>
    <t>Stability</t>
  </si>
  <si>
    <t>Coverage</t>
  </si>
  <si>
    <t>Service Level Tier</t>
  </si>
  <si>
    <t>Disposition</t>
  </si>
  <si>
    <t>Financial Impact (Y/N)</t>
  </si>
  <si>
    <t xml:space="preserve">Data Centric </t>
  </si>
  <si>
    <t>Source Code Available (Y/N)</t>
  </si>
  <si>
    <t>Prime Platform</t>
  </si>
  <si>
    <t>OS</t>
  </si>
  <si>
    <t>Database Used</t>
  </si>
  <si>
    <t>Language Used</t>
  </si>
  <si>
    <t>Batch/Online/Services</t>
  </si>
  <si>
    <t>Number of Interfaces</t>
  </si>
  <si>
    <t xml:space="preserve">Number of Internal datastores </t>
  </si>
  <si>
    <t>Number of Online Screens</t>
  </si>
  <si>
    <t>Number of Batch jobs</t>
  </si>
  <si>
    <t xml:space="preserve">Number of Users </t>
  </si>
  <si>
    <t>Number Of Transaction</t>
  </si>
  <si>
    <t xml:space="preserve">3rd Party Dependencies </t>
  </si>
  <si>
    <t>Architecture Issues (Y/N)</t>
  </si>
  <si>
    <t>Documentation</t>
  </si>
  <si>
    <t>Remarks</t>
  </si>
  <si>
    <t xml:space="preserve">Incidents / Month </t>
  </si>
  <si>
    <t>% P1 Incidents / Year</t>
  </si>
  <si>
    <t>P2 Incidents / Month</t>
  </si>
  <si>
    <t>P3 Incidents / Month</t>
  </si>
  <si>
    <t>Average  Incidents Effort (hr)</t>
  </si>
  <si>
    <t xml:space="preserve">Prime Incidents occurrence Time
(Certain time of Day/Certain Period of Month/year) </t>
  </si>
  <si>
    <t>Current Incident Backlogs</t>
  </si>
  <si>
    <t>Problem or Defects / Month</t>
  </si>
  <si>
    <t>Avg Effort / Defect or Problem (hr)</t>
  </si>
  <si>
    <t>Current Problem/Defect  Backlogs</t>
  </si>
  <si>
    <t>Change requests /Month
(0-20 , 20 -50, 50-75, 75-100) Hrs</t>
  </si>
  <si>
    <t>Avg Effort / Change Request (hr)</t>
  </si>
  <si>
    <t>Minor Enhancements/Year
(&gt; than 100 Hrs)</t>
  </si>
  <si>
    <t>Service Request / Month</t>
  </si>
  <si>
    <t>Avg Effort / Service Request</t>
  </si>
  <si>
    <t>Production Support Avg Effort / month
 (Monitoring, Reconciling ect)</t>
  </si>
  <si>
    <t>Adhoc Queries/year
(Not part of the listed services types)</t>
  </si>
  <si>
    <t>Avg Effort / Adhoc Queries</t>
  </si>
  <si>
    <t>In-House FTE</t>
  </si>
  <si>
    <t>GCC</t>
  </si>
  <si>
    <t xml:space="preserve">Vendor % </t>
  </si>
  <si>
    <t>Offshore %</t>
  </si>
  <si>
    <t>Current - L1</t>
  </si>
  <si>
    <t>Current - L2</t>
  </si>
  <si>
    <t>Current - L3</t>
  </si>
  <si>
    <t>Current FTEs</t>
  </si>
  <si>
    <t>Business Function</t>
  </si>
  <si>
    <t>Current Contractor</t>
  </si>
  <si>
    <t>Application Budget</t>
  </si>
  <si>
    <t>FTE Budget</t>
  </si>
  <si>
    <t>GCC Budget</t>
  </si>
  <si>
    <t>Contractor Budget</t>
  </si>
  <si>
    <t>Supplier Budget</t>
  </si>
  <si>
    <t>Change</t>
  </si>
  <si>
    <t>Incident</t>
  </si>
  <si>
    <t>Problem</t>
  </si>
  <si>
    <t>Is this be outsourced?</t>
  </si>
  <si>
    <t>Application Layer</t>
  </si>
  <si>
    <t>IW&amp;IST - Advisory Network</t>
  </si>
  <si>
    <t>APM0003218</t>
  </si>
  <si>
    <t>Adobe Workfront</t>
  </si>
  <si>
    <t>Rikenbhai Patel</t>
  </si>
  <si>
    <t>cloud‑based work and resource management platform used at Canada Life primarily by Marketing, Communications, and Creative teams (it's primarily used as a project management tool)</t>
  </si>
  <si>
    <t>Canada</t>
  </si>
  <si>
    <t>Small</t>
  </si>
  <si>
    <t>Average</t>
  </si>
  <si>
    <t>No data sensitivity</t>
  </si>
  <si>
    <t>No Masked data exist</t>
  </si>
  <si>
    <t>Less critical</t>
  </si>
  <si>
    <t>5 x 8</t>
  </si>
  <si>
    <t>Harvest</t>
  </si>
  <si>
    <t>No</t>
  </si>
  <si>
    <t>Product</t>
  </si>
  <si>
    <t>N/A</t>
  </si>
  <si>
    <t>N/A - vendor app</t>
  </si>
  <si>
    <t>Services</t>
  </si>
  <si>
    <t xml:space="preserve">No Documentation </t>
  </si>
  <si>
    <t>n/a</t>
  </si>
  <si>
    <t>APM0001871</t>
  </si>
  <si>
    <t>Integrated Document Archive and Retrieval System</t>
  </si>
  <si>
    <t>IDARS (Integrated Document Archive and Retrieval System) is an Enterprise scale system for ingesting, indexing, archiving, retrieving and presenting electronic documents of all forms.</t>
  </si>
  <si>
    <t>No Pro-B but PI</t>
  </si>
  <si>
    <t>Sunset</t>
  </si>
  <si>
    <t>Yes</t>
  </si>
  <si>
    <t>Legacy Non-Mainframe</t>
  </si>
  <si>
    <t>DB2</t>
  </si>
  <si>
    <t>SQL</t>
  </si>
  <si>
    <t>BOTH</t>
  </si>
  <si>
    <t>Good documentation</t>
  </si>
  <si>
    <t xml:space="preserve">Q1. In Vendor %, Offshore %, FTE and Contractor are actual numeber? Right now he says N/A </t>
  </si>
  <si>
    <t>APM0003350</t>
  </si>
  <si>
    <t>Lessonly by Seismic</t>
  </si>
  <si>
    <t>decommissioned</t>
  </si>
  <si>
    <t>Q2. On these column could you describe how you come up with the number?</t>
  </si>
  <si>
    <t>APM0003478</t>
  </si>
  <si>
    <t>RepNet ID</t>
  </si>
  <si>
    <t>Canada Life RepNet login selfcare allows users to Single-Sign-On(SSO) to apps such as NBN,FASATWEB &amp; SimpleProtect. Also allows users to self-manage their CL/LL/GWL ISAM Ids.</t>
  </si>
  <si>
    <t>Medium</t>
  </si>
  <si>
    <t>No Data Sensitivity</t>
  </si>
  <si>
    <t>No Masked Data</t>
  </si>
  <si>
    <t>7X24</t>
  </si>
  <si>
    <t>Cloud</t>
  </si>
  <si>
    <t>JAVA</t>
  </si>
  <si>
    <t>Online</t>
  </si>
  <si>
    <t>Well Documentation</t>
  </si>
  <si>
    <t>Q3 you are repeating all these resource?</t>
  </si>
  <si>
    <t>APM0004023</t>
  </si>
  <si>
    <t>Advisor Lens</t>
  </si>
  <si>
    <t>Shane Barker</t>
  </si>
  <si>
    <t>Read‑only visibility into advisor data,</t>
  </si>
  <si>
    <t>Large</t>
  </si>
  <si>
    <t>Protected B data</t>
  </si>
  <si>
    <t>Windows</t>
  </si>
  <si>
    <t xml:space="preserve">WIN </t>
  </si>
  <si>
    <t>ONLINE</t>
  </si>
  <si>
    <t>APM0003028</t>
  </si>
  <si>
    <t>Apexa</t>
  </si>
  <si>
    <t xml:space="preserve">Tracking Anti Money Laundering Audit Transactions </t>
  </si>
  <si>
    <t>Complex</t>
  </si>
  <si>
    <t>APM0001773</t>
  </si>
  <si>
    <t>Book Of Business (BOB)</t>
  </si>
  <si>
    <t>Strategic Compensation online application</t>
  </si>
  <si>
    <t>7 x 24</t>
  </si>
  <si>
    <t>Mainframes</t>
  </si>
  <si>
    <t>Cobol</t>
  </si>
  <si>
    <t>BATCH</t>
  </si>
  <si>
    <t>Fair documentation</t>
  </si>
  <si>
    <t>Q4 In application column you have application such as Movie It, Admin and BYOD but there is no relevant data around that?</t>
  </si>
  <si>
    <t>APM0001796</t>
  </si>
  <si>
    <t>Contract Event</t>
  </si>
  <si>
    <t>Automatically generates month‑end policy value summaries for individual insurance policies.</t>
  </si>
  <si>
    <t>APM0001814</t>
  </si>
  <si>
    <t>FASAT</t>
  </si>
  <si>
    <t>Canada Life's  core advisor compensation and commission processing system.</t>
  </si>
  <si>
    <t>Masked data in DEV</t>
  </si>
  <si>
    <t>Most critical</t>
  </si>
  <si>
    <t>WIN/Linux</t>
  </si>
  <si>
    <t>APM0001815</t>
  </si>
  <si>
    <t>FASATWeb</t>
  </si>
  <si>
    <t xml:space="preserve">Advisor tool to review compensation data </t>
  </si>
  <si>
    <t>Masked data in the lower environments</t>
  </si>
  <si>
    <t>Critical</t>
  </si>
  <si>
    <t>Client Services</t>
  </si>
  <si>
    <t>Batch/Services</t>
  </si>
  <si>
    <t>Good</t>
  </si>
  <si>
    <t>APM0001817</t>
  </si>
  <si>
    <t>Field Licensing Application Program (FLAP)</t>
  </si>
  <si>
    <t>An auditing tool for Canada life -  Goes through completed transactions, and going though QA to make sure transactions are handled appropriately</t>
  </si>
  <si>
    <t>APM0001883</t>
  </si>
  <si>
    <t>License Inquiry</t>
  </si>
  <si>
    <t>View Advisor License information</t>
  </si>
  <si>
    <t>Masked data in LOND</t>
  </si>
  <si>
    <t>Mainframe</t>
  </si>
  <si>
    <t>WIN</t>
  </si>
  <si>
    <t>APM0001954</t>
  </si>
  <si>
    <t>Rep Comp</t>
  </si>
  <si>
    <t>Commission and bonus processing in Batch</t>
  </si>
  <si>
    <t>Mainframe/API/MESH/ETL</t>
  </si>
  <si>
    <t>ZOS</t>
  </si>
  <si>
    <t>Cobol/Javascript</t>
  </si>
  <si>
    <t>APM0001958</t>
  </si>
  <si>
    <t>Sales Earnings</t>
  </si>
  <si>
    <t>Sales Earning provides accumulation of commission and sales feeds for processing in the Legacy Compensation systems</t>
  </si>
  <si>
    <t>VB6/Mainframe</t>
  </si>
  <si>
    <t>VB6</t>
  </si>
  <si>
    <t>Fair</t>
  </si>
  <si>
    <t>APM0001959</t>
  </si>
  <si>
    <t>Sales Event</t>
  </si>
  <si>
    <t>APM0001967</t>
  </si>
  <si>
    <t>Siebel</t>
  </si>
  <si>
    <t>Advisor  book of record  at Canada Life, used to manage advisor relationships, hierarchies, compensation structures, and channel data.</t>
  </si>
  <si>
    <t>Very Large</t>
  </si>
  <si>
    <t>Extremely Complex</t>
  </si>
  <si>
    <t>APM0001972</t>
  </si>
  <si>
    <t>Strategic Compensation</t>
  </si>
  <si>
    <t>The London Life Distribution Compensation "Strategic Comp" System supports calculation of Commissions and Bonus for Life Business for Freedom 55.  - batch</t>
  </si>
  <si>
    <t xml:space="preserve">Complex </t>
  </si>
  <si>
    <t>No masked data</t>
  </si>
  <si>
    <t>C#/.Net</t>
  </si>
  <si>
    <t>Batch</t>
  </si>
  <si>
    <t>IW&amp;IST - Shared</t>
  </si>
  <si>
    <t>APM0002952</t>
  </si>
  <si>
    <t>Accelerated Underwriting</t>
  </si>
  <si>
    <t>Theresa Storozhuk</t>
  </si>
  <si>
    <t>System enhances the traditional insurance underwriting process by boosting Straight Through Processing rates and employing predictive machine learning models to assess the need for lab evidence.</t>
  </si>
  <si>
    <t>Grow</t>
  </si>
  <si>
    <t>Azure/Cloud</t>
  </si>
  <si>
    <t>Databricks</t>
  </si>
  <si>
    <t xml:space="preserve">Python </t>
  </si>
  <si>
    <t>APM0001960</t>
  </si>
  <si>
    <t>Sales Reporting</t>
  </si>
  <si>
    <t>Internal data storage platform used to produce, manage, and distribute ‑performance reports for leaders and business teams across insurance and wealth.  Includes Wealth and Ins Sales and Assets, AN, Compensation, Actuarail, Operations data assets.</t>
  </si>
  <si>
    <t>Very large</t>
  </si>
  <si>
    <t>Extremely complex</t>
  </si>
  <si>
    <t>Unix, Windows</t>
  </si>
  <si>
    <t>MSSQL</t>
  </si>
  <si>
    <t>MSSQL, Abinito</t>
  </si>
  <si>
    <t>APM0001985</t>
  </si>
  <si>
    <t>Wealth Management seg fund data warehouse</t>
  </si>
  <si>
    <t>on‑premise data warehouse that stores, integrates, and is used to report on segregated fund (seg fund) data</t>
  </si>
  <si>
    <t xml:space="preserve">MSSQL, Abinito </t>
  </si>
  <si>
    <t>APM0003185</t>
  </si>
  <si>
    <t>Advisor Digital Toolkit</t>
  </si>
  <si>
    <t>Travis Forrest</t>
  </si>
  <si>
    <t>Tracking Tool for Life Claims - the tool helps Life Claims team track number of tasks they have completed</t>
  </si>
  <si>
    <t>Simple</t>
  </si>
  <si>
    <t>Web App</t>
  </si>
  <si>
    <t>C#, React</t>
  </si>
  <si>
    <t>APM0003090</t>
  </si>
  <si>
    <t>Anti Money Laundering Audit</t>
  </si>
  <si>
    <t>Used to track and report on AML Audits completed on wealth policies</t>
  </si>
  <si>
    <t>APM0004034</t>
  </si>
  <si>
    <t>Automated Month End Values</t>
  </si>
  <si>
    <t>Populate month end values summary for Par and UL policies on Ingenium 5.4 and 7.7</t>
  </si>
  <si>
    <t>None</t>
  </si>
  <si>
    <t>C#</t>
  </si>
  <si>
    <t>APM0003087</t>
  </si>
  <si>
    <t>Canada Life Audit</t>
  </si>
  <si>
    <t>To track and report on Audits performed in Wealth Management and Client Services</t>
  </si>
  <si>
    <t>APM0003988</t>
  </si>
  <si>
    <t>EMR-Task Scheduler</t>
  </si>
  <si>
    <t xml:space="preserve">EUC Monthly Report is a Task Scheduler extract data from EUC Databases and generates report for the business. </t>
  </si>
  <si>
    <t>APM0003089</t>
  </si>
  <si>
    <t>Field Relations Directory</t>
  </si>
  <si>
    <t>Tracks and reports on incidents for Advisors and Reps for the Field Relations group</t>
  </si>
  <si>
    <t>APM0003466</t>
  </si>
  <si>
    <t>Financial Solutions Centre Valuation Tool</t>
  </si>
  <si>
    <t>Tool used to create Advisor Valuation Reports</t>
  </si>
  <si>
    <t>AWS</t>
  </si>
  <si>
    <t>APM0003091</t>
  </si>
  <si>
    <t>High Net Worth - Ongoing Monitoring</t>
  </si>
  <si>
    <t>Handles Ongoing Monitoring of High Net Worth client policies</t>
  </si>
  <si>
    <t>APM0003092</t>
  </si>
  <si>
    <t>Individual Customer Dashboard</t>
  </si>
  <si>
    <t>Launches Documents and EUC applications for a number of IC end users</t>
  </si>
  <si>
    <t>C#, WPF</t>
  </si>
  <si>
    <t>APM0003385</t>
  </si>
  <si>
    <t>Jira Change Log Reporting Database (JCRD)</t>
  </si>
  <si>
    <t>Extract metadata from JIRA boards used by New business to generate statistics on workflow.</t>
  </si>
  <si>
    <t>APM0003356</t>
  </si>
  <si>
    <t>Jira Life &amp; Wealth Admin Triage</t>
  </si>
  <si>
    <t>Retrieves metadata from JIRA tickets for cases triaged by Life &amp; Wealth for reporting and service measurement purposes</t>
  </si>
  <si>
    <t>APM0003096</t>
  </si>
  <si>
    <t>New Business Admin Triage</t>
  </si>
  <si>
    <t>Creates JIRA tickets for New Business Triage of cases</t>
  </si>
  <si>
    <t>windows</t>
  </si>
  <si>
    <t>MSSQL, MS Access</t>
  </si>
  <si>
    <t>C#, React, Access VBA</t>
  </si>
  <si>
    <t>APM0003280</t>
  </si>
  <si>
    <t>Owner Authorizer List</t>
  </si>
  <si>
    <t>The Owner/Authorizer List is used by Security Coordinators to find the Owner and Authorizers for AD Groups, Fileshares, Applications, etc.</t>
  </si>
  <si>
    <t>APM0003095</t>
  </si>
  <si>
    <t>Reinsurance Admin Triage</t>
  </si>
  <si>
    <t>Creates JIRA tickets for Reinsurance triage of cases</t>
  </si>
  <si>
    <t>APM0003094</t>
  </si>
  <si>
    <t>Service Measurement Tool</t>
  </si>
  <si>
    <t>C#, ASP.NET</t>
  </si>
  <si>
    <t>APM0003093</t>
  </si>
  <si>
    <t>Special Remittance Program</t>
  </si>
  <si>
    <t>Tracks and sends payment information to the mainframe about customers who are on Special Remittance</t>
  </si>
  <si>
    <t>APM0003099</t>
  </si>
  <si>
    <t>Transfer Database</t>
  </si>
  <si>
    <t>Access database to store Transfer information from IRIS</t>
  </si>
  <si>
    <t>MS Access</t>
  </si>
  <si>
    <t>APM0001977</t>
  </si>
  <si>
    <t>Uber Audit</t>
  </si>
  <si>
    <t>Used to track and report on QA processor audit results for New Buiness</t>
  </si>
  <si>
    <t>C#, Bootstrap</t>
  </si>
  <si>
    <t>Both</t>
  </si>
  <si>
    <t>APM0003581</t>
  </si>
  <si>
    <t>UL Fund Optimization Tool</t>
  </si>
  <si>
    <t>Tool to retrieve UL VIO Rates from Multifonds and list each fund/index used by UL VIOs as a single security, and generate the daily total returns for each.</t>
  </si>
  <si>
    <t>AWS RDS</t>
  </si>
  <si>
    <t>APM0003098</t>
  </si>
  <si>
    <t>Wealth Management Death Claims Tool</t>
  </si>
  <si>
    <t>Tracks Death Claims for Wealth Management</t>
  </si>
  <si>
    <t>Fari documentation</t>
  </si>
  <si>
    <t>APM0001760</t>
  </si>
  <si>
    <t>Address Update</t>
  </si>
  <si>
    <t>Zain Khan</t>
  </si>
  <si>
    <t xml:space="preserve">Internal Canada Life app to maintain address related information.  </t>
  </si>
  <si>
    <t>APM0001776</t>
  </si>
  <si>
    <t>Business to Business</t>
  </si>
  <si>
    <t>Delivers insurance data from Canada Life systems to external partners</t>
  </si>
  <si>
    <t>Linux/WIN</t>
  </si>
  <si>
    <t>APM0001785</t>
  </si>
  <si>
    <t>Client Information System</t>
  </si>
  <si>
    <t>core enterprise system that stores and manages client information across insurance and wealth.</t>
  </si>
  <si>
    <t>COBOL</t>
  </si>
  <si>
    <t>APM0001787</t>
  </si>
  <si>
    <t>Client Replication</t>
  </si>
  <si>
    <t>Core enterprise system that stores and manages client information across insurance and wealth.</t>
  </si>
  <si>
    <t>APM0001790</t>
  </si>
  <si>
    <t>Common Client</t>
  </si>
  <si>
    <t>Internal Canada Life backend application/component that provides centralized client search and retrieval of client data for multiple internal front‑end applications.</t>
  </si>
  <si>
    <t>APM0001797</t>
  </si>
  <si>
    <t>Copilot</t>
  </si>
  <si>
    <t>Internal Canada Life application to view client policy summary and to maintain client information</t>
  </si>
  <si>
    <t>APM0003907</t>
  </si>
  <si>
    <t>Copilot Access Reports</t>
  </si>
  <si>
    <t>Server based batch job to send late login reports to managers</t>
  </si>
  <si>
    <t>APM0001973</t>
  </si>
  <si>
    <t>Sumtotal Learning Management System</t>
  </si>
  <si>
    <t xml:space="preserve">Third‑party learning platform used at Canada Life to deliver, manage, and track training for advisors and internal users
 </t>
  </si>
  <si>
    <t>MoveIt</t>
  </si>
  <si>
    <t>Admin</t>
  </si>
  <si>
    <t>BYOD</t>
  </si>
  <si>
    <t>Note</t>
  </si>
  <si>
    <t xml:space="preserve">Key Fields are Marked with (*) </t>
  </si>
  <si>
    <t>Date fields preferably with time stamps</t>
  </si>
  <si>
    <t>Include any important additional fields if any</t>
  </si>
  <si>
    <t>Incident ID*</t>
  </si>
  <si>
    <t>Summary*</t>
  </si>
  <si>
    <t>Created By *</t>
  </si>
  <si>
    <t>Assigned Group / Application Group</t>
  </si>
  <si>
    <t>Sub Group</t>
  </si>
  <si>
    <t>Application Name *</t>
  </si>
  <si>
    <t>Assignee *</t>
  </si>
  <si>
    <t>Submit Date *</t>
  </si>
  <si>
    <t>Severity *</t>
  </si>
  <si>
    <t>Impact</t>
  </si>
  <si>
    <t>Urgency</t>
  </si>
  <si>
    <t>Priority</t>
  </si>
  <si>
    <t>Status*</t>
  </si>
  <si>
    <t>Resolution Date*</t>
  </si>
  <si>
    <t>Resolution Effort *</t>
  </si>
  <si>
    <t>Resolution Type *</t>
  </si>
  <si>
    <t>Problem ID*+</t>
  </si>
  <si>
    <t>Created By*</t>
  </si>
  <si>
    <t>Assignee*</t>
  </si>
  <si>
    <t>Effort</t>
  </si>
  <si>
    <t>CR ID*</t>
  </si>
  <si>
    <t>CR Category *</t>
  </si>
  <si>
    <t>Change Type *</t>
  </si>
  <si>
    <t>Deployed Date*</t>
  </si>
  <si>
    <t>Effort Spent*</t>
  </si>
  <si>
    <t>SR ID*</t>
  </si>
  <si>
    <t>Application Name*</t>
  </si>
  <si>
    <t>Submit Date*</t>
  </si>
  <si>
    <t>Resolution Effort*</t>
  </si>
  <si>
    <t>Resolution Type*</t>
  </si>
  <si>
    <t>FTE Details</t>
  </si>
  <si>
    <t>Resource Name</t>
  </si>
  <si>
    <t>L1/L2/L3 Team</t>
  </si>
  <si>
    <t>Primary Skillset</t>
  </si>
  <si>
    <t>Role</t>
  </si>
  <si>
    <t>Primary Activities</t>
  </si>
  <si>
    <t>Secondary Activities</t>
  </si>
  <si>
    <t>Team Member</t>
  </si>
  <si>
    <t>Work Type
(e.g. Production Support, Enhancements , Common, etc.)</t>
  </si>
  <si>
    <t>Type 
(e.g. CPI, KPI, GPI)</t>
  </si>
  <si>
    <t>Performance Indicator Name</t>
  </si>
  <si>
    <t>Description</t>
  </si>
  <si>
    <t>Calculation (The Formula and description)</t>
  </si>
  <si>
    <t>Measurement 
Period (Monthly, Quarterly, Half-yearly etc.)</t>
  </si>
  <si>
    <t>Service Level Target (%)</t>
  </si>
  <si>
    <t>Measurement 
Method
 and Tools</t>
  </si>
  <si>
    <t>Additional notes</t>
  </si>
  <si>
    <t>S.No</t>
  </si>
  <si>
    <t>Question</t>
  </si>
  <si>
    <t>Response</t>
  </si>
  <si>
    <t>What level of automation currently exists in your application support processes?</t>
  </si>
  <si>
    <t>Which AI agents or agentic AI solutions are currently deployed for incident detection, resolution, or user interaction?</t>
  </si>
  <si>
    <t>What is the ITSM tool being used? Are we capturing all the work items in the ITSM tool? What %age of work is outside of ITSM Tool?</t>
  </si>
  <si>
    <t>How do your AI agents integrate with existing ITSM, monitoring, and workflow systems?</t>
  </si>
  <si>
    <t>How do you measure the effectiveness, learning capability, and governance of your AI agents?</t>
  </si>
  <si>
    <t xml:space="preserve">Mention the tools used in the following functionalities: </t>
  </si>
  <si>
    <t>a. Application Monitoring (Real, Synthetic)</t>
  </si>
  <si>
    <t>b. Unified Reporting or Dashboard</t>
  </si>
  <si>
    <t xml:space="preserve">c. Event Management </t>
  </si>
  <si>
    <t>d. Workload Automation (provide the number of jobs)</t>
  </si>
  <si>
    <t>e. Knowledge Management</t>
  </si>
  <si>
    <t>f. ITSM Tool</t>
  </si>
  <si>
    <t>g. RPA</t>
  </si>
  <si>
    <t>h. AIOPS</t>
  </si>
  <si>
    <t>S#</t>
  </si>
  <si>
    <t xml:space="preserve">What is the process for managing major incidents in our IT environment?
</t>
  </si>
  <si>
    <t>How are opportunities for continuous improvement in our application support identified, prioritized, and what improvement methods have been implemented?</t>
  </si>
  <si>
    <t>How is knowledge management handled in our application support process?</t>
  </si>
  <si>
    <t>How do we perform regular health checks on our applications and systems?</t>
  </si>
  <si>
    <t>What manual monitoring activities are currently in place for our services?</t>
  </si>
  <si>
    <t>Can you please share the current performance for all the metrics that is being tracked under Application Support services for last 12 months</t>
  </si>
  <si>
    <t>What percentage of our overall work involves activities that are not tracked through tickets, and what types of tasks are included in these non-ticketed activities?</t>
  </si>
  <si>
    <t>Are there any Major in-flight engagements/projects / Programs in applications listed in-scope. If yes, Please share details of the engagements, timelines and production cut over dates</t>
  </si>
  <si>
    <t>On a scale of 1 to 5, what is the adherence level of ITIL or service management processes across the applications in-scope (5 being mature). Is the work intake fully part of ITSM tools?</t>
  </si>
  <si>
    <t xml:space="preserve">What are the top 5 Opportunities / Challenges existing in current environment </t>
  </si>
  <si>
    <t>Is there a real-time dashboard available to monitor SLAs and performance metrics for application support?</t>
  </si>
  <si>
    <t>Inputs Needed / Input Category</t>
  </si>
  <si>
    <t>Are there a shared team to respond to incidents or resources dedicated to applications perform incident resolution n along with other activities?</t>
  </si>
  <si>
    <t>Are the current team cross-utilized across L2, L3, enhancements and development work? If so, what is the level of cross-training required?</t>
  </si>
  <si>
    <t>How is the assignment of work done?</t>
  </si>
  <si>
    <t>How are the enhancements currently being managed from forecasting and prioritization perspective</t>
  </si>
  <si>
    <t>Do developers  support common technologies across applications?</t>
  </si>
  <si>
    <t>Are application support enhancements and defect fixes managed using agile or waterfall methodology?</t>
  </si>
  <si>
    <t>For the applications in scope, can you provide a breakdown of the current support team by location, showing how many are full-time employees and how many are contractors?</t>
  </si>
  <si>
    <t>What is the coverage required for in-scope applications (Weekday and Weekend Hours coverage)?</t>
  </si>
  <si>
    <t>Could you clarify the language requirements for support? Should we assume that all support will be provided in English?</t>
  </si>
  <si>
    <t>Data sensitivity (Protected-B/ GRS-Contract/PII)</t>
  </si>
  <si>
    <t xml:space="preserve">Average  Incidents Effort </t>
  </si>
  <si>
    <t>Avg Effort / Defect or Problem</t>
  </si>
  <si>
    <t>Avg Effort / Change Request</t>
  </si>
  <si>
    <t>Group Life and Health - Admin &amp; Pricing</t>
  </si>
  <si>
    <t>APM0002205</t>
  </si>
  <si>
    <t>Application Data Store</t>
  </si>
  <si>
    <t>Unix (AIX)</t>
  </si>
  <si>
    <t>Ab Initio</t>
  </si>
  <si>
    <t>APM0002186</t>
  </si>
  <si>
    <t>Enrollment Administration System</t>
  </si>
  <si>
    <t>Java</t>
  </si>
  <si>
    <t>Group Life and Health - Claims</t>
  </si>
  <si>
    <t>APM0002166</t>
  </si>
  <si>
    <t>Benefits</t>
  </si>
  <si>
    <t>high</t>
  </si>
  <si>
    <t>Prob</t>
  </si>
  <si>
    <t>Y</t>
  </si>
  <si>
    <t>DB2/BDAM</t>
  </si>
  <si>
    <t>COBOL / Assembler</t>
  </si>
  <si>
    <t>Batch/Online</t>
  </si>
  <si>
    <t>Good Documentation</t>
  </si>
  <si>
    <t>APM0002164</t>
  </si>
  <si>
    <t>Automation</t>
  </si>
  <si>
    <t>y</t>
  </si>
  <si>
    <t>APM0002176</t>
  </si>
  <si>
    <t>Data Entry Benefits System</t>
  </si>
  <si>
    <t>PII / ProB</t>
  </si>
  <si>
    <t>Less Critical</t>
  </si>
  <si>
    <t>7x24</t>
  </si>
  <si>
    <t>Group Pension/GRS</t>
  </si>
  <si>
    <t>APM0002268</t>
  </si>
  <si>
    <t>Group Pension Administration System</t>
  </si>
  <si>
    <t>User interface to GRS primary investment record keeping system for maintaining client and investment information.</t>
  </si>
  <si>
    <t>XL</t>
  </si>
  <si>
    <t>ProB</t>
  </si>
  <si>
    <t>critical</t>
  </si>
  <si>
    <t>replace</t>
  </si>
  <si>
    <t>Panther</t>
  </si>
  <si>
    <t>Oracle</t>
  </si>
  <si>
    <t>batch</t>
  </si>
  <si>
    <t>APM0002162</t>
  </si>
  <si>
    <t>Automated Contracts Environment</t>
  </si>
  <si>
    <t>5 x 16</t>
  </si>
  <si>
    <t>APM0002211</t>
  </si>
  <si>
    <t>Head office Billing System</t>
  </si>
  <si>
    <t>z/OS</t>
  </si>
  <si>
    <t>APM0002204</t>
  </si>
  <si>
    <t>GroupNet for Plan Administration</t>
  </si>
  <si>
    <t>7 x 16</t>
  </si>
  <si>
    <t>Java, VB, ASP (not .Net)</t>
  </si>
  <si>
    <t>APM0002179</t>
  </si>
  <si>
    <t>Disability Claims Tracking</t>
  </si>
  <si>
    <t>PCI/ PHI/ PII</t>
  </si>
  <si>
    <t>Creditor/IHS/PB</t>
  </si>
  <si>
    <t>GRS</t>
  </si>
  <si>
    <t>Disability</t>
  </si>
  <si>
    <t>Feds</t>
  </si>
  <si>
    <t>Plan Admin</t>
  </si>
  <si>
    <t>Admin/Pricing</t>
  </si>
  <si>
    <t>Claims</t>
  </si>
  <si>
    <t>APM0002330</t>
  </si>
  <si>
    <t>Evolve (CL)</t>
  </si>
  <si>
    <t>Homegrown, complex because of the foundation's limitations (Filenet)</t>
  </si>
  <si>
    <t>SaaS</t>
  </si>
  <si>
    <t>Filenet/CP4BA</t>
  </si>
  <si>
    <t>APM0003884</t>
  </si>
  <si>
    <t>DEVP Kaifka Event Listener</t>
  </si>
  <si>
    <t>DC cluster</t>
  </si>
  <si>
    <t>Not critical</t>
  </si>
  <si>
    <t>APM0002818</t>
  </si>
  <si>
    <t>ADONIS Process Portal</t>
  </si>
  <si>
    <t>APM0002790</t>
  </si>
  <si>
    <t>GLH Customer Event Subscriber</t>
  </si>
  <si>
    <t>Homegrown</t>
  </si>
  <si>
    <t>AWS Containerized app</t>
  </si>
  <si>
    <t>APM0002819</t>
  </si>
  <si>
    <t>ADONIS Business Process Management Toolkit</t>
  </si>
  <si>
    <t>3rd party app</t>
  </si>
  <si>
    <t>Windows Desktop</t>
  </si>
  <si>
    <t>APM0003528</t>
  </si>
  <si>
    <t>Supplemental Record Entry Application</t>
  </si>
  <si>
    <t>.Net, React</t>
  </si>
  <si>
    <t>APM0003416</t>
  </si>
  <si>
    <t>Consult+(Dialogue)</t>
  </si>
  <si>
    <t>APM0003526</t>
  </si>
  <si>
    <t>Enrollment eServices</t>
  </si>
  <si>
    <t>APM0003527</t>
  </si>
  <si>
    <t>DEVP Event Publisher</t>
  </si>
  <si>
    <t>Closed Block</t>
  </si>
  <si>
    <t>APM0002184</t>
  </si>
  <si>
    <t>EAS-BEN Download</t>
  </si>
  <si>
    <t>Unix (AIX) / WAS</t>
  </si>
  <si>
    <t>APM0002190</t>
  </si>
  <si>
    <t>eSetup</t>
  </si>
  <si>
    <t>APM0002196</t>
  </si>
  <si>
    <t>GC SQL Server</t>
  </si>
  <si>
    <t>MS SQL</t>
  </si>
  <si>
    <t>APM0002208</t>
  </si>
  <si>
    <t>Group Online Flex</t>
  </si>
  <si>
    <t>APM0002742</t>
  </si>
  <si>
    <t>eVolve Outlook Plugin</t>
  </si>
  <si>
    <t>APM0002226</t>
  </si>
  <si>
    <t>Pay Direct Drug Download</t>
  </si>
  <si>
    <t>APM0002228</t>
  </si>
  <si>
    <t>Policy Administration System (Group Customer)</t>
  </si>
  <si>
    <t>PL/1</t>
  </si>
  <si>
    <t>APM0003179</t>
  </si>
  <si>
    <t>Database Health Monitor</t>
  </si>
  <si>
    <t>APM0003624</t>
  </si>
  <si>
    <t>GnPM - Group Class Send SMS</t>
  </si>
  <si>
    <t>APM0002215</t>
  </si>
  <si>
    <t>Legacy Integration</t>
  </si>
  <si>
    <t>APM0003061</t>
  </si>
  <si>
    <t xml:space="preserve">GLH Enrollment ETL </t>
  </si>
  <si>
    <t>APM0003512</t>
  </si>
  <si>
    <t>Provider eClaims</t>
  </si>
  <si>
    <t>Legacy</t>
  </si>
  <si>
    <t>APM0003513</t>
  </si>
  <si>
    <t>Dental Point of Sale</t>
  </si>
  <si>
    <t>medium</t>
  </si>
  <si>
    <t>APM0003511</t>
  </si>
  <si>
    <t>Member eClaims</t>
  </si>
  <si>
    <t>DB3</t>
  </si>
  <si>
    <t>APM0003535</t>
  </si>
  <si>
    <t>Claims Inquiry and Update</t>
  </si>
  <si>
    <t>low</t>
  </si>
  <si>
    <t>Fair Documentation</t>
  </si>
  <si>
    <t>APM0003767</t>
  </si>
  <si>
    <t>Message Management Console</t>
  </si>
  <si>
    <t>Not Critical</t>
  </si>
  <si>
    <t>APM0002831</t>
  </si>
  <si>
    <t>Telus Payer Portal</t>
  </si>
  <si>
    <t>n</t>
  </si>
  <si>
    <t>APM0003858</t>
  </si>
  <si>
    <t>HD Claims Outlook AddIn</t>
  </si>
  <si>
    <t>Desktop</t>
  </si>
  <si>
    <t>APM0002168</t>
  </si>
  <si>
    <t>Claims Fraud</t>
  </si>
  <si>
    <t>APM0003931</t>
  </si>
  <si>
    <t>H&amp;D Maintenance Console</t>
  </si>
  <si>
    <t>5x8</t>
  </si>
  <si>
    <t>APM0002832</t>
  </si>
  <si>
    <t>CAIL</t>
  </si>
  <si>
    <t>COTS</t>
  </si>
  <si>
    <t>APM0002250</t>
  </si>
  <si>
    <t>Data Entry Workflow</t>
  </si>
  <si>
    <t>ProB / PII</t>
  </si>
  <si>
    <t>FileNET</t>
  </si>
  <si>
    <t>APM0002169</t>
  </si>
  <si>
    <t>Claims Splitter</t>
  </si>
  <si>
    <t>APM0002170</t>
  </si>
  <si>
    <t>Claims Workflow</t>
  </si>
  <si>
    <t>APM0002182</t>
  </si>
  <si>
    <t>Drug Claims and Client Reporting</t>
  </si>
  <si>
    <t>APM0002183</t>
  </si>
  <si>
    <t>Drug Inventory</t>
  </si>
  <si>
    <t>PII</t>
  </si>
  <si>
    <t>APM0003758</t>
  </si>
  <si>
    <t>Assist/TS</t>
  </si>
  <si>
    <t>APM0003815</t>
  </si>
  <si>
    <t>NDAS Pricing Program</t>
  </si>
  <si>
    <t>APM0002197</t>
  </si>
  <si>
    <t>GH10 - Group/AAI Information Exchange</t>
  </si>
  <si>
    <t>PHI / PII / ProB</t>
  </si>
  <si>
    <t>APM0002200</t>
  </si>
  <si>
    <t>Group Provider Explanation of Benefits Delivery</t>
  </si>
  <si>
    <t>APM0002202</t>
  </si>
  <si>
    <t>Group Health and Dental Med Review</t>
  </si>
  <si>
    <t>APM0003786</t>
  </si>
  <si>
    <t>EngageOne - Workplace Solutions</t>
  </si>
  <si>
    <t>APM0003020</t>
  </si>
  <si>
    <t>SAS Detection and Investigation for insurance</t>
  </si>
  <si>
    <t>N</t>
  </si>
  <si>
    <t>APM0002222</t>
  </si>
  <si>
    <t>Office Performance Tracking Information Manager</t>
  </si>
  <si>
    <t>APM0002225</t>
  </si>
  <si>
    <t>NoteIt</t>
  </si>
  <si>
    <t>APM0003875</t>
  </si>
  <si>
    <t>Quad Connection Service Evolve</t>
  </si>
  <si>
    <t>APM0003751</t>
  </si>
  <si>
    <t>Provider Connect</t>
  </si>
  <si>
    <t>APM0003876</t>
  </si>
  <si>
    <t>GLH Disposition Claims</t>
  </si>
  <si>
    <t>PHI / PII</t>
  </si>
  <si>
    <t>APM0002210</t>
  </si>
  <si>
    <t>HD Claims eStorage</t>
  </si>
  <si>
    <t>APM0002212</t>
  </si>
  <si>
    <t>Health Care Spending Account</t>
  </si>
  <si>
    <t>APM0002213</t>
  </si>
  <si>
    <t>Health Solutions Plus</t>
  </si>
  <si>
    <t>APM0003848</t>
  </si>
  <si>
    <t>Claims Workflow - PCOMM Java Applet</t>
  </si>
  <si>
    <t>APM0002826</t>
  </si>
  <si>
    <t>BEN Capsule Reporting</t>
  </si>
  <si>
    <t>Group Shared Technical Services</t>
  </si>
  <si>
    <t>APM0002839</t>
  </si>
  <si>
    <t>Enrolment Letter Generator</t>
  </si>
  <si>
    <t>Group Creditor</t>
  </si>
  <si>
    <t>APM0003828</t>
  </si>
  <si>
    <t>Creditor Controls Service Layer</t>
  </si>
  <si>
    <t>No outages, not much changes.</t>
  </si>
  <si>
    <t>Windows 2022</t>
  </si>
  <si>
    <t>Oracle ExaData</t>
  </si>
  <si>
    <t>.Net 5, C#</t>
  </si>
  <si>
    <t>APM0003597</t>
  </si>
  <si>
    <t>Creditor DevExpress Reporting Server</t>
  </si>
  <si>
    <t>Any outages, changes?</t>
  </si>
  <si>
    <t>MS SQL Server 2016</t>
  </si>
  <si>
    <t>SQL, Stores Procedures</t>
  </si>
  <si>
    <t>APM0003827</t>
  </si>
  <si>
    <t>Creditor Insurance Service System Services</t>
  </si>
  <si>
    <t>.Net Framework 4.8, C#</t>
  </si>
  <si>
    <t>APM0003825</t>
  </si>
  <si>
    <t>Credit Card Administration and Payment System Services</t>
  </si>
  <si>
    <t>APM0002100</t>
  </si>
  <si>
    <t>Creditor Insurance Premium Accounting System (CIPAS)</t>
  </si>
  <si>
    <t>APM0002098</t>
  </si>
  <si>
    <t>Credit Card Administration and Payment System (CCAPS)</t>
  </si>
  <si>
    <t>APM0002101</t>
  </si>
  <si>
    <t>Creditor Insurance Service System (CISS)</t>
  </si>
  <si>
    <t>APM0003826</t>
  </si>
  <si>
    <t>Creditor Insurance Premium Accounting System (CIPAS) Services</t>
  </si>
  <si>
    <t>APM0002103</t>
  </si>
  <si>
    <t>Portable Benefits Quoter</t>
  </si>
  <si>
    <t>APM0003829</t>
  </si>
  <si>
    <t>CISE services</t>
  </si>
  <si>
    <t>APM0002104</t>
  </si>
  <si>
    <t>Creditor Direct Marketing Portal</t>
  </si>
  <si>
    <t>APM0003037</t>
  </si>
  <si>
    <t>Creditor Insurance Self Enrollment (CISE)</t>
  </si>
  <si>
    <t>APM0003038</t>
  </si>
  <si>
    <t>Creditor Partner Portal</t>
  </si>
  <si>
    <t>APM0003039</t>
  </si>
  <si>
    <t>Automailer</t>
  </si>
  <si>
    <t>APM0003831</t>
  </si>
  <si>
    <t>GC Foundation Services</t>
  </si>
  <si>
    <t>APM0002102</t>
  </si>
  <si>
    <t>Creditor Underwriting Workfolder Application Facility</t>
  </si>
  <si>
    <t>AS/400</t>
  </si>
  <si>
    <t>DB2/400</t>
  </si>
  <si>
    <t>RPG, COBOL</t>
  </si>
  <si>
    <t>APM0002097</t>
  </si>
  <si>
    <t>ARCGMU</t>
  </si>
  <si>
    <t>.Net Framework 4.8, ASP.Net</t>
  </si>
  <si>
    <t>APM0002099</t>
  </si>
  <si>
    <t>Credit Card Insurance System</t>
  </si>
  <si>
    <t>APM0003830</t>
  </si>
  <si>
    <t>Portable Benefits Quoter Services</t>
  </si>
  <si>
    <t>APM0003832</t>
  </si>
  <si>
    <t>GCDM Services</t>
  </si>
  <si>
    <t>APM0002110</t>
  </si>
  <si>
    <t>IHS Travel Insurance Administration</t>
  </si>
  <si>
    <t>SQL Server 2019</t>
  </si>
  <si>
    <t>Visual FoxPro 9</t>
  </si>
  <si>
    <t>APM0002111</t>
  </si>
  <si>
    <t>IHS web tracker</t>
  </si>
  <si>
    <t>Linux</t>
  </si>
  <si>
    <t>UBuntu 24.04LTS</t>
  </si>
  <si>
    <t>MySQL</t>
  </si>
  <si>
    <t>PHP, Yii Framework</t>
  </si>
  <si>
    <t>APM0002105</t>
  </si>
  <si>
    <t>IHS e-Benefit</t>
  </si>
  <si>
    <t>No outages, not much changes</t>
  </si>
  <si>
    <t>No Masked Data Exist</t>
  </si>
  <si>
    <t>Ubuntu 24.04LTS</t>
  </si>
  <si>
    <t>PHP, Yii framework</t>
  </si>
  <si>
    <t>APM0002106</t>
  </si>
  <si>
    <t>IHS internal web tools</t>
  </si>
  <si>
    <t>APM0002107</t>
  </si>
  <si>
    <t>IHS MyInsurancePlan</t>
  </si>
  <si>
    <t>Most Critical</t>
  </si>
  <si>
    <t>APM0002108</t>
  </si>
  <si>
    <t>IHS PlanDirect Administration</t>
  </si>
  <si>
    <t>APM0004061</t>
  </si>
  <si>
    <t>Group Retirement Services Online Enrolment Subscriber</t>
  </si>
  <si>
    <t>IN DEVELOPMENT.  GRS Online Enrolment Subscriber subscribes to Application events for enrolling in Group Retirement Services.</t>
  </si>
  <si>
    <t>S</t>
  </si>
  <si>
    <t>target</t>
  </si>
  <si>
    <t>Spring</t>
  </si>
  <si>
    <t>service</t>
  </si>
  <si>
    <t>APM0002266</t>
  </si>
  <si>
    <t>GPAS Batch</t>
  </si>
  <si>
    <t>GRS primary investment record keeping system for providing back office support for RRSPs, DPSPs, RP's, I/O, and Unitized Stock plans</t>
  </si>
  <si>
    <t>retain</t>
  </si>
  <si>
    <t>Linux, Windows</t>
  </si>
  <si>
    <t>PL/SQL, ProC</t>
  </si>
  <si>
    <t>APM0002309</t>
  </si>
  <si>
    <t>Group Pension Special Products</t>
  </si>
  <si>
    <t>Inactive book-of-business with Group Pension products forind members of Pension plans or RRSP's.  Products Supported: Group RRSP, DPSP and RPP's.</t>
  </si>
  <si>
    <t>L</t>
  </si>
  <si>
    <t>retire</t>
  </si>
  <si>
    <t>mainframe</t>
  </si>
  <si>
    <t>Db2</t>
  </si>
  <si>
    <t>APM0002310</t>
  </si>
  <si>
    <t>Pension Client Online System</t>
  </si>
  <si>
    <t>Online front-end system to GP53 Group Pension Admin Mbr System(Decommitted in 2011) that maintains client data</t>
  </si>
  <si>
    <t>M</t>
  </si>
  <si>
    <t>CA Telon</t>
  </si>
  <si>
    <t>APM0002279</t>
  </si>
  <si>
    <t>Oracle Security Management</t>
  </si>
  <si>
    <t>Provides change password capability as well as Oracle user account administration functionality to GPAS Oracle database. Accessible internally and access is controlled using Active Directory security access pattern.</t>
  </si>
  <si>
    <t>Confidential</t>
  </si>
  <si>
    <t>rationalize</t>
  </si>
  <si>
    <t>.Net</t>
  </si>
  <si>
    <t>online</t>
  </si>
  <si>
    <t>APM0002307</t>
  </si>
  <si>
    <t>Group Pension Administration</t>
  </si>
  <si>
    <t>GP50 is the central Group Pension system for Group Pension products.  It serves Group RIS system providing info to SAP.  No active GRS business, some transactions associated with the product called Assuris Stacking is administered out of London</t>
  </si>
  <si>
    <t>Db2, IMS</t>
  </si>
  <si>
    <t>GWL DataSet Control Facility</t>
  </si>
  <si>
    <t>APM0002308</t>
  </si>
  <si>
    <t>Group Pension Fund Reporting</t>
  </si>
  <si>
    <t>Group Pension Fund Reporting System is the unallocated segregated and guaranteed fund reporting system used to track the company's liability in regard to guaranteed funds and the policy holder's assets in regard to segregated funds.</t>
  </si>
  <si>
    <t>mainframe, .Net</t>
  </si>
  <si>
    <t>z/OS, Windows</t>
  </si>
  <si>
    <t>Db2, SQL</t>
  </si>
  <si>
    <t>CA Telon, CA Vision</t>
  </si>
  <si>
    <t>APM0003565</t>
  </si>
  <si>
    <t>Group Pension Administration System 2.0</t>
  </si>
  <si>
    <t>IN DEVELOPMENT. GPAS 2.0 includes many different pieces as part of the technology stack, including: - web hosted micro UIs and microservices; - on-prem hosted legacy services</t>
  </si>
  <si>
    <t>APM0003787</t>
  </si>
  <si>
    <t>GRS Intake Exception Handling MicroUI</t>
  </si>
  <si>
    <t>IN DEVELOPMENT.  GRS Intake Exception Handling MicroUI will be used to update missing or incorrect data on a request and ensure synchronization with other systems of record. (MADS, GPAS)</t>
  </si>
  <si>
    <t>APM0002276</t>
  </si>
  <si>
    <t>GRS Access - Legacy</t>
  </si>
  <si>
    <t>Provides GPAS access to client and member information to Members, Plan Sponsors, Brokers, Advisors, Distribution and Admin Staff</t>
  </si>
  <si>
    <t>MongoDB, Oracle, SQL</t>
  </si>
  <si>
    <t>APM0002271</t>
  </si>
  <si>
    <t>Group Retirement Services InfoSite</t>
  </si>
  <si>
    <t>Customized websites containing client-specific information hosted via CMS, includes Public Pages for GRSAccess Legacy</t>
  </si>
  <si>
    <t>Public</t>
  </si>
  <si>
    <t>APM0002274</t>
  </si>
  <si>
    <t>Group Retirement Services Services</t>
  </si>
  <si>
    <t>Application provides GRS data through Restful services</t>
  </si>
  <si>
    <t>Oracle, SQL</t>
  </si>
  <si>
    <t>APM0002282</t>
  </si>
  <si>
    <t>Group Retirement Services Investment Vehicle Service</t>
  </si>
  <si>
    <t>REST service for Investment Vehicle Domain functions.</t>
  </si>
  <si>
    <t>APM0002285</t>
  </si>
  <si>
    <t>Group Retirement Services Plan Detail Service</t>
  </si>
  <si>
    <t>REST service for Plan Detail Domain functions.</t>
  </si>
  <si>
    <t>APM0002283</t>
  </si>
  <si>
    <t>Group Retirement Services Member Plan Service</t>
  </si>
  <si>
    <t>REST service for Member Plan Domain functions.</t>
  </si>
  <si>
    <t>APM0002284</t>
  </si>
  <si>
    <t>Group Retirement Services Member Service</t>
  </si>
  <si>
    <t>REST service for Member Domain functions.</t>
  </si>
  <si>
    <t>APM0002287</t>
  </si>
  <si>
    <t>Group Retirement Services Security Service</t>
  </si>
  <si>
    <t>REST service for Security Domain functions.</t>
  </si>
  <si>
    <t>APM0002286</t>
  </si>
  <si>
    <t>Group Retirement Services Plan Sponsor Service</t>
  </si>
  <si>
    <t>REST service for Plan Sponsor Domain functions.</t>
  </si>
  <si>
    <t>APM0003009</t>
  </si>
  <si>
    <t>Group Retirement Services Oracle AQ Service</t>
  </si>
  <si>
    <t>Console app for eventing GPAS to MDM</t>
  </si>
  <si>
    <t>APM0002288</t>
  </si>
  <si>
    <t>Group Retirement Services Support Service</t>
  </si>
  <si>
    <t>REST service for Support Domain functions.</t>
  </si>
  <si>
    <t>APM0002834</t>
  </si>
  <si>
    <t>NextStep Desktop</t>
  </si>
  <si>
    <t>FileNet-based application with an exposed service using FileNet APIs. Used to store Disclosure documents generated at time of Member employment termination. Documents are added from a batch application through the exposed FileNet service.</t>
  </si>
  <si>
    <t>FileNet</t>
  </si>
  <si>
    <t>Db2, Derby</t>
  </si>
  <si>
    <t>APM0002994</t>
  </si>
  <si>
    <t>Group Retirement Services Small Annuity Calculation Service</t>
  </si>
  <si>
    <t>REST service for Small Annuity Calculation Sevice used in Disclosure package processing.</t>
  </si>
  <si>
    <t>APM0003783</t>
  </si>
  <si>
    <t>Group Customer Client Guest Access</t>
  </si>
  <si>
    <t>Provides GPAS Sponsors the ability to support their members during the onboarding process</t>
  </si>
  <si>
    <t>APM0001480</t>
  </si>
  <si>
    <t>Member Termination Processor</t>
  </si>
  <si>
    <t>Batch application that processes GPAS Member Terminations. Functions include: emailing reports to CSS, exchanging data with EUC application, and emailing members.</t>
  </si>
  <si>
    <t>APM0003366</t>
  </si>
  <si>
    <t xml:space="preserve">Group Customer Client File Transfer </t>
  </si>
  <si>
    <t>Automated file transfer tasks between GRS and their Sponsors</t>
  </si>
  <si>
    <t>MOVEit</t>
  </si>
  <si>
    <t>APM0002260</t>
  </si>
  <si>
    <t>Accounting Deposit Suspense Reconciliation</t>
  </si>
  <si>
    <t>GRS Accounting Reconciliation</t>
  </si>
  <si>
    <t>APM0002261</t>
  </si>
  <si>
    <t>Annuity Admin System</t>
  </si>
  <si>
    <t>LL Pension System administers small book of business comprised of an Online component for the administration of client, plan member information and a batch component.</t>
  </si>
  <si>
    <t>IMS</t>
  </si>
  <si>
    <t>Pcomm</t>
  </si>
  <si>
    <t>APM0003398</t>
  </si>
  <si>
    <t>Grant Error Tracking Application</t>
  </si>
  <si>
    <t>Business Application for error tracking of grants</t>
  </si>
  <si>
    <t>APM0003788</t>
  </si>
  <si>
    <t>GRS Transaction Exception Handling MicroUI</t>
  </si>
  <si>
    <t>GRS Transaction Exception Handling MicroUI will be used to update missing or incorrect data on a request and ensure synchronization with other systems of record. (MADS, GPAS)</t>
  </si>
  <si>
    <t>APM0002259</t>
  </si>
  <si>
    <t>Accounting Balance and Reconciliation Control</t>
  </si>
  <si>
    <t>A daily and monthly Balancing And Reconciliation Control process to ensure that GPAS, G\L and Asset Management Systems remain in Balance with each other and  reconcile with (Deposit suspense) accounts.</t>
  </si>
  <si>
    <t>APM0003838</t>
  </si>
  <si>
    <t>GRS Termination MicroApp</t>
  </si>
  <si>
    <t>IN DEVELOPMENT. Flywheel STP needs this for manual disclosure for Termination</t>
  </si>
  <si>
    <t>APM0003200</t>
  </si>
  <si>
    <t>Group Customer RESP</t>
  </si>
  <si>
    <t xml:space="preserve">Business Application for administration of Group Customer RESP product sold by GRS </t>
  </si>
  <si>
    <t>APM0002262</t>
  </si>
  <si>
    <t>Collector</t>
  </si>
  <si>
    <t>Collects call centre statistics for Stewardship report and  for the Hayes report.</t>
  </si>
  <si>
    <t>APM0002263</t>
  </si>
  <si>
    <t>CPAS Fidelity</t>
  </si>
  <si>
    <t>Historical data of clients who were once at Fidelity; UI is CPAS</t>
  </si>
  <si>
    <t>APM0002264</t>
  </si>
  <si>
    <t>CPAS IO Archive</t>
  </si>
  <si>
    <t>Historical data of clients who were once at Canada Life, CPAS Investment-Only system. Business team in Toronto has read-only access to run queries.</t>
  </si>
  <si>
    <t>APM0002265</t>
  </si>
  <si>
    <t>Event System</t>
  </si>
  <si>
    <t>Messaging system is used between publishers and subscribers</t>
  </si>
  <si>
    <t>APM0002267</t>
  </si>
  <si>
    <t>Group Commission Maintenance System</t>
  </si>
  <si>
    <t>GCMS applications are used to determine advisor compensation, including brokers, F55F, WEPG, and GWL gold key. Output is fed to the mainframe and distributes commission amounts to various payroll systems, based on broker audience.</t>
  </si>
  <si>
    <t>APM0002269</t>
  </si>
  <si>
    <t>Group Retirement Services Cheque Writing</t>
  </si>
  <si>
    <t>Application passes cheque data from the GPAS batch system on the unix server to GWL for the production of GRS cheques</t>
  </si>
  <si>
    <t>APM0002270</t>
  </si>
  <si>
    <t>Group Retirement Services Client Statements</t>
  </si>
  <si>
    <t>Provides detailed financial balance, transaction, rate of return and vesting/retirement information to GRS clients.</t>
  </si>
  <si>
    <t>Oracle, EngageOne</t>
  </si>
  <si>
    <t>APM0002272</t>
  </si>
  <si>
    <t>Group Retirement Services Member Statements</t>
  </si>
  <si>
    <t>Provides detailed financial balance, transaction, rate of return and vesting/retirement information to GRS members.</t>
  </si>
  <si>
    <t>APM0002273</t>
  </si>
  <si>
    <t>Group Retirement Services Scanner</t>
  </si>
  <si>
    <t>Interface to execute stored procedures to scan\query of GPAS data</t>
  </si>
  <si>
    <t>APM0002275</t>
  </si>
  <si>
    <t>Group Retirement Services Tax</t>
  </si>
  <si>
    <t>Mainframe portion of the Supplementary Tax Reporting process. It is executed on demand and uploads files which were FTP'd from the Unix Server GPAS system to the LTU application</t>
  </si>
  <si>
    <t>APM0002277</t>
  </si>
  <si>
    <t>Issue Lapse</t>
  </si>
  <si>
    <t>MIS Issue/Lapse Register feed to GPAS</t>
  </si>
  <si>
    <t>APM0002278</t>
  </si>
  <si>
    <t>Notification System</t>
  </si>
  <si>
    <t>Provides systematic interface for sending messages for delivery (currently only email)</t>
  </si>
  <si>
    <t>APM0002280</t>
  </si>
  <si>
    <t>PACE</t>
  </si>
  <si>
    <t>PACE is an inquiry application used for Old Crown Life Business to retrieve the historic information</t>
  </si>
  <si>
    <t>APM0002281</t>
  </si>
  <si>
    <t>Record Keeping Archive</t>
  </si>
  <si>
    <t>Historical data of clients who were once at Crown Life; Queries run through App Support</t>
  </si>
  <si>
    <t>APM0003059</t>
  </si>
  <si>
    <t>GRS Member Event Subscriber</t>
  </si>
  <si>
    <t>Responds to Address change events propogated from various applications within CanadaLife.</t>
  </si>
  <si>
    <t>APM0003736</t>
  </si>
  <si>
    <t>GRS Client Reporting Self Serve</t>
  </si>
  <si>
    <t>To support GRS IO User Interface for our CSSs to interact with IO reports generated in GPAS.</t>
  </si>
  <si>
    <t>APM0003195</t>
  </si>
  <si>
    <t>LoopIO</t>
  </si>
  <si>
    <t>APM0002972</t>
  </si>
  <si>
    <t>Digital Automated Renewal &amp; Quote System</t>
  </si>
  <si>
    <t>APM0002229</t>
  </si>
  <si>
    <t>Pooling</t>
  </si>
  <si>
    <t>APM0002233</t>
  </si>
  <si>
    <t>Refine</t>
  </si>
  <si>
    <t>APM0002234</t>
  </si>
  <si>
    <t>Refund Profitability System</t>
  </si>
  <si>
    <t>APM0002236</t>
  </si>
  <si>
    <t>Renewal System</t>
  </si>
  <si>
    <t>APM0002237</t>
  </si>
  <si>
    <t>Selectpac Business Tracking System</t>
  </si>
  <si>
    <t>APM0002238</t>
  </si>
  <si>
    <t>Selectpac Contracts and Booklets</t>
  </si>
  <si>
    <t>Package</t>
  </si>
  <si>
    <t>APM0002239</t>
  </si>
  <si>
    <t>Selectpac eStorage</t>
  </si>
  <si>
    <t>APM0002243</t>
  </si>
  <si>
    <t>Waiver Reserve Calculator</t>
  </si>
  <si>
    <t>APM0003430</t>
  </si>
  <si>
    <t>PSHCP ASO Billing System (PABS)</t>
  </si>
  <si>
    <t>APM0002163</t>
  </si>
  <si>
    <t>Automated Rate Calculator</t>
  </si>
  <si>
    <t>APM0002165</t>
  </si>
  <si>
    <t>Auto Renewal</t>
  </si>
  <si>
    <t>APM0002160</t>
  </si>
  <si>
    <t>Administrative Services Only</t>
  </si>
  <si>
    <t>APM0002161</t>
  </si>
  <si>
    <t>Admistrative Services Only Medical Reimbursement Plan Billing</t>
  </si>
  <si>
    <t>APM0002171</t>
  </si>
  <si>
    <t>Commissions System</t>
  </si>
  <si>
    <t>APM0002191</t>
  </si>
  <si>
    <t>Experience and Claims</t>
  </si>
  <si>
    <t>APM0002198</t>
  </si>
  <si>
    <t>GIPA Billing System (GBS)</t>
  </si>
  <si>
    <t>VB.Net</t>
  </si>
  <si>
    <t>APM0002214</t>
  </si>
  <si>
    <t>Intercorporate Arrangements</t>
  </si>
  <si>
    <t>APM0002227</t>
  </si>
  <si>
    <t>Payment</t>
  </si>
  <si>
    <t>APM0002235</t>
  </si>
  <si>
    <t>Renewal Execution System</t>
  </si>
  <si>
    <t>APM0002240</t>
  </si>
  <si>
    <t>Self Accounting Billing System</t>
  </si>
  <si>
    <t>APM0002172</t>
  </si>
  <si>
    <t>Common Office Data Access</t>
  </si>
  <si>
    <t>APM0002181</t>
  </si>
  <si>
    <t>Disabled Life Reserve</t>
  </si>
  <si>
    <t>APM0002192</t>
  </si>
  <si>
    <t>Experience and Claims Health Claims Inventory</t>
  </si>
  <si>
    <t>APM0002193</t>
  </si>
  <si>
    <t>Experience and Claims Paid Claims</t>
  </si>
  <si>
    <t>APM0002194</t>
  </si>
  <si>
    <t>Experience and Claims Terminal Inquiry</t>
  </si>
  <si>
    <t>APM0002195</t>
  </si>
  <si>
    <t>Figures</t>
  </si>
  <si>
    <t>APM0002199</t>
  </si>
  <si>
    <t>Group Decision Support</t>
  </si>
  <si>
    <t>APM0002203</t>
  </si>
  <si>
    <t>Group Major Accounts eStorage</t>
  </si>
  <si>
    <t>APM0002206</t>
  </si>
  <si>
    <t>GroupNet Reporting</t>
  </si>
  <si>
    <t>APM0003518</t>
  </si>
  <si>
    <t>Group Customer Custom Billing System</t>
  </si>
  <si>
    <t>APM0002219</t>
  </si>
  <si>
    <t>Long Term Disability Reporting</t>
  </si>
  <si>
    <t>APM0002221</t>
  </si>
  <si>
    <t>Mosaic</t>
  </si>
  <si>
    <t>APM0002230</t>
  </si>
  <si>
    <t>RaMM Billing</t>
  </si>
  <si>
    <t>7x16</t>
  </si>
  <si>
    <t>APM0002231</t>
  </si>
  <si>
    <t>RaMM Online</t>
  </si>
  <si>
    <t>APM0002232</t>
  </si>
  <si>
    <t>RaMM Performance</t>
  </si>
  <si>
    <t>APM0002329</t>
  </si>
  <si>
    <t>Integrated Partner Program</t>
  </si>
  <si>
    <t>APM0002945</t>
  </si>
  <si>
    <t>eDisability Batch Print</t>
  </si>
  <si>
    <t>APM0002902</t>
  </si>
  <si>
    <t>Disability TelePhone Log  Add-In</t>
  </si>
  <si>
    <t>APM0002859</t>
  </si>
  <si>
    <t>Online Disability System</t>
  </si>
  <si>
    <t>APM0003600</t>
  </si>
  <si>
    <t>Telephone Logs</t>
  </si>
  <si>
    <t>APM0002251</t>
  </si>
  <si>
    <t>Group Life Claims (LES - Life Electronic System)</t>
  </si>
  <si>
    <t>APM0004037</t>
  </si>
  <si>
    <t>Volume Statistics</t>
  </si>
  <si>
    <t>APM0002209</t>
  </si>
  <si>
    <t>Group Sales Reporting</t>
  </si>
  <si>
    <t>APM0003925</t>
  </si>
  <si>
    <t>Opifiny</t>
  </si>
  <si>
    <t>PCI/ PHI/ PII / ProB</t>
  </si>
  <si>
    <t>APM0002173</t>
  </si>
  <si>
    <t>Corgen</t>
  </si>
  <si>
    <t>APM0002177</t>
  </si>
  <si>
    <t>Disability Claims Connectivity Components</t>
  </si>
  <si>
    <t>APM0002178</t>
  </si>
  <si>
    <t>Disability Claims Reporting</t>
  </si>
  <si>
    <t>APM0002180</t>
  </si>
  <si>
    <t>Disability Tax</t>
  </si>
  <si>
    <t>DB2/MS SQL</t>
  </si>
  <si>
    <t>APM0002185</t>
  </si>
  <si>
    <t>Ultera</t>
  </si>
  <si>
    <t>APM0003598</t>
  </si>
  <si>
    <t>Disability Benefits Calculator</t>
  </si>
  <si>
    <t>APM0002217</t>
  </si>
  <si>
    <t>Life Claims Reporting</t>
  </si>
  <si>
    <t>APM0002218</t>
  </si>
  <si>
    <t>Life Claims Tracking</t>
  </si>
  <si>
    <t>MS SQL/MS Acess</t>
  </si>
  <si>
    <t>APM0002220</t>
  </si>
  <si>
    <t>Marketing Profitability</t>
  </si>
  <si>
    <t>APM0002223</t>
  </si>
  <si>
    <t>Online Collaboration</t>
  </si>
  <si>
    <t>APM0002224</t>
  </si>
  <si>
    <t>Online Submission</t>
  </si>
  <si>
    <t>APM0002216</t>
  </si>
  <si>
    <t>Life Claims &amp; Waiver</t>
  </si>
  <si>
    <t>APM0002903</t>
  </si>
  <si>
    <t>Upload to eDisability</t>
  </si>
  <si>
    <t>Portfolio</t>
  </si>
  <si>
    <t>2026 Application Maintenance Budget (Labour)</t>
  </si>
  <si>
    <t>Existing AMS</t>
  </si>
  <si>
    <t>3.1M</t>
  </si>
  <si>
    <t>0.9M &gt; 1.25M</t>
  </si>
  <si>
    <t>GLH</t>
  </si>
  <si>
    <t>16.3M</t>
  </si>
  <si>
    <t>5.4M</t>
  </si>
  <si>
    <t>0.45M</t>
  </si>
  <si>
    <t>Guidelines</t>
  </si>
  <si>
    <t>`</t>
  </si>
  <si>
    <t>Attribute</t>
  </si>
  <si>
    <t>Rating</t>
  </si>
  <si>
    <t>How large is the application?</t>
  </si>
  <si>
    <t>Very large
(Enterprise wide applications with complex architecture, multiple integrations, large user base, and high change/ run demand.)</t>
  </si>
  <si>
    <t>Large
(Core business applications with moderate–high complexity, several integrations, and steady enhancement and support workload)</t>
  </si>
  <si>
    <t>Medium
(Departmental or supporting applications with limited integrations, moderate complexity, and predictable maintenance effort)</t>
  </si>
  <si>
    <t xml:space="preserve">Small
(Simple, standalone or lightly integrated applications with low transaction volume and minimal maintenance or change needs)
</t>
  </si>
  <si>
    <t>How complex is the application (technically or business-wise, or both)? (If rating is 1 or 2, briefly describe in remarks)</t>
  </si>
  <si>
    <t>Extremely complex
(Legacy core systems, heavy customization, many integrations, high SME dependency)</t>
  </si>
  <si>
    <t>Complex
(Multiple integrations, some legacy components, moderate customization)</t>
  </si>
  <si>
    <t>Average 
(Common platforms, limited integrations, mostly configuration based)</t>
  </si>
  <si>
    <t>Simple
(Stand alone or lightly integrated, modern stack, minimal customization)</t>
  </si>
  <si>
    <t>How critical is the application to the business, in case of system downtime?</t>
  </si>
  <si>
    <t>Most critical (resolution time in minutes)</t>
  </si>
  <si>
    <t>Critical (resolution time in hours)</t>
  </si>
  <si>
    <t>Less critical (resolution time within a day)</t>
  </si>
  <si>
    <t>Not critical (resolution time in days)</t>
  </si>
  <si>
    <t>How stable is the application?</t>
  </si>
  <si>
    <t>Very Unstable (frequent P1 issues)</t>
  </si>
  <si>
    <t>Less stable (Many P1 issues)</t>
  </si>
  <si>
    <t>Stable (Some P1 issues)</t>
  </si>
  <si>
    <t>Very stable (No P1 issues)</t>
  </si>
  <si>
    <r>
      <t xml:space="preserve">Hours for which support is required (No. of days </t>
    </r>
    <r>
      <rPr>
        <b/>
        <u/>
        <sz val="8"/>
        <color indexed="18"/>
        <rFont val="Myriad Pro"/>
        <family val="2"/>
      </rPr>
      <t>X</t>
    </r>
    <r>
      <rPr>
        <sz val="8"/>
        <color indexed="18"/>
        <rFont val="Myriad Pro"/>
        <family val="2"/>
      </rPr>
      <t xml:space="preserve"> No. of hours)</t>
    </r>
  </si>
  <si>
    <t>In what developmental stage is your application?</t>
  </si>
  <si>
    <t>Grow (invest)</t>
  </si>
  <si>
    <t>Harvest (Lights On)  - which includes mandated changes i.e., regulatory)</t>
  </si>
  <si>
    <t>Closed Block - No Changes</t>
  </si>
  <si>
    <t>Sunset (to be decommissioned in 1 - 2 years)</t>
  </si>
  <si>
    <t>Legacy - modernize</t>
  </si>
  <si>
    <t>How well is the application documented (Business Requirement Documents, architecture, design, use cases, system documents, deployment documents, maintenance handbook, etc.)</t>
  </si>
  <si>
    <t>No Documentation
(Inadequate, or no documents)</t>
  </si>
  <si>
    <t>Well Documentation
(Updated, exhaustive, complete documents)</t>
  </si>
  <si>
    <t>Third Party</t>
  </si>
  <si>
    <t>Are there any Third Party interface ?</t>
  </si>
  <si>
    <t>NA</t>
  </si>
  <si>
    <t>1 - 3</t>
  </si>
  <si>
    <t>3 - 5</t>
  </si>
  <si>
    <t>&gt; 5</t>
  </si>
  <si>
    <t>Data centric</t>
  </si>
  <si>
    <t>Is there huge volume of data processing involved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</si>
</sst>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mmmm\ d\,\ yyyy"/>
    <numFmt numFmtId="165" formatCode="0.0000000000"/>
    <numFmt numFmtId="166" formatCode="[$CHF]\ #,##0"/>
    <numFmt numFmtId="167" formatCode="[hh]:mm"/>
  </numFmts>
  <fonts count="66">
    <font>
      <sz val="10"/>
      <color theme="1"/>
      <name val="verdana"/>
      <family val="2"/>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verdana"/>
      <family val="2"/>
    </font>
    <font>
      <b/>
      <sz val="10"/>
      <color theme="1"/>
      <name val="Verdana"/>
      <family val="2"/>
    </font>
    <font>
      <sz val="10"/>
      <name val="Arial"/>
      <family val="2"/>
    </font>
    <font>
      <sz val="10"/>
      <color theme="0"/>
      <name val="verdana"/>
      <family val="2"/>
    </font>
    <font>
      <sz val="8"/>
      <name val="Arial"/>
      <family val="2"/>
    </font>
    <font>
      <sz val="10"/>
      <color rgb="FF9C0006"/>
      <name val="Credit Suisse Type Light"/>
      <family val="2"/>
    </font>
    <font>
      <b/>
      <sz val="10"/>
      <color rgb="FFFA7D00"/>
      <name val="Credit Suisse Type Light"/>
      <family val="2"/>
    </font>
    <font>
      <b/>
      <sz val="10"/>
      <color theme="0"/>
      <name val="Credit Suisse Type Light"/>
      <family val="2"/>
    </font>
    <font>
      <sz val="9.5"/>
      <color theme="1"/>
      <name val="verdana"/>
      <family val="2"/>
    </font>
    <font>
      <sz val="9.5"/>
      <name val="Verdana"/>
      <family val="2"/>
    </font>
    <font>
      <sz val="9"/>
      <color theme="1"/>
      <name val="verdana"/>
      <family val="2"/>
    </font>
    <font>
      <sz val="9.5"/>
      <color indexed="8"/>
      <name val="verdana"/>
      <family val="2"/>
    </font>
    <font>
      <sz val="10"/>
      <color theme="1"/>
      <name val="Arial"/>
      <family val="2"/>
    </font>
    <font>
      <sz val="10"/>
      <name val="Times New Roman"/>
      <family val="1"/>
    </font>
    <font>
      <i/>
      <sz val="10"/>
      <color rgb="FF7F7F7F"/>
      <name val="Credit Suisse Type Light"/>
      <family val="2"/>
    </font>
    <font>
      <sz val="10"/>
      <color rgb="FF006100"/>
      <name val="Credit Suisse Type Light"/>
      <family val="2"/>
    </font>
    <font>
      <b/>
      <sz val="12"/>
      <name val="Arial"/>
      <family val="2"/>
    </font>
    <font>
      <b/>
      <sz val="15"/>
      <color theme="3"/>
      <name val="verdana"/>
      <family val="2"/>
    </font>
    <font>
      <b/>
      <sz val="10"/>
      <color theme="0" tint="-0.34998626667073579"/>
      <name val="Credit Suisse Type Light"/>
      <family val="2"/>
    </font>
    <font>
      <b/>
      <sz val="10"/>
      <name val="Credit Suisse Type Light"/>
      <family val="2"/>
    </font>
    <font>
      <b/>
      <sz val="11"/>
      <color theme="3"/>
      <name val="verdana"/>
      <family val="2"/>
    </font>
    <font>
      <sz val="10"/>
      <color rgb="FF3F3F76"/>
      <name val="Credit Suisse Type Light"/>
      <family val="2"/>
    </font>
    <font>
      <sz val="10"/>
      <color rgb="FFFA7D00"/>
      <name val="Credit Suisse Type Light"/>
      <family val="2"/>
    </font>
    <font>
      <sz val="10"/>
      <color rgb="FF9C6500"/>
      <name val="Credit Suisse Type Light"/>
      <family val="2"/>
    </font>
    <font>
      <sz val="11"/>
      <color indexed="8"/>
      <name val="Calibri"/>
      <family val="2"/>
    </font>
    <font>
      <sz val="10"/>
      <color indexed="8"/>
      <name val="Arial"/>
      <family val="2"/>
    </font>
    <font>
      <sz val="12"/>
      <name val="Times New Roman"/>
      <family val="1"/>
    </font>
    <font>
      <b/>
      <sz val="10"/>
      <color rgb="FF3F3F3F"/>
      <name val="Credit Suisse Type Light"/>
      <family val="2"/>
    </font>
    <font>
      <sz val="10"/>
      <name val="MS Sans Serif"/>
      <family val="2"/>
    </font>
    <font>
      <b/>
      <sz val="14"/>
      <name val="Credit Suisse Type Light"/>
      <family val="2"/>
    </font>
    <font>
      <sz val="10"/>
      <color rgb="FFFF0000"/>
      <name val="Credit Suisse Type Light"/>
      <family val="2"/>
    </font>
    <font>
      <sz val="11"/>
      <color indexed="8"/>
      <name val="Calibri"/>
      <family val="2"/>
      <charset val="1"/>
    </font>
    <font>
      <sz val="10"/>
      <color indexed="18"/>
      <name val="Arial"/>
      <family val="2"/>
    </font>
    <font>
      <b/>
      <sz val="10"/>
      <color indexed="18"/>
      <name val="Arial"/>
      <family val="2"/>
    </font>
    <font>
      <b/>
      <sz val="8"/>
      <color indexed="18"/>
      <name val="Arial"/>
      <family val="2"/>
    </font>
    <font>
      <sz val="9"/>
      <color indexed="81"/>
      <name val="Tahoma"/>
      <family val="2"/>
    </font>
    <font>
      <sz val="11"/>
      <color theme="1"/>
      <name val="Myriad Pro"/>
      <family val="2"/>
    </font>
    <font>
      <b/>
      <sz val="26"/>
      <color theme="0"/>
      <name val="Myriad Pro"/>
      <family val="2"/>
    </font>
    <font>
      <b/>
      <sz val="26"/>
      <color theme="1"/>
      <name val="Myriad Pro"/>
      <family val="2"/>
    </font>
    <font>
      <b/>
      <sz val="10"/>
      <color theme="0"/>
      <name val="Myriad Pro"/>
      <family val="2"/>
    </font>
    <font>
      <sz val="10"/>
      <color theme="1"/>
      <name val="Myriad Pro"/>
      <family val="2"/>
    </font>
    <font>
      <b/>
      <sz val="10"/>
      <color theme="1"/>
      <name val="Myriad Pro"/>
      <family val="2"/>
    </font>
    <font>
      <b/>
      <sz val="11"/>
      <color theme="0"/>
      <name val="Myriad Pro"/>
      <family val="2"/>
    </font>
    <font>
      <b/>
      <sz val="11"/>
      <color theme="1"/>
      <name val="Myriad Pro"/>
      <family val="2"/>
    </font>
    <font>
      <b/>
      <sz val="8"/>
      <color indexed="18"/>
      <name val="Myriad Pro"/>
      <family val="2"/>
    </font>
    <font>
      <sz val="8"/>
      <color indexed="18"/>
      <name val="Myriad Pro"/>
      <family val="2"/>
    </font>
    <font>
      <i/>
      <sz val="8"/>
      <color indexed="18"/>
      <name val="Myriad Pro"/>
      <family val="2"/>
    </font>
    <font>
      <b/>
      <u/>
      <sz val="8"/>
      <color indexed="18"/>
      <name val="Myriad Pro"/>
      <family val="2"/>
    </font>
    <font>
      <b/>
      <sz val="11"/>
      <color theme="1"/>
      <name val="Calibri"/>
      <family val="2"/>
      <scheme val="minor"/>
    </font>
    <font>
      <sz val="11"/>
      <color theme="1"/>
      <name val="Aptos"/>
      <family val="2"/>
    </font>
    <font>
      <sz val="11"/>
      <color theme="1"/>
      <name val="Aptos Narrow"/>
      <family val="2"/>
    </font>
    <font>
      <sz val="11"/>
      <color theme="1"/>
      <name val="Arial"/>
      <family val="2"/>
    </font>
    <font>
      <b/>
      <sz val="10"/>
      <color theme="0"/>
      <name val="Verdana"/>
      <family val="2"/>
    </font>
    <font>
      <b/>
      <sz val="11"/>
      <color theme="0"/>
      <name val="Myriad Pro"/>
    </font>
    <font>
      <sz val="11"/>
      <color theme="1"/>
      <name val="Myriad Pro"/>
    </font>
    <font>
      <sz val="11"/>
      <color rgb="FF000000"/>
      <name val="Aptos Narrow"/>
      <family val="2"/>
    </font>
    <font>
      <sz val="10"/>
      <color rgb="FF000000"/>
      <name val="Verdana"/>
      <family val="2"/>
    </font>
    <font>
      <strike/>
      <sz val="10"/>
      <color theme="1"/>
      <name val="verdana"/>
      <family val="2"/>
    </font>
    <font>
      <sz val="11"/>
      <color rgb="FF242424"/>
      <name val="Aptos Narrow"/>
      <family val="2"/>
    </font>
    <font>
      <sz val="10"/>
      <color theme="1"/>
      <name val="Aptos Narrow"/>
      <family val="2"/>
    </font>
    <font>
      <sz val="11"/>
      <color rgb="FF000000"/>
      <name val="Calibri"/>
      <family val="2"/>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rgb="FF00589A"/>
        <bgColor indexed="64"/>
      </patternFill>
    </fill>
    <fill>
      <patternFill patternType="solid">
        <fgColor rgb="FF0078D2"/>
        <bgColor indexed="64"/>
      </patternFill>
    </fill>
    <fill>
      <patternFill patternType="solid">
        <fgColor rgb="FF659A2A"/>
        <bgColor indexed="64"/>
      </patternFill>
    </fill>
    <fill>
      <patternFill patternType="solid">
        <fgColor rgb="FF76B531"/>
        <bgColor indexed="64"/>
      </patternFill>
    </fill>
    <fill>
      <patternFill patternType="solid">
        <fgColor rgb="FF0082DA"/>
        <bgColor indexed="64"/>
      </patternFill>
    </fill>
    <fill>
      <patternFill patternType="solid">
        <fgColor theme="7" tint="-0.249977111117893"/>
        <bgColor indexed="64"/>
      </patternFill>
    </fill>
    <fill>
      <patternFill patternType="solid">
        <fgColor rgb="FF7D5F9F"/>
        <bgColor indexed="64"/>
      </patternFill>
    </fill>
    <fill>
      <patternFill patternType="solid">
        <fgColor rgb="FF92D050"/>
        <bgColor indexed="64"/>
      </patternFill>
    </fill>
    <fill>
      <patternFill patternType="solid">
        <fgColor theme="2" tint="-0.749992370372631"/>
        <bgColor indexed="64"/>
      </patternFill>
    </fill>
    <fill>
      <patternFill patternType="solid">
        <fgColor rgb="FF040910"/>
        <bgColor indexed="64"/>
      </patternFill>
    </fill>
    <fill>
      <patternFill patternType="solid">
        <fgColor rgb="FFFF0000"/>
        <bgColor indexed="64"/>
      </patternFill>
    </fill>
    <fill>
      <patternFill patternType="solid">
        <fgColor rgb="FF0070C0"/>
        <bgColor indexed="64"/>
      </patternFill>
    </fill>
    <fill>
      <patternFill patternType="solid">
        <fgColor rgb="FFFFFF00"/>
        <bgColor indexed="64"/>
      </patternFill>
    </fill>
    <fill>
      <patternFill patternType="solid">
        <fgColor rgb="FFFFCCCC"/>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CD6969"/>
        <bgColor indexed="64"/>
      </patternFill>
    </fill>
    <fill>
      <patternFill patternType="solid">
        <fgColor theme="0" tint="-0.14999847407452621"/>
        <bgColor indexed="64"/>
      </patternFill>
    </fill>
    <fill>
      <patternFill patternType="solid">
        <fgColor theme="2" tint="-0.249977111117893"/>
        <bgColor indexed="64"/>
      </patternFill>
    </fill>
  </fills>
  <borders count="21">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theme="4"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334">
    <xf numFmtId="0" fontId="0" fillId="0" borderId="0"/>
    <xf numFmtId="0" fontId="7" fillId="0" borderId="0"/>
    <xf numFmtId="0" fontId="7" fillId="0" borderId="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8" fillId="9"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0" borderId="0" applyNumberFormat="0" applyAlignment="0"/>
    <xf numFmtId="0" fontId="9" fillId="0" borderId="0" applyNumberFormat="0" applyAlignment="0"/>
    <xf numFmtId="0" fontId="10" fillId="3" borderId="0" applyNumberFormat="0" applyBorder="0" applyAlignment="0" applyProtection="0"/>
    <xf numFmtId="0" fontId="11" fillId="6" borderId="2" applyNumberFormat="0" applyAlignment="0" applyProtection="0"/>
    <xf numFmtId="0" fontId="12" fillId="7" borderId="5" applyNumberFormat="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15" fillId="0" borderId="0" applyFont="0" applyFill="0" applyBorder="0" applyAlignment="0" applyProtection="0"/>
    <xf numFmtId="43" fontId="16" fillId="0" borderId="0" applyFont="0" applyFill="0" applyBorder="0" applyAlignment="0" applyProtection="0"/>
    <xf numFmtId="44" fontId="7" fillId="0" borderId="0" applyFont="0" applyFill="0" applyBorder="0" applyAlignment="0" applyProtection="0"/>
    <xf numFmtId="44" fontId="13" fillId="0" borderId="0" applyFont="0" applyFill="0" applyBorder="0" applyAlignment="0" applyProtection="0"/>
    <xf numFmtId="44" fontId="7" fillId="0" borderId="0" applyFont="0" applyFill="0" applyBorder="0" applyAlignment="0" applyProtection="0"/>
    <xf numFmtId="44" fontId="13" fillId="0" borderId="0" applyFont="0" applyFill="0" applyBorder="0" applyAlignment="0" applyProtection="0"/>
    <xf numFmtId="44" fontId="17" fillId="0" borderId="0" applyFont="0" applyFill="0" applyBorder="0" applyAlignment="0" applyProtection="0"/>
    <xf numFmtId="44" fontId="13" fillId="0" borderId="0" applyFont="0" applyFill="0" applyBorder="0" applyAlignment="0" applyProtection="0"/>
    <xf numFmtId="44" fontId="7" fillId="0" borderId="0" applyFont="0" applyFill="0" applyBorder="0" applyAlignment="0" applyProtection="0"/>
    <xf numFmtId="44" fontId="4" fillId="0" borderId="0" applyFont="0" applyFill="0" applyBorder="0" applyAlignment="0" applyProtection="0"/>
    <xf numFmtId="164" fontId="18" fillId="0" borderId="0">
      <alignment horizontal="left"/>
    </xf>
    <xf numFmtId="0" fontId="19" fillId="0" borderId="0" applyNumberFormat="0" applyFill="0" applyBorder="0" applyAlignment="0" applyProtection="0"/>
    <xf numFmtId="0" fontId="20" fillId="2" borderId="0" applyNumberFormat="0" applyBorder="0" applyAlignment="0" applyProtection="0"/>
    <xf numFmtId="38" fontId="9" fillId="24" borderId="0" applyNumberFormat="0" applyBorder="0" applyAlignment="0" applyProtection="0"/>
    <xf numFmtId="38" fontId="9" fillId="24" borderId="0" applyNumberFormat="0" applyBorder="0" applyAlignment="0" applyProtection="0"/>
    <xf numFmtId="0" fontId="21" fillId="0" borderId="8" applyNumberFormat="0" applyAlignment="0" applyProtection="0">
      <alignment horizontal="left" vertical="center"/>
    </xf>
    <xf numFmtId="0" fontId="21" fillId="0" borderId="9">
      <alignment horizontal="left" vertical="center"/>
    </xf>
    <xf numFmtId="0" fontId="22" fillId="0" borderId="1" applyNumberFormat="0" applyFill="0" applyAlignment="0" applyProtection="0"/>
    <xf numFmtId="0" fontId="23" fillId="0" borderId="10" applyNumberFormat="0" applyFill="0" applyAlignment="0" applyProtection="0"/>
    <xf numFmtId="0" fontId="24" fillId="0" borderId="0" applyNumberFormat="0" applyFill="0" applyBorder="0" applyAlignment="0" applyProtection="0"/>
    <xf numFmtId="0" fontId="25" fillId="0" borderId="0" applyNumberFormat="0" applyFill="0" applyBorder="0" applyAlignment="0" applyProtection="0"/>
    <xf numFmtId="10" fontId="9" fillId="25" borderId="11" applyNumberFormat="0" applyBorder="0" applyAlignment="0" applyProtection="0"/>
    <xf numFmtId="10" fontId="9" fillId="25" borderId="11" applyNumberFormat="0" applyBorder="0" applyAlignment="0" applyProtection="0"/>
    <xf numFmtId="0" fontId="26" fillId="5" borderId="2" applyNumberFormat="0" applyAlignment="0" applyProtection="0"/>
    <xf numFmtId="0" fontId="27" fillId="0" borderId="4" applyNumberFormat="0" applyFill="0" applyAlignment="0" applyProtection="0"/>
    <xf numFmtId="0" fontId="28" fillId="4" borderId="0" applyNumberFormat="0" applyBorder="0" applyAlignment="0" applyProtection="0"/>
    <xf numFmtId="165" fontId="7" fillId="0" borderId="0"/>
    <xf numFmtId="165" fontId="7" fillId="0" borderId="0"/>
    <xf numFmtId="0" fontId="17" fillId="0" borderId="0"/>
    <xf numFmtId="166" fontId="7"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17" fillId="0" borderId="0"/>
    <xf numFmtId="0" fontId="4"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4" fillId="0" borderId="0"/>
    <xf numFmtId="0" fontId="14" fillId="0" borderId="0"/>
    <xf numFmtId="0" fontId="13" fillId="0" borderId="0"/>
    <xf numFmtId="0" fontId="7" fillId="0" borderId="0"/>
    <xf numFmtId="0" fontId="7"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14" fillId="0" borderId="0"/>
    <xf numFmtId="0" fontId="7" fillId="0" borderId="0"/>
    <xf numFmtId="0" fontId="7" fillId="0" borderId="0"/>
    <xf numFmtId="0" fontId="1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13" fillId="0" borderId="0"/>
    <xf numFmtId="0" fontId="13" fillId="0" borderId="0"/>
    <xf numFmtId="0" fontId="13" fillId="0" borderId="0"/>
    <xf numFmtId="0" fontId="29" fillId="0" borderId="0"/>
    <xf numFmtId="0" fontId="30" fillId="0" borderId="0"/>
    <xf numFmtId="0" fontId="15" fillId="0" borderId="0"/>
    <xf numFmtId="0" fontId="31" fillId="0" borderId="0"/>
    <xf numFmtId="0" fontId="14"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18" fillId="0" borderId="0">
      <alignment horizontal="center"/>
    </xf>
    <xf numFmtId="0" fontId="32" fillId="6" borderId="3" applyNumberFormat="0" applyAlignment="0" applyProtection="0"/>
    <xf numFmtId="10" fontId="7" fillId="0" borderId="0" applyFont="0" applyFill="0" applyBorder="0" applyAlignment="0" applyProtection="0"/>
    <xf numFmtId="10" fontId="7" fillId="0" borderId="0" applyFont="0" applyFill="0" applyBorder="0" applyAlignment="0" applyProtection="0"/>
    <xf numFmtId="9" fontId="13"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0" fontId="33" fillId="0" borderId="0" applyNumberFormat="0" applyFont="0" applyFill="0" applyBorder="0" applyAlignment="0" applyProtection="0">
      <alignment horizontal="left"/>
    </xf>
    <xf numFmtId="0" fontId="34" fillId="0" borderId="0" applyNumberFormat="0" applyFill="0" applyBorder="0" applyAlignment="0" applyProtection="0"/>
    <xf numFmtId="0" fontId="6" fillId="0" borderId="7" applyNumberFormat="0" applyFill="0" applyAlignment="0" applyProtection="0"/>
    <xf numFmtId="0" fontId="35" fillId="0" borderId="0" applyNumberFormat="0" applyFill="0" applyBorder="0" applyAlignment="0" applyProtection="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65" fontId="7" fillId="0" borderId="0"/>
    <xf numFmtId="165" fontId="7" fillId="0" borderId="0"/>
    <xf numFmtId="166" fontId="7" fillId="0" borderId="0"/>
    <xf numFmtId="0" fontId="7"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7" fillId="0" borderId="0"/>
    <xf numFmtId="0" fontId="5"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5" fillId="0" borderId="0"/>
    <xf numFmtId="0" fontId="4" fillId="0" borderId="0"/>
    <xf numFmtId="0" fontId="4" fillId="0" borderId="0"/>
    <xf numFmtId="10" fontId="7" fillId="0" borderId="0" applyFont="0" applyFill="0" applyBorder="0" applyAlignment="0" applyProtection="0"/>
    <xf numFmtId="10" fontId="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6" fillId="0" borderId="0"/>
    <xf numFmtId="0" fontId="3" fillId="0" borderId="0"/>
    <xf numFmtId="0" fontId="3" fillId="0" borderId="0"/>
    <xf numFmtId="0" fontId="3" fillId="0" borderId="0"/>
    <xf numFmtId="0" fontId="3" fillId="0" borderId="0"/>
    <xf numFmtId="0" fontId="2" fillId="0" borderId="0"/>
    <xf numFmtId="9" fontId="5" fillId="0" borderId="0" applyFont="0" applyFill="0" applyBorder="0" applyAlignment="0" applyProtection="0"/>
  </cellStyleXfs>
  <cellXfs count="261">
    <xf numFmtId="0" fontId="0" fillId="0" borderId="0" xfId="0"/>
    <xf numFmtId="0" fontId="0" fillId="0" borderId="0" xfId="0" applyAlignment="1">
      <alignment horizontal="left"/>
    </xf>
    <xf numFmtId="0" fontId="6" fillId="0" borderId="0" xfId="0" applyFont="1" applyAlignment="1">
      <alignment horizontal="left"/>
    </xf>
    <xf numFmtId="49" fontId="6" fillId="0" borderId="0" xfId="0" applyNumberFormat="1" applyFont="1" applyAlignment="1">
      <alignment horizontal="left"/>
    </xf>
    <xf numFmtId="0" fontId="6" fillId="26" borderId="0" xfId="0" applyFont="1" applyFill="1" applyAlignment="1">
      <alignment horizontal="left"/>
    </xf>
    <xf numFmtId="0" fontId="0" fillId="0" borderId="11" xfId="0" applyBorder="1"/>
    <xf numFmtId="0" fontId="37" fillId="0" borderId="0" xfId="0" applyFont="1"/>
    <xf numFmtId="0" fontId="38" fillId="0" borderId="0" xfId="0" applyFont="1" applyAlignment="1">
      <alignment horizontal="center"/>
    </xf>
    <xf numFmtId="0" fontId="39" fillId="0" borderId="0" xfId="0" applyFont="1" applyAlignment="1">
      <alignment horizontal="center" vertical="top" wrapText="1"/>
    </xf>
    <xf numFmtId="0" fontId="39" fillId="0" borderId="11" xfId="0" applyFont="1" applyBorder="1" applyAlignment="1">
      <alignment horizontal="left" vertical="top" wrapText="1"/>
    </xf>
    <xf numFmtId="0" fontId="38" fillId="0" borderId="0" xfId="0" applyFont="1" applyAlignment="1">
      <alignment vertical="top"/>
    </xf>
    <xf numFmtId="0" fontId="6" fillId="0" borderId="0" xfId="0" applyFont="1"/>
    <xf numFmtId="0" fontId="17" fillId="0" borderId="0" xfId="332" applyFont="1" applyAlignment="1">
      <alignment wrapText="1"/>
    </xf>
    <xf numFmtId="0" fontId="17" fillId="0" borderId="0" xfId="332" applyFont="1" applyAlignment="1">
      <alignment horizontal="center" wrapText="1"/>
    </xf>
    <xf numFmtId="0" fontId="41" fillId="0" borderId="0" xfId="332" applyFont="1"/>
    <xf numFmtId="0" fontId="43" fillId="0" borderId="0" xfId="332" applyFont="1" applyAlignment="1">
      <alignment vertical="center"/>
    </xf>
    <xf numFmtId="0" fontId="44" fillId="28" borderId="15" xfId="0" applyFont="1" applyFill="1" applyBorder="1" applyAlignment="1">
      <alignment horizontal="left"/>
    </xf>
    <xf numFmtId="0" fontId="41" fillId="0" borderId="11" xfId="0" applyFont="1" applyBorder="1" applyAlignment="1">
      <alignment horizontal="left"/>
    </xf>
    <xf numFmtId="0" fontId="48" fillId="0" borderId="11" xfId="0" applyFont="1" applyBorder="1" applyAlignment="1">
      <alignment horizontal="left"/>
    </xf>
    <xf numFmtId="0" fontId="45" fillId="0" borderId="0" xfId="0" applyFont="1"/>
    <xf numFmtId="0" fontId="46" fillId="0" borderId="0" xfId="0" applyFont="1"/>
    <xf numFmtId="0" fontId="45" fillId="0" borderId="11" xfId="0" applyFont="1" applyBorder="1"/>
    <xf numFmtId="0" fontId="44" fillId="28" borderId="15" xfId="0" applyFont="1" applyFill="1" applyBorder="1" applyAlignment="1">
      <alignment horizontal="center" vertical="center" wrapText="1"/>
    </xf>
    <xf numFmtId="0" fontId="49" fillId="0" borderId="19" xfId="0" applyFont="1" applyBorder="1" applyAlignment="1">
      <alignment horizontal="center" vertical="top" wrapText="1"/>
    </xf>
    <xf numFmtId="0" fontId="49" fillId="0" borderId="11" xfId="0" applyFont="1" applyBorder="1" applyAlignment="1">
      <alignment horizontal="left" vertical="top" wrapText="1"/>
    </xf>
    <xf numFmtId="0" fontId="50" fillId="0" borderId="11" xfId="0" applyFont="1" applyBorder="1" applyAlignment="1">
      <alignment horizontal="left" vertical="top" wrapText="1"/>
    </xf>
    <xf numFmtId="0" fontId="51" fillId="0" borderId="11" xfId="0" applyFont="1" applyBorder="1" applyAlignment="1">
      <alignment horizontal="center" vertical="top" wrapText="1"/>
    </xf>
    <xf numFmtId="0" fontId="53" fillId="0" borderId="0" xfId="0" applyFont="1" applyAlignment="1">
      <alignment vertical="top" wrapText="1"/>
    </xf>
    <xf numFmtId="0" fontId="0" fillId="0" borderId="0" xfId="0" applyAlignment="1">
      <alignment vertical="top" wrapText="1"/>
    </xf>
    <xf numFmtId="0" fontId="8" fillId="35" borderId="11" xfId="0" applyFont="1" applyFill="1" applyBorder="1" applyAlignment="1">
      <alignment horizontal="center"/>
    </xf>
    <xf numFmtId="0" fontId="0" fillId="0" borderId="11" xfId="0" applyBorder="1" applyAlignment="1">
      <alignment horizontal="center" vertical="center"/>
    </xf>
    <xf numFmtId="0" fontId="0" fillId="0" borderId="11" xfId="0" applyBorder="1" applyAlignment="1">
      <alignment wrapText="1"/>
    </xf>
    <xf numFmtId="0" fontId="47" fillId="28" borderId="11" xfId="0" applyFont="1" applyFill="1" applyBorder="1" applyAlignment="1">
      <alignment horizontal="center" vertical="center"/>
    </xf>
    <xf numFmtId="0" fontId="47" fillId="28" borderId="15" xfId="0" applyFont="1" applyFill="1" applyBorder="1" applyAlignment="1">
      <alignment horizontal="left" vertical="center"/>
    </xf>
    <xf numFmtId="0" fontId="55" fillId="0" borderId="11" xfId="0" applyFont="1" applyBorder="1" applyAlignment="1">
      <alignment horizontal="left"/>
    </xf>
    <xf numFmtId="0" fontId="47" fillId="28" borderId="15" xfId="0" applyFont="1" applyFill="1" applyBorder="1" applyAlignment="1">
      <alignment horizontal="center" textRotation="45"/>
    </xf>
    <xf numFmtId="0" fontId="47" fillId="30" borderId="15" xfId="0" applyFont="1" applyFill="1" applyBorder="1" applyAlignment="1">
      <alignment horizontal="center" textRotation="45"/>
    </xf>
    <xf numFmtId="0" fontId="47" fillId="34" borderId="15" xfId="0" applyFont="1" applyFill="1" applyBorder="1" applyAlignment="1">
      <alignment horizontal="center" textRotation="45"/>
    </xf>
    <xf numFmtId="0" fontId="47" fillId="28" borderId="15" xfId="0" applyFont="1" applyFill="1" applyBorder="1" applyAlignment="1">
      <alignment horizontal="center" vertical="center" wrapText="1"/>
    </xf>
    <xf numFmtId="0" fontId="56" fillId="0" borderId="0" xfId="332" applyFont="1" applyAlignment="1">
      <alignment horizontal="center" vertical="center" wrapText="1"/>
    </xf>
    <xf numFmtId="0" fontId="47" fillId="28" borderId="15" xfId="0" applyFont="1" applyFill="1" applyBorder="1" applyAlignment="1">
      <alignment horizontal="center" vertical="center"/>
    </xf>
    <xf numFmtId="0" fontId="54" fillId="0" borderId="11" xfId="0" applyFont="1" applyBorder="1" applyAlignment="1">
      <alignment horizontal="left" vertical="center" indent="1"/>
    </xf>
    <xf numFmtId="0" fontId="54" fillId="0" borderId="11" xfId="0" applyFont="1" applyBorder="1" applyAlignment="1">
      <alignment horizontal="left" vertical="center" indent="2"/>
    </xf>
    <xf numFmtId="0" fontId="0" fillId="0" borderId="11" xfId="0" applyBorder="1" applyAlignment="1">
      <alignment vertical="center" wrapText="1"/>
    </xf>
    <xf numFmtId="0" fontId="0" fillId="0" borderId="11" xfId="0" applyBorder="1" applyAlignment="1">
      <alignment horizontal="left"/>
    </xf>
    <xf numFmtId="0" fontId="47" fillId="37" borderId="15" xfId="0" applyFont="1" applyFill="1" applyBorder="1" applyAlignment="1">
      <alignment horizontal="center" textRotation="45"/>
    </xf>
    <xf numFmtId="0" fontId="47" fillId="37" borderId="16" xfId="0" applyFont="1" applyFill="1" applyBorder="1" applyAlignment="1">
      <alignment horizontal="center" textRotation="45"/>
    </xf>
    <xf numFmtId="0" fontId="57" fillId="37" borderId="11" xfId="0" applyFont="1" applyFill="1" applyBorder="1" applyAlignment="1">
      <alignment horizontal="left" textRotation="45"/>
    </xf>
    <xf numFmtId="0" fontId="59" fillId="0" borderId="11" xfId="0" applyFont="1" applyBorder="1" applyAlignment="1">
      <alignment horizontal="left"/>
    </xf>
    <xf numFmtId="0" fontId="55" fillId="0" borderId="12" xfId="0" applyFont="1" applyBorder="1" applyAlignment="1">
      <alignment horizontal="left"/>
    </xf>
    <xf numFmtId="0" fontId="6" fillId="0" borderId="11" xfId="0" applyFont="1" applyBorder="1" applyAlignment="1">
      <alignment horizontal="left"/>
    </xf>
    <xf numFmtId="49" fontId="6" fillId="0" borderId="11" xfId="0" applyNumberFormat="1" applyFont="1" applyBorder="1" applyAlignment="1">
      <alignment horizontal="left"/>
    </xf>
    <xf numFmtId="0" fontId="0" fillId="0" borderId="12" xfId="0" applyBorder="1"/>
    <xf numFmtId="0" fontId="58" fillId="28" borderId="15" xfId="0" applyFont="1" applyFill="1" applyBorder="1" applyAlignment="1">
      <alignment horizontal="center" vertical="center"/>
    </xf>
    <xf numFmtId="0" fontId="58" fillId="28" borderId="15" xfId="0" applyFont="1" applyFill="1" applyBorder="1" applyAlignment="1">
      <alignment horizontal="left" vertical="center"/>
    </xf>
    <xf numFmtId="0" fontId="58" fillId="37" borderId="15" xfId="0" applyFont="1" applyFill="1" applyBorder="1" applyAlignment="1">
      <alignment horizontal="center" textRotation="45"/>
    </xf>
    <xf numFmtId="0" fontId="58" fillId="28" borderId="15" xfId="0" applyFont="1" applyFill="1" applyBorder="1" applyAlignment="1">
      <alignment horizontal="center" textRotation="45"/>
    </xf>
    <xf numFmtId="0" fontId="58" fillId="30" borderId="15" xfId="0" applyFont="1" applyFill="1" applyBorder="1" applyAlignment="1">
      <alignment horizontal="center" textRotation="45"/>
    </xf>
    <xf numFmtId="0" fontId="58" fillId="30" borderId="15" xfId="0" applyFont="1" applyFill="1" applyBorder="1" applyAlignment="1">
      <alignment horizontal="center" textRotation="45" wrapText="1"/>
    </xf>
    <xf numFmtId="0" fontId="58" fillId="34" borderId="15" xfId="0" applyFont="1" applyFill="1" applyBorder="1" applyAlignment="1">
      <alignment horizontal="center" textRotation="45" wrapText="1"/>
    </xf>
    <xf numFmtId="0" fontId="58" fillId="34" borderId="15" xfId="0" applyFont="1" applyFill="1" applyBorder="1" applyAlignment="1">
      <alignment horizontal="center" textRotation="45"/>
    </xf>
    <xf numFmtId="0" fontId="0" fillId="0" borderId="13" xfId="0" applyBorder="1"/>
    <xf numFmtId="0" fontId="47" fillId="33" borderId="16" xfId="0" applyFont="1" applyFill="1" applyBorder="1" applyAlignment="1">
      <alignment horizontal="center" textRotation="45"/>
    </xf>
    <xf numFmtId="0" fontId="47" fillId="33" borderId="15" xfId="0" applyFont="1" applyFill="1" applyBorder="1" applyAlignment="1">
      <alignment horizontal="center" textRotation="45"/>
    </xf>
    <xf numFmtId="0" fontId="57" fillId="37" borderId="11" xfId="0" applyFont="1" applyFill="1" applyBorder="1" applyAlignment="1">
      <alignment horizontal="center" textRotation="45"/>
    </xf>
    <xf numFmtId="0" fontId="59" fillId="39" borderId="11" xfId="0" applyFont="1" applyFill="1" applyBorder="1" applyAlignment="1">
      <alignment horizontal="left"/>
    </xf>
    <xf numFmtId="0" fontId="57" fillId="37" borderId="0" xfId="0" applyFont="1" applyFill="1" applyAlignment="1">
      <alignment horizontal="left" textRotation="45"/>
    </xf>
    <xf numFmtId="0" fontId="62" fillId="0" borderId="13" xfId="0" applyFont="1" applyBorder="1"/>
    <xf numFmtId="0" fontId="0" fillId="0" borderId="13" xfId="0" applyBorder="1" applyAlignment="1">
      <alignment horizontal="left"/>
    </xf>
    <xf numFmtId="0" fontId="47" fillId="32" borderId="0" xfId="0" applyFont="1" applyFill="1" applyAlignment="1">
      <alignment horizontal="center"/>
    </xf>
    <xf numFmtId="0" fontId="41" fillId="40" borderId="11" xfId="0" applyFont="1" applyFill="1" applyBorder="1" applyAlignment="1">
      <alignment horizontal="left"/>
    </xf>
    <xf numFmtId="0" fontId="0" fillId="40" borderId="13" xfId="0" applyFill="1" applyBorder="1"/>
    <xf numFmtId="0" fontId="0" fillId="40" borderId="12" xfId="0" applyFill="1" applyBorder="1"/>
    <xf numFmtId="0" fontId="0" fillId="40" borderId="11" xfId="0" applyFill="1" applyBorder="1"/>
    <xf numFmtId="0" fontId="55" fillId="40" borderId="12" xfId="0" applyFont="1" applyFill="1" applyBorder="1" applyAlignment="1">
      <alignment horizontal="left"/>
    </xf>
    <xf numFmtId="0" fontId="55" fillId="40" borderId="11" xfId="0" applyFont="1" applyFill="1" applyBorder="1" applyAlignment="1">
      <alignment horizontal="left"/>
    </xf>
    <xf numFmtId="0" fontId="48" fillId="40" borderId="11" xfId="0" applyFont="1" applyFill="1" applyBorder="1" applyAlignment="1">
      <alignment horizontal="left"/>
    </xf>
    <xf numFmtId="4" fontId="0" fillId="40" borderId="11" xfId="0" applyNumberFormat="1" applyFill="1" applyBorder="1" applyAlignment="1">
      <alignment horizontal="left"/>
    </xf>
    <xf numFmtId="0" fontId="0" fillId="40" borderId="11" xfId="0" applyFill="1" applyBorder="1" applyAlignment="1">
      <alignment horizontal="left"/>
    </xf>
    <xf numFmtId="0" fontId="0" fillId="40" borderId="13" xfId="0" applyFill="1" applyBorder="1" applyAlignment="1">
      <alignment horizontal="left"/>
    </xf>
    <xf numFmtId="0" fontId="0" fillId="40" borderId="0" xfId="0" applyFill="1" applyAlignment="1">
      <alignment horizontal="left"/>
    </xf>
    <xf numFmtId="0" fontId="0" fillId="40" borderId="0" xfId="0" applyFill="1"/>
    <xf numFmtId="0" fontId="41" fillId="41" borderId="11" xfId="0" applyFont="1" applyFill="1" applyBorder="1" applyAlignment="1">
      <alignment horizontal="left"/>
    </xf>
    <xf numFmtId="0" fontId="0" fillId="41" borderId="13" xfId="0" applyFill="1" applyBorder="1"/>
    <xf numFmtId="0" fontId="0" fillId="41" borderId="12" xfId="0" applyFill="1" applyBorder="1"/>
    <xf numFmtId="0" fontId="0" fillId="41" borderId="11" xfId="0" applyFill="1" applyBorder="1"/>
    <xf numFmtId="0" fontId="55" fillId="41" borderId="12" xfId="0" applyFont="1" applyFill="1" applyBorder="1" applyAlignment="1">
      <alignment horizontal="left"/>
    </xf>
    <xf numFmtId="0" fontId="55" fillId="41" borderId="11" xfId="0" applyFont="1" applyFill="1" applyBorder="1" applyAlignment="1">
      <alignment horizontal="left"/>
    </xf>
    <xf numFmtId="0" fontId="48" fillId="41" borderId="11" xfId="0" applyFont="1" applyFill="1" applyBorder="1" applyAlignment="1">
      <alignment horizontal="left"/>
    </xf>
    <xf numFmtId="0" fontId="0" fillId="41" borderId="11" xfId="0" applyFill="1" applyBorder="1" applyAlignment="1">
      <alignment horizontal="left"/>
    </xf>
    <xf numFmtId="0" fontId="0" fillId="41" borderId="13" xfId="0" applyFill="1" applyBorder="1" applyAlignment="1">
      <alignment horizontal="left"/>
    </xf>
    <xf numFmtId="0" fontId="0" fillId="41" borderId="0" xfId="0" applyFill="1"/>
    <xf numFmtId="0" fontId="0" fillId="41" borderId="0" xfId="0" applyFill="1" applyAlignment="1">
      <alignment horizontal="left"/>
    </xf>
    <xf numFmtId="0" fontId="59" fillId="41" borderId="11" xfId="0" applyFont="1" applyFill="1" applyBorder="1" applyAlignment="1">
      <alignment horizontal="left"/>
    </xf>
    <xf numFmtId="0" fontId="55" fillId="41" borderId="0" xfId="0" applyFont="1" applyFill="1" applyAlignment="1">
      <alignment horizontal="left"/>
    </xf>
    <xf numFmtId="0" fontId="6" fillId="41" borderId="11" xfId="0" applyFont="1" applyFill="1" applyBorder="1" applyAlignment="1">
      <alignment horizontal="left"/>
    </xf>
    <xf numFmtId="4" fontId="0" fillId="41" borderId="11" xfId="0" applyNumberFormat="1" applyFill="1" applyBorder="1" applyAlignment="1">
      <alignment horizontal="left"/>
    </xf>
    <xf numFmtId="4" fontId="0" fillId="41" borderId="13" xfId="0" applyNumberFormat="1" applyFill="1" applyBorder="1" applyAlignment="1">
      <alignment horizontal="left"/>
    </xf>
    <xf numFmtId="0" fontId="41" fillId="42" borderId="11" xfId="0" applyFont="1" applyFill="1" applyBorder="1" applyAlignment="1">
      <alignment horizontal="left"/>
    </xf>
    <xf numFmtId="0" fontId="0" fillId="42" borderId="13" xfId="0" applyFill="1" applyBorder="1"/>
    <xf numFmtId="0" fontId="0" fillId="42" borderId="12" xfId="0" applyFill="1" applyBorder="1"/>
    <xf numFmtId="0" fontId="0" fillId="42" borderId="11" xfId="0" applyFill="1" applyBorder="1"/>
    <xf numFmtId="0" fontId="55" fillId="42" borderId="12" xfId="0" applyFont="1" applyFill="1" applyBorder="1" applyAlignment="1">
      <alignment horizontal="left"/>
    </xf>
    <xf numFmtId="0" fontId="55" fillId="42" borderId="11" xfId="0" applyFont="1" applyFill="1" applyBorder="1" applyAlignment="1">
      <alignment horizontal="left"/>
    </xf>
    <xf numFmtId="0" fontId="55" fillId="42" borderId="0" xfId="0" applyFont="1" applyFill="1" applyAlignment="1">
      <alignment horizontal="left"/>
    </xf>
    <xf numFmtId="49" fontId="6" fillId="42" borderId="11" xfId="0" applyNumberFormat="1" applyFont="1" applyFill="1" applyBorder="1" applyAlignment="1">
      <alignment horizontal="left"/>
    </xf>
    <xf numFmtId="4" fontId="0" fillId="42" borderId="11" xfId="0" applyNumberFormat="1" applyFill="1" applyBorder="1" applyAlignment="1">
      <alignment horizontal="left"/>
    </xf>
    <xf numFmtId="0" fontId="0" fillId="42" borderId="11" xfId="0" applyFill="1" applyBorder="1" applyAlignment="1">
      <alignment horizontal="left"/>
    </xf>
    <xf numFmtId="0" fontId="0" fillId="42" borderId="13" xfId="0" applyFill="1" applyBorder="1" applyAlignment="1">
      <alignment horizontal="left"/>
    </xf>
    <xf numFmtId="0" fontId="0" fillId="42" borderId="0" xfId="0" applyFill="1" applyAlignment="1">
      <alignment horizontal="left"/>
    </xf>
    <xf numFmtId="0" fontId="0" fillId="42" borderId="0" xfId="0" applyFill="1"/>
    <xf numFmtId="0" fontId="48" fillId="42" borderId="11" xfId="0" applyFont="1" applyFill="1" applyBorder="1" applyAlignment="1">
      <alignment horizontal="left"/>
    </xf>
    <xf numFmtId="0" fontId="59" fillId="42" borderId="11" xfId="0" applyFont="1" applyFill="1" applyBorder="1" applyAlignment="1">
      <alignment horizontal="left"/>
    </xf>
    <xf numFmtId="0" fontId="41" fillId="42" borderId="0" xfId="0" applyFont="1" applyFill="1" applyAlignment="1">
      <alignment horizontal="left"/>
    </xf>
    <xf numFmtId="0" fontId="6" fillId="42" borderId="11" xfId="0" applyFont="1" applyFill="1" applyBorder="1" applyAlignment="1">
      <alignment horizontal="left"/>
    </xf>
    <xf numFmtId="0" fontId="41" fillId="43" borderId="11" xfId="0" applyFont="1" applyFill="1" applyBorder="1" applyAlignment="1">
      <alignment horizontal="left"/>
    </xf>
    <xf numFmtId="0" fontId="0" fillId="43" borderId="13" xfId="0" applyFill="1" applyBorder="1"/>
    <xf numFmtId="0" fontId="0" fillId="43" borderId="12" xfId="0" applyFill="1" applyBorder="1"/>
    <xf numFmtId="0" fontId="0" fillId="43" borderId="11" xfId="0" applyFill="1" applyBorder="1"/>
    <xf numFmtId="0" fontId="55" fillId="43" borderId="0" xfId="0" applyFont="1" applyFill="1" applyAlignment="1">
      <alignment horizontal="left"/>
    </xf>
    <xf numFmtId="0" fontId="55" fillId="43" borderId="11" xfId="0" applyFont="1" applyFill="1" applyBorder="1" applyAlignment="1">
      <alignment horizontal="left"/>
    </xf>
    <xf numFmtId="0" fontId="48" fillId="43" borderId="11" xfId="0" applyFont="1" applyFill="1" applyBorder="1" applyAlignment="1">
      <alignment horizontal="left"/>
    </xf>
    <xf numFmtId="0" fontId="63" fillId="43" borderId="11" xfId="0" applyFont="1" applyFill="1" applyBorder="1"/>
    <xf numFmtId="4" fontId="0" fillId="43" borderId="11" xfId="0" applyNumberFormat="1" applyFill="1" applyBorder="1" applyAlignment="1">
      <alignment horizontal="left"/>
    </xf>
    <xf numFmtId="0" fontId="0" fillId="43" borderId="11" xfId="0" applyFill="1" applyBorder="1" applyAlignment="1">
      <alignment horizontal="left"/>
    </xf>
    <xf numFmtId="0" fontId="0" fillId="43" borderId="13" xfId="0" applyFill="1" applyBorder="1" applyAlignment="1">
      <alignment horizontal="left"/>
    </xf>
    <xf numFmtId="0" fontId="0" fillId="43" borderId="0" xfId="0" applyFill="1"/>
    <xf numFmtId="0" fontId="0" fillId="43" borderId="0" xfId="0" applyFill="1" applyAlignment="1">
      <alignment horizontal="left"/>
    </xf>
    <xf numFmtId="0" fontId="55" fillId="43" borderId="12" xfId="0" applyFont="1" applyFill="1" applyBorder="1" applyAlignment="1">
      <alignment horizontal="left"/>
    </xf>
    <xf numFmtId="49" fontId="6" fillId="43" borderId="11" xfId="0" applyNumberFormat="1" applyFont="1" applyFill="1" applyBorder="1" applyAlignment="1">
      <alignment horizontal="left"/>
    </xf>
    <xf numFmtId="0" fontId="41" fillId="44" borderId="11" xfId="0" applyFont="1" applyFill="1" applyBorder="1" applyAlignment="1">
      <alignment horizontal="left"/>
    </xf>
    <xf numFmtId="0" fontId="0" fillId="44" borderId="13" xfId="0" applyFill="1" applyBorder="1"/>
    <xf numFmtId="0" fontId="0" fillId="44" borderId="12" xfId="0" applyFill="1" applyBorder="1"/>
    <xf numFmtId="0" fontId="0" fillId="44" borderId="11" xfId="0" applyFill="1" applyBorder="1"/>
    <xf numFmtId="0" fontId="55" fillId="44" borderId="0" xfId="0" applyFont="1" applyFill="1" applyAlignment="1">
      <alignment horizontal="left"/>
    </xf>
    <xf numFmtId="0" fontId="55" fillId="44" borderId="11" xfId="0" applyFont="1" applyFill="1" applyBorder="1" applyAlignment="1">
      <alignment horizontal="left"/>
    </xf>
    <xf numFmtId="0" fontId="48" fillId="44" borderId="11" xfId="0" applyFont="1" applyFill="1" applyBorder="1" applyAlignment="1">
      <alignment horizontal="left"/>
    </xf>
    <xf numFmtId="0" fontId="0" fillId="44" borderId="11" xfId="0" applyFill="1" applyBorder="1" applyAlignment="1">
      <alignment horizontal="left"/>
    </xf>
    <xf numFmtId="4" fontId="0" fillId="44" borderId="11" xfId="0" applyNumberFormat="1" applyFill="1" applyBorder="1" applyAlignment="1">
      <alignment horizontal="left"/>
    </xf>
    <xf numFmtId="3" fontId="0" fillId="44" borderId="11" xfId="0" applyNumberFormat="1" applyFill="1" applyBorder="1" applyAlignment="1">
      <alignment horizontal="left"/>
    </xf>
    <xf numFmtId="0" fontId="0" fillId="44" borderId="0" xfId="0" applyFill="1"/>
    <xf numFmtId="0" fontId="0" fillId="44" borderId="0" xfId="0" applyFill="1" applyAlignment="1">
      <alignment horizontal="left"/>
    </xf>
    <xf numFmtId="0" fontId="55" fillId="44" borderId="12" xfId="0" applyFont="1" applyFill="1" applyBorder="1" applyAlignment="1">
      <alignment horizontal="left"/>
    </xf>
    <xf numFmtId="0" fontId="59" fillId="0" borderId="0" xfId="0" applyFont="1" applyAlignment="1">
      <alignment horizontal="left"/>
    </xf>
    <xf numFmtId="0" fontId="41" fillId="45" borderId="11" xfId="0" applyFont="1" applyFill="1" applyBorder="1" applyAlignment="1">
      <alignment horizontal="left"/>
    </xf>
    <xf numFmtId="0" fontId="0" fillId="45" borderId="13" xfId="0" applyFill="1" applyBorder="1"/>
    <xf numFmtId="0" fontId="0" fillId="45" borderId="12" xfId="0" applyFill="1" applyBorder="1"/>
    <xf numFmtId="0" fontId="0" fillId="45" borderId="11" xfId="0" applyFill="1" applyBorder="1"/>
    <xf numFmtId="0" fontId="55" fillId="45" borderId="11" xfId="0" applyFont="1" applyFill="1" applyBorder="1" applyAlignment="1">
      <alignment horizontal="left"/>
    </xf>
    <xf numFmtId="0" fontId="48" fillId="45" borderId="11" xfId="0" applyFont="1" applyFill="1" applyBorder="1" applyAlignment="1">
      <alignment horizontal="left"/>
    </xf>
    <xf numFmtId="0" fontId="0" fillId="45" borderId="11" xfId="0" applyFill="1" applyBorder="1" applyAlignment="1">
      <alignment horizontal="left"/>
    </xf>
    <xf numFmtId="0" fontId="0" fillId="45" borderId="0" xfId="0" applyFill="1" applyAlignment="1">
      <alignment horizontal="left"/>
    </xf>
    <xf numFmtId="4" fontId="0" fillId="45" borderId="11" xfId="0" applyNumberFormat="1" applyFill="1" applyBorder="1" applyAlignment="1">
      <alignment horizontal="left"/>
    </xf>
    <xf numFmtId="0" fontId="0" fillId="45" borderId="0" xfId="0" applyFill="1"/>
    <xf numFmtId="0" fontId="41" fillId="46" borderId="11" xfId="0" applyFont="1" applyFill="1" applyBorder="1" applyAlignment="1">
      <alignment horizontal="left"/>
    </xf>
    <xf numFmtId="0" fontId="0" fillId="46" borderId="13" xfId="0" applyFill="1" applyBorder="1"/>
    <xf numFmtId="0" fontId="0" fillId="46" borderId="12" xfId="0" applyFill="1" applyBorder="1"/>
    <xf numFmtId="0" fontId="0" fillId="46" borderId="11" xfId="0" applyFill="1" applyBorder="1"/>
    <xf numFmtId="0" fontId="55" fillId="46" borderId="12" xfId="0" applyFont="1" applyFill="1" applyBorder="1" applyAlignment="1">
      <alignment horizontal="left"/>
    </xf>
    <xf numFmtId="0" fontId="55" fillId="46" borderId="11" xfId="0" applyFont="1" applyFill="1" applyBorder="1" applyAlignment="1">
      <alignment horizontal="left"/>
    </xf>
    <xf numFmtId="0" fontId="48" fillId="46" borderId="11" xfId="0" applyFont="1" applyFill="1" applyBorder="1" applyAlignment="1">
      <alignment horizontal="left"/>
    </xf>
    <xf numFmtId="0" fontId="0" fillId="46" borderId="11" xfId="0" applyFill="1" applyBorder="1" applyAlignment="1">
      <alignment horizontal="left"/>
    </xf>
    <xf numFmtId="0" fontId="0" fillId="46" borderId="0" xfId="0" applyFill="1" applyAlignment="1">
      <alignment horizontal="left"/>
    </xf>
    <xf numFmtId="0" fontId="0" fillId="46" borderId="0" xfId="0" applyFill="1"/>
    <xf numFmtId="0" fontId="55" fillId="46" borderId="0" xfId="0" applyFont="1" applyFill="1" applyAlignment="1">
      <alignment horizontal="left"/>
    </xf>
    <xf numFmtId="0" fontId="59" fillId="46" borderId="11" xfId="0" applyFont="1" applyFill="1" applyBorder="1" applyAlignment="1">
      <alignment horizontal="left"/>
    </xf>
    <xf numFmtId="49" fontId="6" fillId="46" borderId="11" xfId="0" applyNumberFormat="1" applyFont="1" applyFill="1" applyBorder="1" applyAlignment="1">
      <alignment horizontal="left"/>
    </xf>
    <xf numFmtId="3" fontId="0" fillId="46" borderId="11" xfId="0" applyNumberFormat="1" applyFill="1" applyBorder="1" applyAlignment="1">
      <alignment horizontal="left"/>
    </xf>
    <xf numFmtId="0" fontId="55" fillId="46" borderId="11" xfId="0" applyFont="1" applyFill="1" applyBorder="1" applyAlignment="1">
      <alignment horizontal="left" vertical="top" wrapText="1"/>
    </xf>
    <xf numFmtId="0" fontId="55" fillId="46" borderId="11" xfId="0" applyFont="1" applyFill="1" applyBorder="1" applyAlignment="1">
      <alignment horizontal="left" vertical="top"/>
    </xf>
    <xf numFmtId="0" fontId="0" fillId="46" borderId="11" xfId="0" applyFill="1" applyBorder="1" applyAlignment="1">
      <alignment horizontal="left" vertical="top"/>
    </xf>
    <xf numFmtId="0" fontId="41" fillId="46" borderId="11" xfId="0" applyFont="1" applyFill="1" applyBorder="1" applyAlignment="1">
      <alignment horizontal="left" vertical="top"/>
    </xf>
    <xf numFmtId="0" fontId="48" fillId="46" borderId="11" xfId="0" applyFont="1" applyFill="1" applyBorder="1" applyAlignment="1">
      <alignment horizontal="left" vertical="top"/>
    </xf>
    <xf numFmtId="4" fontId="0" fillId="46" borderId="11" xfId="0" applyNumberFormat="1" applyFill="1" applyBorder="1" applyAlignment="1">
      <alignment horizontal="left" vertical="top"/>
    </xf>
    <xf numFmtId="0" fontId="41" fillId="46" borderId="11" xfId="0" applyFont="1" applyFill="1" applyBorder="1" applyAlignment="1">
      <alignment horizontal="left" vertical="top" wrapText="1"/>
    </xf>
    <xf numFmtId="0" fontId="48" fillId="46" borderId="11" xfId="0" applyFont="1" applyFill="1" applyBorder="1" applyAlignment="1">
      <alignment horizontal="left" vertical="top" wrapText="1"/>
    </xf>
    <xf numFmtId="0" fontId="59" fillId="38" borderId="11" xfId="0" applyFont="1" applyFill="1" applyBorder="1" applyAlignment="1">
      <alignment horizontal="left"/>
    </xf>
    <xf numFmtId="0" fontId="0" fillId="38" borderId="13" xfId="0" applyFill="1" applyBorder="1"/>
    <xf numFmtId="0" fontId="0" fillId="38" borderId="12" xfId="0" applyFill="1" applyBorder="1"/>
    <xf numFmtId="0" fontId="0" fillId="38" borderId="11" xfId="0" applyFill="1" applyBorder="1"/>
    <xf numFmtId="0" fontId="0" fillId="38" borderId="12" xfId="0" applyFill="1" applyBorder="1" applyAlignment="1">
      <alignment horizontal="left"/>
    </xf>
    <xf numFmtId="0" fontId="0" fillId="38" borderId="11" xfId="0" applyFill="1" applyBorder="1" applyAlignment="1">
      <alignment horizontal="left"/>
    </xf>
    <xf numFmtId="0" fontId="6" fillId="38" borderId="11" xfId="0" applyFont="1" applyFill="1" applyBorder="1" applyAlignment="1">
      <alignment horizontal="left"/>
    </xf>
    <xf numFmtId="0" fontId="48" fillId="38" borderId="11" xfId="0" applyFont="1" applyFill="1" applyBorder="1" applyAlignment="1">
      <alignment horizontal="left"/>
    </xf>
    <xf numFmtId="0" fontId="41" fillId="38" borderId="11" xfId="0" applyFont="1" applyFill="1" applyBorder="1" applyAlignment="1">
      <alignment horizontal="left"/>
    </xf>
    <xf numFmtId="1" fontId="41" fillId="38" borderId="11" xfId="0" applyNumberFormat="1" applyFont="1" applyFill="1" applyBorder="1" applyAlignment="1">
      <alignment horizontal="left"/>
    </xf>
    <xf numFmtId="0" fontId="0" fillId="38" borderId="0" xfId="0" applyFill="1"/>
    <xf numFmtId="0" fontId="0" fillId="38" borderId="0" xfId="0" applyFill="1" applyAlignment="1">
      <alignment horizontal="left"/>
    </xf>
    <xf numFmtId="0" fontId="55" fillId="38" borderId="11" xfId="0" applyFont="1" applyFill="1" applyBorder="1" applyAlignment="1">
      <alignment horizontal="left"/>
    </xf>
    <xf numFmtId="0" fontId="55" fillId="38" borderId="12" xfId="0" applyFont="1" applyFill="1" applyBorder="1" applyAlignment="1">
      <alignment horizontal="left"/>
    </xf>
    <xf numFmtId="49" fontId="6" fillId="38" borderId="11" xfId="0" applyNumberFormat="1" applyFont="1" applyFill="1" applyBorder="1" applyAlignment="1">
      <alignment horizontal="left"/>
    </xf>
    <xf numFmtId="0" fontId="60" fillId="38" borderId="12" xfId="0" applyFont="1" applyFill="1" applyBorder="1" applyAlignment="1">
      <alignment horizontal="left"/>
    </xf>
    <xf numFmtId="0" fontId="60" fillId="38" borderId="11" xfId="0" applyFont="1" applyFill="1" applyBorder="1" applyAlignment="1">
      <alignment horizontal="left"/>
    </xf>
    <xf numFmtId="0" fontId="61" fillId="38" borderId="11" xfId="0" applyFont="1" applyFill="1" applyBorder="1" applyAlignment="1">
      <alignment horizontal="left"/>
    </xf>
    <xf numFmtId="0" fontId="41" fillId="38" borderId="15" xfId="0" applyFont="1" applyFill="1" applyBorder="1" applyAlignment="1">
      <alignment horizontal="left"/>
    </xf>
    <xf numFmtId="0" fontId="0" fillId="38" borderId="16" xfId="0" applyFill="1" applyBorder="1"/>
    <xf numFmtId="0" fontId="0" fillId="38" borderId="20" xfId="0" applyFill="1" applyBorder="1"/>
    <xf numFmtId="0" fontId="55" fillId="38" borderId="16" xfId="0" applyFont="1" applyFill="1" applyBorder="1" applyAlignment="1">
      <alignment horizontal="left"/>
    </xf>
    <xf numFmtId="0" fontId="55" fillId="38" borderId="15" xfId="0" applyFont="1" applyFill="1" applyBorder="1" applyAlignment="1">
      <alignment horizontal="left"/>
    </xf>
    <xf numFmtId="0" fontId="0" fillId="38" borderId="15" xfId="0" applyFill="1" applyBorder="1" applyAlignment="1">
      <alignment horizontal="left"/>
    </xf>
    <xf numFmtId="0" fontId="58" fillId="37" borderId="15" xfId="0" applyFont="1" applyFill="1" applyBorder="1" applyAlignment="1">
      <alignment textRotation="45"/>
    </xf>
    <xf numFmtId="2" fontId="0" fillId="0" borderId="11" xfId="0" applyNumberFormat="1" applyBorder="1" applyAlignment="1">
      <alignment horizontal="left"/>
    </xf>
    <xf numFmtId="0" fontId="0" fillId="47" borderId="11" xfId="0" applyFill="1" applyBorder="1" applyAlignment="1">
      <alignment horizontal="left"/>
    </xf>
    <xf numFmtId="0" fontId="6" fillId="47" borderId="11" xfId="0" applyFont="1" applyFill="1" applyBorder="1" applyAlignment="1">
      <alignment horizontal="left"/>
    </xf>
    <xf numFmtId="49" fontId="6" fillId="47" borderId="11" xfId="0" applyNumberFormat="1" applyFont="1" applyFill="1" applyBorder="1" applyAlignment="1">
      <alignment horizontal="left"/>
    </xf>
    <xf numFmtId="0" fontId="65" fillId="0" borderId="11" xfId="0" applyFont="1" applyBorder="1" applyAlignment="1">
      <alignment horizontal="left"/>
    </xf>
    <xf numFmtId="0" fontId="55" fillId="39" borderId="11" xfId="0" applyFont="1" applyFill="1" applyBorder="1" applyAlignment="1">
      <alignment horizontal="left"/>
    </xf>
    <xf numFmtId="0" fontId="55" fillId="26" borderId="11" xfId="0" applyFont="1" applyFill="1" applyBorder="1" applyAlignment="1">
      <alignment horizontal="left"/>
    </xf>
    <xf numFmtId="1" fontId="41" fillId="0" borderId="11" xfId="0" applyNumberFormat="1" applyFont="1" applyBorder="1" applyAlignment="1">
      <alignment horizontal="left"/>
    </xf>
    <xf numFmtId="167" fontId="41" fillId="0" borderId="11" xfId="0" applyNumberFormat="1" applyFont="1" applyBorder="1" applyAlignment="1">
      <alignment horizontal="left"/>
    </xf>
    <xf numFmtId="2" fontId="41" fillId="0" borderId="11" xfId="0" applyNumberFormat="1" applyFont="1" applyBorder="1" applyAlignment="1">
      <alignment horizontal="left"/>
    </xf>
    <xf numFmtId="2" fontId="47" fillId="30" borderId="15" xfId="0" applyNumberFormat="1" applyFont="1" applyFill="1" applyBorder="1" applyAlignment="1">
      <alignment horizontal="center" textRotation="45"/>
    </xf>
    <xf numFmtId="2" fontId="41" fillId="0" borderId="11" xfId="0" applyNumberFormat="1" applyFont="1" applyBorder="1" applyAlignment="1">
      <alignment horizontal="center" vertical="center"/>
    </xf>
    <xf numFmtId="10" fontId="41" fillId="0" borderId="11" xfId="333" applyNumberFormat="1" applyFont="1" applyBorder="1" applyAlignment="1">
      <alignment horizontal="left"/>
    </xf>
    <xf numFmtId="1" fontId="41" fillId="40" borderId="11" xfId="0" applyNumberFormat="1" applyFont="1" applyFill="1" applyBorder="1" applyAlignment="1">
      <alignment horizontal="left"/>
    </xf>
    <xf numFmtId="1" fontId="41" fillId="41" borderId="11" xfId="0" applyNumberFormat="1" applyFont="1" applyFill="1" applyBorder="1" applyAlignment="1">
      <alignment horizontal="left"/>
    </xf>
    <xf numFmtId="1" fontId="0" fillId="41" borderId="11" xfId="0" applyNumberFormat="1" applyFill="1" applyBorder="1" applyAlignment="1">
      <alignment horizontal="left"/>
    </xf>
    <xf numFmtId="1" fontId="41" fillId="42" borderId="11" xfId="0" applyNumberFormat="1" applyFont="1" applyFill="1" applyBorder="1" applyAlignment="1">
      <alignment horizontal="left"/>
    </xf>
    <xf numFmtId="1" fontId="0" fillId="42" borderId="11" xfId="0" applyNumberFormat="1" applyFill="1" applyBorder="1" applyAlignment="1">
      <alignment horizontal="left"/>
    </xf>
    <xf numFmtId="1" fontId="41" fillId="43" borderId="11" xfId="0" applyNumberFormat="1" applyFont="1" applyFill="1" applyBorder="1" applyAlignment="1">
      <alignment horizontal="left"/>
    </xf>
    <xf numFmtId="1" fontId="0" fillId="44" borderId="11" xfId="0" applyNumberFormat="1" applyFill="1" applyBorder="1" applyAlignment="1">
      <alignment horizontal="left"/>
    </xf>
    <xf numFmtId="1" fontId="0" fillId="38" borderId="11" xfId="0" applyNumberFormat="1" applyFill="1" applyBorder="1" applyAlignment="1">
      <alignment horizontal="left"/>
    </xf>
    <xf numFmtId="1" fontId="41" fillId="38" borderId="15" xfId="0" applyNumberFormat="1" applyFont="1" applyFill="1" applyBorder="1" applyAlignment="1">
      <alignment horizontal="left"/>
    </xf>
    <xf numFmtId="1" fontId="41" fillId="46" borderId="11" xfId="0" applyNumberFormat="1" applyFont="1" applyFill="1" applyBorder="1" applyAlignment="1">
      <alignment horizontal="left"/>
    </xf>
    <xf numFmtId="1" fontId="41" fillId="45" borderId="11" xfId="0" applyNumberFormat="1" applyFont="1" applyFill="1" applyBorder="1" applyAlignment="1">
      <alignment horizontal="left"/>
    </xf>
    <xf numFmtId="1" fontId="0" fillId="46" borderId="11" xfId="0" applyNumberFormat="1" applyFill="1" applyBorder="1" applyAlignment="1">
      <alignment horizontal="left"/>
    </xf>
    <xf numFmtId="1" fontId="0" fillId="0" borderId="11" xfId="0" applyNumberFormat="1" applyBorder="1" applyAlignment="1">
      <alignment horizontal="left"/>
    </xf>
    <xf numFmtId="0" fontId="1" fillId="0" borderId="11" xfId="0" applyFont="1" applyBorder="1" applyAlignment="1">
      <alignment horizontal="left"/>
    </xf>
    <xf numFmtId="0" fontId="64" fillId="0" borderId="11" xfId="0" applyFont="1" applyBorder="1" applyAlignment="1">
      <alignment horizontal="left"/>
    </xf>
    <xf numFmtId="0" fontId="5" fillId="0" borderId="11" xfId="0" applyFont="1" applyBorder="1" applyAlignment="1">
      <alignment horizontal="left"/>
    </xf>
    <xf numFmtId="49" fontId="64" fillId="0" borderId="11" xfId="0" applyNumberFormat="1" applyFont="1" applyBorder="1" applyAlignment="1">
      <alignment horizontal="left"/>
    </xf>
    <xf numFmtId="0" fontId="55" fillId="47" borderId="11" xfId="0" applyFont="1" applyFill="1" applyBorder="1" applyAlignment="1">
      <alignment horizontal="left"/>
    </xf>
    <xf numFmtId="0" fontId="63" fillId="0" borderId="11" xfId="0" applyFont="1" applyBorder="1"/>
    <xf numFmtId="49" fontId="0" fillId="0" borderId="11" xfId="0" applyNumberFormat="1" applyBorder="1" applyAlignment="1">
      <alignment horizontal="left"/>
    </xf>
    <xf numFmtId="49" fontId="5" fillId="0" borderId="11" xfId="0" applyNumberFormat="1" applyFont="1" applyBorder="1" applyAlignment="1">
      <alignment horizontal="left"/>
    </xf>
    <xf numFmtId="0" fontId="0" fillId="0" borderId="11" xfId="0" applyBorder="1" applyAlignment="1">
      <alignment horizontal="left" wrapText="1"/>
    </xf>
    <xf numFmtId="49" fontId="0" fillId="47" borderId="11" xfId="0" applyNumberFormat="1" applyFill="1" applyBorder="1" applyAlignment="1">
      <alignment horizontal="left"/>
    </xf>
    <xf numFmtId="0" fontId="58" fillId="28" borderId="14" xfId="0" applyFont="1" applyFill="1" applyBorder="1" applyAlignment="1">
      <alignment horizontal="center" vertical="center"/>
    </xf>
    <xf numFmtId="0" fontId="58" fillId="28" borderId="17" xfId="0" applyFont="1" applyFill="1" applyBorder="1" applyAlignment="1">
      <alignment horizontal="center" vertical="center"/>
    </xf>
    <xf numFmtId="0" fontId="58" fillId="27" borderId="18" xfId="0" applyFont="1" applyFill="1" applyBorder="1" applyAlignment="1">
      <alignment horizontal="center"/>
    </xf>
    <xf numFmtId="0" fontId="58" fillId="27" borderId="0" xfId="0" applyFont="1" applyFill="1" applyAlignment="1">
      <alignment horizontal="center"/>
    </xf>
    <xf numFmtId="0" fontId="58" fillId="29" borderId="13" xfId="0" applyFont="1" applyFill="1" applyBorder="1" applyAlignment="1">
      <alignment horizontal="center"/>
    </xf>
    <xf numFmtId="0" fontId="58" fillId="29" borderId="9" xfId="0" applyFont="1" applyFill="1" applyBorder="1" applyAlignment="1">
      <alignment horizontal="center"/>
    </xf>
    <xf numFmtId="0" fontId="42" fillId="36" borderId="0" xfId="332" applyFont="1" applyFill="1" applyAlignment="1">
      <alignment horizontal="center" vertical="center"/>
    </xf>
    <xf numFmtId="0" fontId="6" fillId="0" borderId="18" xfId="0" applyFont="1" applyBorder="1" applyAlignment="1">
      <alignment horizontal="center"/>
    </xf>
    <xf numFmtId="0" fontId="6" fillId="0" borderId="0" xfId="0" applyFont="1" applyAlignment="1">
      <alignment horizontal="center"/>
    </xf>
    <xf numFmtId="0" fontId="47" fillId="28" borderId="14" xfId="0" applyFont="1" applyFill="1" applyBorder="1" applyAlignment="1">
      <alignment horizontal="center" vertical="center"/>
    </xf>
    <xf numFmtId="0" fontId="47" fillId="28" borderId="17" xfId="0" applyFont="1" applyFill="1" applyBorder="1" applyAlignment="1">
      <alignment horizontal="center" vertical="center"/>
    </xf>
    <xf numFmtId="0" fontId="47" fillId="27" borderId="18" xfId="0" applyFont="1" applyFill="1" applyBorder="1" applyAlignment="1">
      <alignment horizontal="center"/>
    </xf>
    <xf numFmtId="0" fontId="47" fillId="27" borderId="0" xfId="0" applyFont="1" applyFill="1" applyAlignment="1">
      <alignment horizontal="center"/>
    </xf>
    <xf numFmtId="0" fontId="47" fillId="29" borderId="13" xfId="0" applyFont="1" applyFill="1" applyBorder="1" applyAlignment="1">
      <alignment horizontal="center"/>
    </xf>
    <xf numFmtId="0" fontId="47" fillId="29" borderId="9" xfId="0" applyFont="1" applyFill="1" applyBorder="1" applyAlignment="1">
      <alignment horizontal="center"/>
    </xf>
    <xf numFmtId="0" fontId="47" fillId="31" borderId="13" xfId="0" applyFont="1" applyFill="1" applyBorder="1" applyAlignment="1">
      <alignment horizontal="center"/>
    </xf>
    <xf numFmtId="0" fontId="47" fillId="31" borderId="9" xfId="0" applyFont="1" applyFill="1" applyBorder="1" applyAlignment="1">
      <alignment horizontal="center"/>
    </xf>
    <xf numFmtId="0" fontId="47" fillId="32" borderId="13" xfId="0" applyFont="1" applyFill="1" applyBorder="1" applyAlignment="1">
      <alignment horizontal="center"/>
    </xf>
    <xf numFmtId="0" fontId="47" fillId="32" borderId="12" xfId="0" applyFont="1" applyFill="1" applyBorder="1" applyAlignment="1">
      <alignment horizontal="center"/>
    </xf>
    <xf numFmtId="0" fontId="44" fillId="28" borderId="13" xfId="0" applyFont="1" applyFill="1" applyBorder="1" applyAlignment="1">
      <alignment horizontal="center"/>
    </xf>
    <xf numFmtId="0" fontId="44" fillId="28" borderId="9" xfId="0" applyFont="1" applyFill="1" applyBorder="1" applyAlignment="1">
      <alignment horizontal="center"/>
    </xf>
    <xf numFmtId="0" fontId="44" fillId="28" borderId="12" xfId="0" applyFont="1" applyFill="1" applyBorder="1" applyAlignment="1">
      <alignment horizontal="center"/>
    </xf>
    <xf numFmtId="0" fontId="37" fillId="0" borderId="11" xfId="0" applyFont="1" applyBorder="1" applyAlignment="1">
      <alignment wrapText="1"/>
    </xf>
    <xf numFmtId="0" fontId="58" fillId="27" borderId="0" xfId="0" applyFont="1" applyFill="1" applyAlignment="1"/>
  </cellXfs>
  <cellStyles count="334">
    <cellStyle name="%" xfId="1" xr:uid="{00000000-0005-0000-0000-000000000000}"/>
    <cellStyle name="% 2" xfId="2" xr:uid="{00000000-0005-0000-0000-000001000000}"/>
    <cellStyle name="% 2 2" xfId="175" xr:uid="{00000000-0005-0000-0000-000002000000}"/>
    <cellStyle name="% 3" xfId="176" xr:uid="{00000000-0005-0000-0000-000003000000}"/>
    <cellStyle name="20% - Accent1 2" xfId="3" xr:uid="{00000000-0005-0000-0000-000004000000}"/>
    <cellStyle name="20% - Accent1 2 2" xfId="4" xr:uid="{00000000-0005-0000-0000-000005000000}"/>
    <cellStyle name="20% - Accent2 2" xfId="5" xr:uid="{00000000-0005-0000-0000-000006000000}"/>
    <cellStyle name="20% - Accent2 2 2" xfId="6" xr:uid="{00000000-0005-0000-0000-000007000000}"/>
    <cellStyle name="20% - Accent3 2" xfId="7" xr:uid="{00000000-0005-0000-0000-000008000000}"/>
    <cellStyle name="20% - Accent3 2 2" xfId="8" xr:uid="{00000000-0005-0000-0000-000009000000}"/>
    <cellStyle name="20% - Accent4 2" xfId="9" xr:uid="{00000000-0005-0000-0000-00000A000000}"/>
    <cellStyle name="20% - Accent4 2 2" xfId="10" xr:uid="{00000000-0005-0000-0000-00000B000000}"/>
    <cellStyle name="20% - Accent5 2" xfId="11" xr:uid="{00000000-0005-0000-0000-00000C000000}"/>
    <cellStyle name="20% - Accent5 2 2" xfId="12" xr:uid="{00000000-0005-0000-0000-00000D000000}"/>
    <cellStyle name="20% - Accent6 2" xfId="13" xr:uid="{00000000-0005-0000-0000-00000E000000}"/>
    <cellStyle name="20% - Accent6 2 2" xfId="14" xr:uid="{00000000-0005-0000-0000-00000F000000}"/>
    <cellStyle name="40% - Accent1 2" xfId="15" xr:uid="{00000000-0005-0000-0000-000010000000}"/>
    <cellStyle name="40% - Accent1 2 2" xfId="16" xr:uid="{00000000-0005-0000-0000-000011000000}"/>
    <cellStyle name="40% - Accent2 2" xfId="17" xr:uid="{00000000-0005-0000-0000-000012000000}"/>
    <cellStyle name="40% - Accent2 2 2" xfId="18" xr:uid="{00000000-0005-0000-0000-000013000000}"/>
    <cellStyle name="40% - Accent3 2" xfId="19" xr:uid="{00000000-0005-0000-0000-000014000000}"/>
    <cellStyle name="40% - Accent3 2 2" xfId="20" xr:uid="{00000000-0005-0000-0000-000015000000}"/>
    <cellStyle name="40% - Accent4 2" xfId="21" xr:uid="{00000000-0005-0000-0000-000016000000}"/>
    <cellStyle name="40% - Accent4 2 2" xfId="22" xr:uid="{00000000-0005-0000-0000-000017000000}"/>
    <cellStyle name="40% - Accent5 2" xfId="23" xr:uid="{00000000-0005-0000-0000-000018000000}"/>
    <cellStyle name="40% - Accent5 2 2" xfId="24" xr:uid="{00000000-0005-0000-0000-000019000000}"/>
    <cellStyle name="40% - Accent6 2" xfId="25" xr:uid="{00000000-0005-0000-0000-00001A000000}"/>
    <cellStyle name="40% - Accent6 2 2" xfId="26" xr:uid="{00000000-0005-0000-0000-00001B000000}"/>
    <cellStyle name="Accent1 2" xfId="27" xr:uid="{00000000-0005-0000-0000-00001C000000}"/>
    <cellStyle name="Accent3 2" xfId="28" xr:uid="{00000000-0005-0000-0000-00001D000000}"/>
    <cellStyle name="Accent5 2" xfId="29" xr:uid="{00000000-0005-0000-0000-00001E000000}"/>
    <cellStyle name="active" xfId="30" xr:uid="{00000000-0005-0000-0000-00001F000000}"/>
    <cellStyle name="active 2" xfId="31" xr:uid="{00000000-0005-0000-0000-000020000000}"/>
    <cellStyle name="Bad 2" xfId="32" xr:uid="{00000000-0005-0000-0000-000021000000}"/>
    <cellStyle name="Calculation 2" xfId="33" xr:uid="{00000000-0005-0000-0000-000022000000}"/>
    <cellStyle name="Check Cell 2" xfId="34" xr:uid="{00000000-0005-0000-0000-000023000000}"/>
    <cellStyle name="Comma 2" xfId="35" xr:uid="{00000000-0005-0000-0000-000024000000}"/>
    <cellStyle name="Comma 2 2" xfId="36" xr:uid="{00000000-0005-0000-0000-000025000000}"/>
    <cellStyle name="Comma 2 2 2" xfId="177" xr:uid="{00000000-0005-0000-0000-000026000000}"/>
    <cellStyle name="Comma 3" xfId="37" xr:uid="{00000000-0005-0000-0000-000027000000}"/>
    <cellStyle name="Comma 3 2" xfId="38" xr:uid="{00000000-0005-0000-0000-000028000000}"/>
    <cellStyle name="Comma 3 2 2" xfId="39" xr:uid="{00000000-0005-0000-0000-000029000000}"/>
    <cellStyle name="Comma 3 3" xfId="178" xr:uid="{00000000-0005-0000-0000-00002A000000}"/>
    <cellStyle name="Comma 4" xfId="40" xr:uid="{00000000-0005-0000-0000-00002B000000}"/>
    <cellStyle name="Comma 5" xfId="41" xr:uid="{00000000-0005-0000-0000-00002C000000}"/>
    <cellStyle name="Comma 6" xfId="42" xr:uid="{00000000-0005-0000-0000-00002D000000}"/>
    <cellStyle name="Currency 2" xfId="43" xr:uid="{00000000-0005-0000-0000-00002E000000}"/>
    <cellStyle name="Currency 2 2" xfId="44" xr:uid="{00000000-0005-0000-0000-00002F000000}"/>
    <cellStyle name="Currency 2 3" xfId="45" xr:uid="{00000000-0005-0000-0000-000030000000}"/>
    <cellStyle name="Currency 2 3 2" xfId="179" xr:uid="{00000000-0005-0000-0000-000031000000}"/>
    <cellStyle name="Currency 2 4" xfId="46" xr:uid="{00000000-0005-0000-0000-000032000000}"/>
    <cellStyle name="Currency 2 5" xfId="180" xr:uid="{00000000-0005-0000-0000-000033000000}"/>
    <cellStyle name="Currency 3" xfId="47" xr:uid="{00000000-0005-0000-0000-000034000000}"/>
    <cellStyle name="Currency 4" xfId="48" xr:uid="{00000000-0005-0000-0000-000035000000}"/>
    <cellStyle name="Currency 5" xfId="49" xr:uid="{00000000-0005-0000-0000-000036000000}"/>
    <cellStyle name="Currency 5 2" xfId="181" xr:uid="{00000000-0005-0000-0000-000037000000}"/>
    <cellStyle name="Currency 6" xfId="50" xr:uid="{00000000-0005-0000-0000-000038000000}"/>
    <cellStyle name="Currency 6 2" xfId="182" xr:uid="{00000000-0005-0000-0000-000039000000}"/>
    <cellStyle name="Currency 6 2 2" xfId="183" xr:uid="{00000000-0005-0000-0000-00003A000000}"/>
    <cellStyle name="Currency 6 3" xfId="184" xr:uid="{00000000-0005-0000-0000-00003B000000}"/>
    <cellStyle name="date" xfId="51" xr:uid="{00000000-0005-0000-0000-00003C000000}"/>
    <cellStyle name="Excel Built-in Normal" xfId="327" xr:uid="{00000000-0005-0000-0000-00003D000000}"/>
    <cellStyle name="Explanatory Text 2" xfId="52" xr:uid="{00000000-0005-0000-0000-00003E000000}"/>
    <cellStyle name="Good 2" xfId="53" xr:uid="{00000000-0005-0000-0000-00003F000000}"/>
    <cellStyle name="Grey" xfId="54" xr:uid="{00000000-0005-0000-0000-000040000000}"/>
    <cellStyle name="Grey 2" xfId="55" xr:uid="{00000000-0005-0000-0000-000041000000}"/>
    <cellStyle name="Header1" xfId="56" xr:uid="{00000000-0005-0000-0000-000042000000}"/>
    <cellStyle name="Header2" xfId="57" xr:uid="{00000000-0005-0000-0000-000043000000}"/>
    <cellStyle name="Heading 1 2" xfId="58" xr:uid="{00000000-0005-0000-0000-000044000000}"/>
    <cellStyle name="Heading 2 2" xfId="59" xr:uid="{00000000-0005-0000-0000-000045000000}"/>
    <cellStyle name="Heading 3 2" xfId="60" xr:uid="{00000000-0005-0000-0000-000046000000}"/>
    <cellStyle name="Heading 4 2" xfId="61" xr:uid="{00000000-0005-0000-0000-000047000000}"/>
    <cellStyle name="Input [yellow]" xfId="62" xr:uid="{00000000-0005-0000-0000-000048000000}"/>
    <cellStyle name="Input [yellow] 2" xfId="63" xr:uid="{00000000-0005-0000-0000-000049000000}"/>
    <cellStyle name="Input 2" xfId="64" xr:uid="{00000000-0005-0000-0000-00004A000000}"/>
    <cellStyle name="Linked Cell 2" xfId="65" xr:uid="{00000000-0005-0000-0000-00004B000000}"/>
    <cellStyle name="Neutral 2" xfId="66" xr:uid="{00000000-0005-0000-0000-00004C000000}"/>
    <cellStyle name="Normal" xfId="0" builtinId="0"/>
    <cellStyle name="Normal - Style1" xfId="67" xr:uid="{00000000-0005-0000-0000-00004E000000}"/>
    <cellStyle name="Normal - Style1 2" xfId="68" xr:uid="{00000000-0005-0000-0000-00004F000000}"/>
    <cellStyle name="Normal - Style1 2 2" xfId="185" xr:uid="{00000000-0005-0000-0000-000050000000}"/>
    <cellStyle name="Normal - Style1 3" xfId="186" xr:uid="{00000000-0005-0000-0000-000051000000}"/>
    <cellStyle name="Normal 10" xfId="69" xr:uid="{00000000-0005-0000-0000-000052000000}"/>
    <cellStyle name="Normal 10 2" xfId="70" xr:uid="{00000000-0005-0000-0000-000053000000}"/>
    <cellStyle name="Normal 10 2 2" xfId="187" xr:uid="{00000000-0005-0000-0000-000054000000}"/>
    <cellStyle name="Normal 11" xfId="71" xr:uid="{00000000-0005-0000-0000-000055000000}"/>
    <cellStyle name="Normal 11 2" xfId="72" xr:uid="{00000000-0005-0000-0000-000056000000}"/>
    <cellStyle name="Normal 11 2 2" xfId="73" xr:uid="{00000000-0005-0000-0000-000057000000}"/>
    <cellStyle name="Normal 11 2 2 2" xfId="74" xr:uid="{00000000-0005-0000-0000-000058000000}"/>
    <cellStyle name="Normal 11 2 3" xfId="75" xr:uid="{00000000-0005-0000-0000-000059000000}"/>
    <cellStyle name="Normal 11 3" xfId="76" xr:uid="{00000000-0005-0000-0000-00005A000000}"/>
    <cellStyle name="Normal 11 3 2" xfId="77" xr:uid="{00000000-0005-0000-0000-00005B000000}"/>
    <cellStyle name="Normal 12" xfId="78" xr:uid="{00000000-0005-0000-0000-00005C000000}"/>
    <cellStyle name="Normal 12 2" xfId="79" xr:uid="{00000000-0005-0000-0000-00005D000000}"/>
    <cellStyle name="Normal 12 3" xfId="188" xr:uid="{00000000-0005-0000-0000-00005E000000}"/>
    <cellStyle name="Normal 13" xfId="80" xr:uid="{00000000-0005-0000-0000-00005F000000}"/>
    <cellStyle name="Normal 13 2" xfId="189" xr:uid="{00000000-0005-0000-0000-000060000000}"/>
    <cellStyle name="Normal 13 2 2" xfId="190" xr:uid="{00000000-0005-0000-0000-000061000000}"/>
    <cellStyle name="Normal 13 3" xfId="191" xr:uid="{00000000-0005-0000-0000-000062000000}"/>
    <cellStyle name="Normal 14" xfId="81" xr:uid="{00000000-0005-0000-0000-000063000000}"/>
    <cellStyle name="Normal 15" xfId="82" xr:uid="{00000000-0005-0000-0000-000064000000}"/>
    <cellStyle name="Normal 15 2" xfId="83" xr:uid="{00000000-0005-0000-0000-000065000000}"/>
    <cellStyle name="Normal 16" xfId="84" xr:uid="{00000000-0005-0000-0000-000066000000}"/>
    <cellStyle name="Normal 16 2" xfId="85" xr:uid="{00000000-0005-0000-0000-000067000000}"/>
    <cellStyle name="Normal 17" xfId="86" xr:uid="{00000000-0005-0000-0000-000068000000}"/>
    <cellStyle name="Normal 17 2" xfId="87" xr:uid="{00000000-0005-0000-0000-000069000000}"/>
    <cellStyle name="Normal 18" xfId="88" xr:uid="{00000000-0005-0000-0000-00006A000000}"/>
    <cellStyle name="Normal 18 2" xfId="192" xr:uid="{00000000-0005-0000-0000-00006B000000}"/>
    <cellStyle name="Normal 19" xfId="89" xr:uid="{00000000-0005-0000-0000-00006C000000}"/>
    <cellStyle name="Normal 19 2" xfId="193" xr:uid="{00000000-0005-0000-0000-00006D000000}"/>
    <cellStyle name="Normal 19 2 2" xfId="194" xr:uid="{00000000-0005-0000-0000-00006E000000}"/>
    <cellStyle name="Normal 19 3" xfId="195" xr:uid="{00000000-0005-0000-0000-00006F000000}"/>
    <cellStyle name="Normal 2" xfId="90" xr:uid="{00000000-0005-0000-0000-000070000000}"/>
    <cellStyle name="Normal 2 10 15" xfId="329" xr:uid="{00000000-0005-0000-0000-000071000000}"/>
    <cellStyle name="Normal 2 2" xfId="91" xr:uid="{00000000-0005-0000-0000-000072000000}"/>
    <cellStyle name="Normal 2 2 2" xfId="92" xr:uid="{00000000-0005-0000-0000-000073000000}"/>
    <cellStyle name="Normal 2 2 2 13" xfId="330" xr:uid="{00000000-0005-0000-0000-000074000000}"/>
    <cellStyle name="Normal 2 2 2 2" xfId="196" xr:uid="{00000000-0005-0000-0000-000075000000}"/>
    <cellStyle name="Normal 2 3" xfId="93" xr:uid="{00000000-0005-0000-0000-000076000000}"/>
    <cellStyle name="Normal 2 3 2" xfId="197" xr:uid="{00000000-0005-0000-0000-000077000000}"/>
    <cellStyle name="Normal 2 4" xfId="94" xr:uid="{00000000-0005-0000-0000-000078000000}"/>
    <cellStyle name="Normal 2 4 16" xfId="331" xr:uid="{00000000-0005-0000-0000-000079000000}"/>
    <cellStyle name="Normal 20" xfId="95" xr:uid="{00000000-0005-0000-0000-00007A000000}"/>
    <cellStyle name="Normal 20 2" xfId="198" xr:uid="{00000000-0005-0000-0000-00007B000000}"/>
    <cellStyle name="Normal 20 2 2" xfId="199" xr:uid="{00000000-0005-0000-0000-00007C000000}"/>
    <cellStyle name="Normal 20 3" xfId="200" xr:uid="{00000000-0005-0000-0000-00007D000000}"/>
    <cellStyle name="Normal 21" xfId="96" xr:uid="{00000000-0005-0000-0000-00007E000000}"/>
    <cellStyle name="Normal 21 2" xfId="201" xr:uid="{00000000-0005-0000-0000-00007F000000}"/>
    <cellStyle name="Normal 21 2 2" xfId="202" xr:uid="{00000000-0005-0000-0000-000080000000}"/>
    <cellStyle name="Normal 21 3" xfId="203" xr:uid="{00000000-0005-0000-0000-000081000000}"/>
    <cellStyle name="Normal 22" xfId="97" xr:uid="{00000000-0005-0000-0000-000082000000}"/>
    <cellStyle name="Normal 22 2" xfId="204" xr:uid="{00000000-0005-0000-0000-000083000000}"/>
    <cellStyle name="Normal 22 2 2" xfId="205" xr:uid="{00000000-0005-0000-0000-000084000000}"/>
    <cellStyle name="Normal 22 3" xfId="206" xr:uid="{00000000-0005-0000-0000-000085000000}"/>
    <cellStyle name="Normal 23" xfId="98" xr:uid="{00000000-0005-0000-0000-000086000000}"/>
    <cellStyle name="Normal 23 2" xfId="207" xr:uid="{00000000-0005-0000-0000-000087000000}"/>
    <cellStyle name="Normal 23 2 2" xfId="208" xr:uid="{00000000-0005-0000-0000-000088000000}"/>
    <cellStyle name="Normal 23 3" xfId="209" xr:uid="{00000000-0005-0000-0000-000089000000}"/>
    <cellStyle name="Normal 24" xfId="99" xr:uid="{00000000-0005-0000-0000-00008A000000}"/>
    <cellStyle name="Normal 24 2" xfId="210" xr:uid="{00000000-0005-0000-0000-00008B000000}"/>
    <cellStyle name="Normal 24 2 2" xfId="211" xr:uid="{00000000-0005-0000-0000-00008C000000}"/>
    <cellStyle name="Normal 24 3" xfId="212" xr:uid="{00000000-0005-0000-0000-00008D000000}"/>
    <cellStyle name="Normal 25" xfId="100" xr:uid="{00000000-0005-0000-0000-00008E000000}"/>
    <cellStyle name="Normal 25 2" xfId="213" xr:uid="{00000000-0005-0000-0000-00008F000000}"/>
    <cellStyle name="Normal 25 2 2" xfId="214" xr:uid="{00000000-0005-0000-0000-000090000000}"/>
    <cellStyle name="Normal 25 3" xfId="215" xr:uid="{00000000-0005-0000-0000-000091000000}"/>
    <cellStyle name="Normal 26" xfId="101" xr:uid="{00000000-0005-0000-0000-000092000000}"/>
    <cellStyle name="Normal 26 2" xfId="216" xr:uid="{00000000-0005-0000-0000-000093000000}"/>
    <cellStyle name="Normal 26 2 2" xfId="217" xr:uid="{00000000-0005-0000-0000-000094000000}"/>
    <cellStyle name="Normal 26 3" xfId="218" xr:uid="{00000000-0005-0000-0000-000095000000}"/>
    <cellStyle name="Normal 27" xfId="102" xr:uid="{00000000-0005-0000-0000-000096000000}"/>
    <cellStyle name="Normal 27 2" xfId="219" xr:uid="{00000000-0005-0000-0000-000097000000}"/>
    <cellStyle name="Normal 27 2 2" xfId="220" xr:uid="{00000000-0005-0000-0000-000098000000}"/>
    <cellStyle name="Normal 27 3" xfId="221" xr:uid="{00000000-0005-0000-0000-000099000000}"/>
    <cellStyle name="Normal 28" xfId="103" xr:uid="{00000000-0005-0000-0000-00009A000000}"/>
    <cellStyle name="Normal 28 2" xfId="222" xr:uid="{00000000-0005-0000-0000-00009B000000}"/>
    <cellStyle name="Normal 28 2 2" xfId="223" xr:uid="{00000000-0005-0000-0000-00009C000000}"/>
    <cellStyle name="Normal 28 3" xfId="224" xr:uid="{00000000-0005-0000-0000-00009D000000}"/>
    <cellStyle name="Normal 29" xfId="104" xr:uid="{00000000-0005-0000-0000-00009E000000}"/>
    <cellStyle name="Normal 29 2" xfId="225" xr:uid="{00000000-0005-0000-0000-00009F000000}"/>
    <cellStyle name="Normal 29 2 2" xfId="226" xr:uid="{00000000-0005-0000-0000-0000A0000000}"/>
    <cellStyle name="Normal 29 3" xfId="227" xr:uid="{00000000-0005-0000-0000-0000A1000000}"/>
    <cellStyle name="Normal 3" xfId="105" xr:uid="{00000000-0005-0000-0000-0000A2000000}"/>
    <cellStyle name="Normal 3 2" xfId="106" xr:uid="{00000000-0005-0000-0000-0000A3000000}"/>
    <cellStyle name="Normal 3 2 2" xfId="107" xr:uid="{00000000-0005-0000-0000-0000A4000000}"/>
    <cellStyle name="Normal 3 2 2 2" xfId="228" xr:uid="{00000000-0005-0000-0000-0000A5000000}"/>
    <cellStyle name="Normal 3 2 3" xfId="108" xr:uid="{00000000-0005-0000-0000-0000A6000000}"/>
    <cellStyle name="Normal 3 2 3 2" xfId="229" xr:uid="{00000000-0005-0000-0000-0000A7000000}"/>
    <cellStyle name="Normal 3 3" xfId="109" xr:uid="{00000000-0005-0000-0000-0000A8000000}"/>
    <cellStyle name="Normal 3 3 2" xfId="110" xr:uid="{00000000-0005-0000-0000-0000A9000000}"/>
    <cellStyle name="Normal 3 3 2 2" xfId="230" xr:uid="{00000000-0005-0000-0000-0000AA000000}"/>
    <cellStyle name="Normal 3 4" xfId="111" xr:uid="{00000000-0005-0000-0000-0000AB000000}"/>
    <cellStyle name="Normal 3 4 2" xfId="231" xr:uid="{00000000-0005-0000-0000-0000AC000000}"/>
    <cellStyle name="Normal 30" xfId="112" xr:uid="{00000000-0005-0000-0000-0000AD000000}"/>
    <cellStyle name="Normal 30 2" xfId="232" xr:uid="{00000000-0005-0000-0000-0000AE000000}"/>
    <cellStyle name="Normal 30 2 2" xfId="233" xr:uid="{00000000-0005-0000-0000-0000AF000000}"/>
    <cellStyle name="Normal 30 3" xfId="234" xr:uid="{00000000-0005-0000-0000-0000B0000000}"/>
    <cellStyle name="Normal 31" xfId="113" xr:uid="{00000000-0005-0000-0000-0000B1000000}"/>
    <cellStyle name="Normal 31 2" xfId="235" xr:uid="{00000000-0005-0000-0000-0000B2000000}"/>
    <cellStyle name="Normal 31 2 2" xfId="236" xr:uid="{00000000-0005-0000-0000-0000B3000000}"/>
    <cellStyle name="Normal 31 3" xfId="237" xr:uid="{00000000-0005-0000-0000-0000B4000000}"/>
    <cellStyle name="Normal 32" xfId="114" xr:uid="{00000000-0005-0000-0000-0000B5000000}"/>
    <cellStyle name="Normal 32 2" xfId="238" xr:uid="{00000000-0005-0000-0000-0000B6000000}"/>
    <cellStyle name="Normal 32 2 2" xfId="239" xr:uid="{00000000-0005-0000-0000-0000B7000000}"/>
    <cellStyle name="Normal 32 3" xfId="240" xr:uid="{00000000-0005-0000-0000-0000B8000000}"/>
    <cellStyle name="Normal 33" xfId="115" xr:uid="{00000000-0005-0000-0000-0000B9000000}"/>
    <cellStyle name="Normal 33 2" xfId="241" xr:uid="{00000000-0005-0000-0000-0000BA000000}"/>
    <cellStyle name="Normal 33 2 2" xfId="242" xr:uid="{00000000-0005-0000-0000-0000BB000000}"/>
    <cellStyle name="Normal 33 3" xfId="243" xr:uid="{00000000-0005-0000-0000-0000BC000000}"/>
    <cellStyle name="Normal 34" xfId="116" xr:uid="{00000000-0005-0000-0000-0000BD000000}"/>
    <cellStyle name="Normal 34 2" xfId="244" xr:uid="{00000000-0005-0000-0000-0000BE000000}"/>
    <cellStyle name="Normal 34 2 2" xfId="245" xr:uid="{00000000-0005-0000-0000-0000BF000000}"/>
    <cellStyle name="Normal 34 3" xfId="246" xr:uid="{00000000-0005-0000-0000-0000C0000000}"/>
    <cellStyle name="Normal 35" xfId="117" xr:uid="{00000000-0005-0000-0000-0000C1000000}"/>
    <cellStyle name="Normal 35 2" xfId="247" xr:uid="{00000000-0005-0000-0000-0000C2000000}"/>
    <cellStyle name="Normal 35 2 2" xfId="248" xr:uid="{00000000-0005-0000-0000-0000C3000000}"/>
    <cellStyle name="Normal 35 3" xfId="249" xr:uid="{00000000-0005-0000-0000-0000C4000000}"/>
    <cellStyle name="Normal 36" xfId="118" xr:uid="{00000000-0005-0000-0000-0000C5000000}"/>
    <cellStyle name="Normal 36 2" xfId="250" xr:uid="{00000000-0005-0000-0000-0000C6000000}"/>
    <cellStyle name="Normal 36 2 2" xfId="251" xr:uid="{00000000-0005-0000-0000-0000C7000000}"/>
    <cellStyle name="Normal 36 3" xfId="252" xr:uid="{00000000-0005-0000-0000-0000C8000000}"/>
    <cellStyle name="Normal 37" xfId="119" xr:uid="{00000000-0005-0000-0000-0000C9000000}"/>
    <cellStyle name="Normal 37 2" xfId="253" xr:uid="{00000000-0005-0000-0000-0000CA000000}"/>
    <cellStyle name="Normal 37 2 2" xfId="254" xr:uid="{00000000-0005-0000-0000-0000CB000000}"/>
    <cellStyle name="Normal 37 3" xfId="255" xr:uid="{00000000-0005-0000-0000-0000CC000000}"/>
    <cellStyle name="Normal 38" xfId="120" xr:uid="{00000000-0005-0000-0000-0000CD000000}"/>
    <cellStyle name="Normal 38 2" xfId="256" xr:uid="{00000000-0005-0000-0000-0000CE000000}"/>
    <cellStyle name="Normal 38 2 2" xfId="257" xr:uid="{00000000-0005-0000-0000-0000CF000000}"/>
    <cellStyle name="Normal 38 3" xfId="258" xr:uid="{00000000-0005-0000-0000-0000D0000000}"/>
    <cellStyle name="Normal 39" xfId="121" xr:uid="{00000000-0005-0000-0000-0000D1000000}"/>
    <cellStyle name="Normal 39 2" xfId="259" xr:uid="{00000000-0005-0000-0000-0000D2000000}"/>
    <cellStyle name="Normal 39 2 2" xfId="260" xr:uid="{00000000-0005-0000-0000-0000D3000000}"/>
    <cellStyle name="Normal 39 3" xfId="261" xr:uid="{00000000-0005-0000-0000-0000D4000000}"/>
    <cellStyle name="Normal 4" xfId="122" xr:uid="{00000000-0005-0000-0000-0000D5000000}"/>
    <cellStyle name="Normal 4 2" xfId="123" xr:uid="{00000000-0005-0000-0000-0000D6000000}"/>
    <cellStyle name="Normal 4 2 2" xfId="124" xr:uid="{00000000-0005-0000-0000-0000D7000000}"/>
    <cellStyle name="Normal 4 2 2 2" xfId="125" xr:uid="{00000000-0005-0000-0000-0000D8000000}"/>
    <cellStyle name="Normal 4 2 2 2 2" xfId="126" xr:uid="{00000000-0005-0000-0000-0000D9000000}"/>
    <cellStyle name="Normal 4 2 2 3" xfId="127" xr:uid="{00000000-0005-0000-0000-0000DA000000}"/>
    <cellStyle name="Normal 4 2 3" xfId="128" xr:uid="{00000000-0005-0000-0000-0000DB000000}"/>
    <cellStyle name="Normal 4 2 3 2" xfId="129" xr:uid="{00000000-0005-0000-0000-0000DC000000}"/>
    <cellStyle name="Normal 4 2 4" xfId="262" xr:uid="{00000000-0005-0000-0000-0000DD000000}"/>
    <cellStyle name="Normal 4 3" xfId="130" xr:uid="{00000000-0005-0000-0000-0000DE000000}"/>
    <cellStyle name="Normal 4 3 2" xfId="131" xr:uid="{00000000-0005-0000-0000-0000DF000000}"/>
    <cellStyle name="Normal 4 3 2 2" xfId="132" xr:uid="{00000000-0005-0000-0000-0000E0000000}"/>
    <cellStyle name="Normal 4 3 3" xfId="133" xr:uid="{00000000-0005-0000-0000-0000E1000000}"/>
    <cellStyle name="Normal 4 4" xfId="134" xr:uid="{00000000-0005-0000-0000-0000E2000000}"/>
    <cellStyle name="Normal 4 4 2" xfId="135" xr:uid="{00000000-0005-0000-0000-0000E3000000}"/>
    <cellStyle name="Normal 4 5" xfId="136" xr:uid="{00000000-0005-0000-0000-0000E4000000}"/>
    <cellStyle name="Normal 4 6" xfId="263" xr:uid="{00000000-0005-0000-0000-0000E5000000}"/>
    <cellStyle name="Normal 40" xfId="137" xr:uid="{00000000-0005-0000-0000-0000E6000000}"/>
    <cellStyle name="Normal 40 2" xfId="264" xr:uid="{00000000-0005-0000-0000-0000E7000000}"/>
    <cellStyle name="Normal 40 2 2" xfId="265" xr:uid="{00000000-0005-0000-0000-0000E8000000}"/>
    <cellStyle name="Normal 40 3" xfId="266" xr:uid="{00000000-0005-0000-0000-0000E9000000}"/>
    <cellStyle name="Normal 41" xfId="138" xr:uid="{00000000-0005-0000-0000-0000EA000000}"/>
    <cellStyle name="Normal 41 2" xfId="267" xr:uid="{00000000-0005-0000-0000-0000EB000000}"/>
    <cellStyle name="Normal 41 2 2" xfId="268" xr:uid="{00000000-0005-0000-0000-0000EC000000}"/>
    <cellStyle name="Normal 41 3" xfId="269" xr:uid="{00000000-0005-0000-0000-0000ED000000}"/>
    <cellStyle name="Normal 42" xfId="139" xr:uid="{00000000-0005-0000-0000-0000EE000000}"/>
    <cellStyle name="Normal 42 2" xfId="270" xr:uid="{00000000-0005-0000-0000-0000EF000000}"/>
    <cellStyle name="Normal 42 2 2" xfId="271" xr:uid="{00000000-0005-0000-0000-0000F0000000}"/>
    <cellStyle name="Normal 42 3" xfId="272" xr:uid="{00000000-0005-0000-0000-0000F1000000}"/>
    <cellStyle name="Normal 43" xfId="140" xr:uid="{00000000-0005-0000-0000-0000F2000000}"/>
    <cellStyle name="Normal 43 2" xfId="273" xr:uid="{00000000-0005-0000-0000-0000F3000000}"/>
    <cellStyle name="Normal 43 2 2" xfId="274" xr:uid="{00000000-0005-0000-0000-0000F4000000}"/>
    <cellStyle name="Normal 43 3" xfId="275" xr:uid="{00000000-0005-0000-0000-0000F5000000}"/>
    <cellStyle name="Normal 44" xfId="141" xr:uid="{00000000-0005-0000-0000-0000F6000000}"/>
    <cellStyle name="Normal 44 2" xfId="276" xr:uid="{00000000-0005-0000-0000-0000F7000000}"/>
    <cellStyle name="Normal 44 2 2" xfId="277" xr:uid="{00000000-0005-0000-0000-0000F8000000}"/>
    <cellStyle name="Normal 44 3" xfId="278" xr:uid="{00000000-0005-0000-0000-0000F9000000}"/>
    <cellStyle name="Normal 45" xfId="142" xr:uid="{00000000-0005-0000-0000-0000FA000000}"/>
    <cellStyle name="Normal 45 2" xfId="279" xr:uid="{00000000-0005-0000-0000-0000FB000000}"/>
    <cellStyle name="Normal 45 2 2" xfId="280" xr:uid="{00000000-0005-0000-0000-0000FC000000}"/>
    <cellStyle name="Normal 45 3" xfId="281" xr:uid="{00000000-0005-0000-0000-0000FD000000}"/>
    <cellStyle name="Normal 46" xfId="143" xr:uid="{00000000-0005-0000-0000-0000FE000000}"/>
    <cellStyle name="Normal 46 2" xfId="282" xr:uid="{00000000-0005-0000-0000-0000FF000000}"/>
    <cellStyle name="Normal 46 2 2" xfId="283" xr:uid="{00000000-0005-0000-0000-000000010000}"/>
    <cellStyle name="Normal 46 3" xfId="284" xr:uid="{00000000-0005-0000-0000-000001010000}"/>
    <cellStyle name="Normal 47" xfId="144" xr:uid="{00000000-0005-0000-0000-000002010000}"/>
    <cellStyle name="Normal 47 2" xfId="285" xr:uid="{00000000-0005-0000-0000-000003010000}"/>
    <cellStyle name="Normal 47 2 2" xfId="286" xr:uid="{00000000-0005-0000-0000-000004010000}"/>
    <cellStyle name="Normal 47 3" xfId="287" xr:uid="{00000000-0005-0000-0000-000005010000}"/>
    <cellStyle name="Normal 48" xfId="145" xr:uid="{00000000-0005-0000-0000-000006010000}"/>
    <cellStyle name="Normal 49" xfId="288" xr:uid="{00000000-0005-0000-0000-000007010000}"/>
    <cellStyle name="Normal 5" xfId="146" xr:uid="{00000000-0005-0000-0000-000008010000}"/>
    <cellStyle name="Normal 5 2" xfId="147" xr:uid="{00000000-0005-0000-0000-000009010000}"/>
    <cellStyle name="Normal 5 3" xfId="148" xr:uid="{00000000-0005-0000-0000-00000A010000}"/>
    <cellStyle name="Normal 5 4" xfId="289" xr:uid="{00000000-0005-0000-0000-00000B010000}"/>
    <cellStyle name="Normal 50" xfId="290" xr:uid="{00000000-0005-0000-0000-00000C010000}"/>
    <cellStyle name="Normal 51" xfId="291" xr:uid="{00000000-0005-0000-0000-00000D010000}"/>
    <cellStyle name="Normal 51 2" xfId="292" xr:uid="{00000000-0005-0000-0000-00000E010000}"/>
    <cellStyle name="Normal 52" xfId="293" xr:uid="{00000000-0005-0000-0000-00000F010000}"/>
    <cellStyle name="Normal 53" xfId="294" xr:uid="{00000000-0005-0000-0000-000010010000}"/>
    <cellStyle name="Normal 54" xfId="295" xr:uid="{00000000-0005-0000-0000-000011010000}"/>
    <cellStyle name="Normal 55" xfId="296" xr:uid="{00000000-0005-0000-0000-000012010000}"/>
    <cellStyle name="Normal 56" xfId="297" xr:uid="{00000000-0005-0000-0000-000013010000}"/>
    <cellStyle name="Normal 57" xfId="298" xr:uid="{00000000-0005-0000-0000-000014010000}"/>
    <cellStyle name="Normal 58" xfId="299" xr:uid="{00000000-0005-0000-0000-000015010000}"/>
    <cellStyle name="Normal 59" xfId="300" xr:uid="{00000000-0005-0000-0000-000016010000}"/>
    <cellStyle name="Normal 6" xfId="149" xr:uid="{00000000-0005-0000-0000-000017010000}"/>
    <cellStyle name="Normal 6 2" xfId="150" xr:uid="{00000000-0005-0000-0000-000018010000}"/>
    <cellStyle name="Normal 60" xfId="301" xr:uid="{00000000-0005-0000-0000-000019010000}"/>
    <cellStyle name="Normal 61" xfId="302" xr:uid="{00000000-0005-0000-0000-00001A010000}"/>
    <cellStyle name="Normal 62" xfId="303" xr:uid="{00000000-0005-0000-0000-00001B010000}"/>
    <cellStyle name="Normal 63" xfId="304" xr:uid="{00000000-0005-0000-0000-00001C010000}"/>
    <cellStyle name="Normal 64" xfId="305" xr:uid="{00000000-0005-0000-0000-00001D010000}"/>
    <cellStyle name="Normal 65" xfId="306" xr:uid="{00000000-0005-0000-0000-00001E010000}"/>
    <cellStyle name="Normal 66" xfId="328" xr:uid="{00000000-0005-0000-0000-00001F010000}"/>
    <cellStyle name="Normal 67" xfId="332" xr:uid="{00000000-0005-0000-0000-000020010000}"/>
    <cellStyle name="Normal 7" xfId="151" xr:uid="{00000000-0005-0000-0000-000021010000}"/>
    <cellStyle name="Normal 8" xfId="152" xr:uid="{00000000-0005-0000-0000-000022010000}"/>
    <cellStyle name="Normal 9" xfId="153" xr:uid="{00000000-0005-0000-0000-000023010000}"/>
    <cellStyle name="Normal 9 2" xfId="154" xr:uid="{00000000-0005-0000-0000-000024010000}"/>
    <cellStyle name="Note 2" xfId="155" xr:uid="{00000000-0005-0000-0000-000025010000}"/>
    <cellStyle name="Note 2 2" xfId="156" xr:uid="{00000000-0005-0000-0000-000026010000}"/>
    <cellStyle name="Note 2 2 2" xfId="157" xr:uid="{00000000-0005-0000-0000-000027010000}"/>
    <cellStyle name="Note 2 3" xfId="158" xr:uid="{00000000-0005-0000-0000-000028010000}"/>
    <cellStyle name="nr_label" xfId="159" xr:uid="{00000000-0005-0000-0000-000029010000}"/>
    <cellStyle name="Output 2" xfId="160" xr:uid="{00000000-0005-0000-0000-00002A010000}"/>
    <cellStyle name="Percent" xfId="333" builtinId="5"/>
    <cellStyle name="Percent [2]" xfId="161" xr:uid="{00000000-0005-0000-0000-00002B010000}"/>
    <cellStyle name="Percent [2] 2" xfId="162" xr:uid="{00000000-0005-0000-0000-00002C010000}"/>
    <cellStyle name="Percent [2] 2 2" xfId="307" xr:uid="{00000000-0005-0000-0000-00002D010000}"/>
    <cellStyle name="Percent [2] 3" xfId="308" xr:uid="{00000000-0005-0000-0000-00002E010000}"/>
    <cellStyle name="Percent 10" xfId="309" xr:uid="{00000000-0005-0000-0000-00002F010000}"/>
    <cellStyle name="Percent 11" xfId="310" xr:uid="{00000000-0005-0000-0000-000030010000}"/>
    <cellStyle name="Percent 12" xfId="311" xr:uid="{00000000-0005-0000-0000-000031010000}"/>
    <cellStyle name="Percent 13" xfId="312" xr:uid="{00000000-0005-0000-0000-000032010000}"/>
    <cellStyle name="Percent 14" xfId="313" xr:uid="{00000000-0005-0000-0000-000033010000}"/>
    <cellStyle name="Percent 15" xfId="314" xr:uid="{00000000-0005-0000-0000-000034010000}"/>
    <cellStyle name="Percent 16" xfId="315" xr:uid="{00000000-0005-0000-0000-000035010000}"/>
    <cellStyle name="Percent 17" xfId="316" xr:uid="{00000000-0005-0000-0000-000036010000}"/>
    <cellStyle name="Percent 18" xfId="317" xr:uid="{00000000-0005-0000-0000-000037010000}"/>
    <cellStyle name="Percent 19" xfId="318" xr:uid="{00000000-0005-0000-0000-000038010000}"/>
    <cellStyle name="Percent 2" xfId="163" xr:uid="{00000000-0005-0000-0000-000039010000}"/>
    <cellStyle name="Percent 2 2" xfId="164" xr:uid="{00000000-0005-0000-0000-00003A010000}"/>
    <cellStyle name="Percent 2 2 2" xfId="165" xr:uid="{00000000-0005-0000-0000-00003B010000}"/>
    <cellStyle name="Percent 2 3" xfId="166" xr:uid="{00000000-0005-0000-0000-00003C010000}"/>
    <cellStyle name="Percent 2 3 2" xfId="319" xr:uid="{00000000-0005-0000-0000-00003D010000}"/>
    <cellStyle name="Percent 3" xfId="167" xr:uid="{00000000-0005-0000-0000-00003E010000}"/>
    <cellStyle name="Percent 4" xfId="168" xr:uid="{00000000-0005-0000-0000-00003F010000}"/>
    <cellStyle name="Percent 5" xfId="169" xr:uid="{00000000-0005-0000-0000-000040010000}"/>
    <cellStyle name="Percent 5 2" xfId="320" xr:uid="{00000000-0005-0000-0000-000041010000}"/>
    <cellStyle name="Percent 5 2 2" xfId="321" xr:uid="{00000000-0005-0000-0000-000042010000}"/>
    <cellStyle name="Percent 5 3" xfId="322" xr:uid="{00000000-0005-0000-0000-000043010000}"/>
    <cellStyle name="Percent 6" xfId="170" xr:uid="{00000000-0005-0000-0000-000044010000}"/>
    <cellStyle name="Percent 6 2" xfId="323" xr:uid="{00000000-0005-0000-0000-000045010000}"/>
    <cellStyle name="Percent 7" xfId="324" xr:uid="{00000000-0005-0000-0000-000046010000}"/>
    <cellStyle name="Percent 8" xfId="325" xr:uid="{00000000-0005-0000-0000-000047010000}"/>
    <cellStyle name="Percent 9" xfId="326" xr:uid="{00000000-0005-0000-0000-000048010000}"/>
    <cellStyle name="PSChar" xfId="171" xr:uid="{00000000-0005-0000-0000-000049010000}"/>
    <cellStyle name="Title 2" xfId="172" xr:uid="{00000000-0005-0000-0000-00004A010000}"/>
    <cellStyle name="Total 2" xfId="173" xr:uid="{00000000-0005-0000-0000-00004B010000}"/>
    <cellStyle name="Warning Text 2" xfId="174" xr:uid="{00000000-0005-0000-0000-00004C010000}"/>
  </cellStyles>
  <dxfs count="0"/>
  <tableStyles count="0" defaultTableStyle="TableStyleMedium9" defaultPivotStyle="PivotStyleLight16"/>
  <colors>
    <mruColors>
      <color rgb="FFFFFFCC"/>
      <color rgb="FFCD6969"/>
      <color rgb="FFFFCCCC"/>
      <color rgb="FF0082DA"/>
      <color rgb="FF7D5F9F"/>
      <color rgb="FF040910"/>
      <color rgb="FF923432"/>
      <color rgb="FFD48482"/>
      <color rgb="FFCB6967"/>
      <color rgb="FF0066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23</xdr:row>
      <xdr:rowOff>0</xdr:rowOff>
    </xdr:from>
    <xdr:to>
      <xdr:col>4</xdr:col>
      <xdr:colOff>304800</xdr:colOff>
      <xdr:row>24</xdr:row>
      <xdr:rowOff>123825</xdr:rowOff>
    </xdr:to>
    <xdr:sp macro="" textlink="">
      <xdr:nvSpPr>
        <xdr:cNvPr id="1026" name="AutoShape 2">
          <a:extLst>
            <a:ext uri="{FF2B5EF4-FFF2-40B4-BE49-F238E27FC236}">
              <a16:creationId xmlns:a16="http://schemas.microsoft.com/office/drawing/2014/main" id="{251C3336-6C8B-0027-2997-64293F577B2E}"/>
            </a:ext>
          </a:extLst>
        </xdr:cNvPr>
        <xdr:cNvSpPr>
          <a:spLocks noChangeAspect="1" noChangeArrowheads="1"/>
        </xdr:cNvSpPr>
      </xdr:nvSpPr>
      <xdr:spPr bwMode="auto">
        <a:xfrm>
          <a:off x="2743200" y="41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23</xdr:row>
      <xdr:rowOff>0</xdr:rowOff>
    </xdr:from>
    <xdr:to>
      <xdr:col>5</xdr:col>
      <xdr:colOff>304800</xdr:colOff>
      <xdr:row>24</xdr:row>
      <xdr:rowOff>123825</xdr:rowOff>
    </xdr:to>
    <xdr:sp macro="" textlink="">
      <xdr:nvSpPr>
        <xdr:cNvPr id="1027" name="AutoShape 3" descr="Click here or press enter to go to homepage">
          <a:extLst>
            <a:ext uri="{FF2B5EF4-FFF2-40B4-BE49-F238E27FC236}">
              <a16:creationId xmlns:a16="http://schemas.microsoft.com/office/drawing/2014/main" id="{DFC77D29-A566-7020-AD09-D1EDABD228AF}"/>
            </a:ext>
          </a:extLst>
        </xdr:cNvPr>
        <xdr:cNvSpPr>
          <a:spLocks noChangeAspect="1" noChangeArrowheads="1"/>
        </xdr:cNvSpPr>
      </xdr:nvSpPr>
      <xdr:spPr bwMode="auto">
        <a:xfrm>
          <a:off x="3429000" y="41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24"/>
  <sheetViews>
    <sheetView workbookViewId="0"/>
  </sheetViews>
  <sheetFormatPr defaultColWidth="9" defaultRowHeight="14.1"/>
  <cols>
    <col min="1" max="16384" width="9" style="14"/>
  </cols>
  <sheetData>
    <row r="2" spans="1:12" ht="15" customHeight="1">
      <c r="B2" s="243" t="s">
        <v>0</v>
      </c>
      <c r="C2" s="243"/>
      <c r="D2" s="243"/>
      <c r="E2" s="243"/>
      <c r="F2" s="243"/>
      <c r="G2" s="243"/>
      <c r="H2" s="243"/>
      <c r="I2" s="243"/>
      <c r="J2" s="243"/>
      <c r="K2" s="15"/>
      <c r="L2" s="15"/>
    </row>
    <row r="3" spans="1:12" ht="15" customHeight="1">
      <c r="B3" s="243"/>
      <c r="C3" s="243"/>
      <c r="D3" s="243"/>
      <c r="E3" s="243"/>
      <c r="F3" s="243"/>
      <c r="G3" s="243"/>
      <c r="H3" s="243"/>
      <c r="I3" s="243"/>
      <c r="J3" s="243"/>
      <c r="K3" s="15"/>
      <c r="L3" s="15"/>
    </row>
    <row r="4" spans="1:12" ht="15" customHeight="1">
      <c r="B4" s="243"/>
      <c r="C4" s="243"/>
      <c r="D4" s="243"/>
      <c r="E4" s="243"/>
      <c r="F4" s="243"/>
      <c r="G4" s="243"/>
      <c r="H4" s="243"/>
      <c r="I4" s="243"/>
      <c r="J4" s="243"/>
      <c r="K4" s="15"/>
      <c r="L4" s="15"/>
    </row>
    <row r="6" spans="1:12">
      <c r="B6" s="14" t="s">
        <v>1</v>
      </c>
    </row>
    <row r="7" spans="1:12">
      <c r="A7" s="14">
        <v>1</v>
      </c>
      <c r="B7" s="14" t="s">
        <v>2</v>
      </c>
    </row>
    <row r="8" spans="1:12">
      <c r="A8" s="14">
        <v>2</v>
      </c>
      <c r="B8" s="14" t="s">
        <v>3</v>
      </c>
    </row>
    <row r="9" spans="1:12">
      <c r="A9" s="14">
        <v>3</v>
      </c>
      <c r="B9" s="14" t="s">
        <v>4</v>
      </c>
    </row>
    <row r="10" spans="1:12">
      <c r="A10" s="14">
        <v>4</v>
      </c>
      <c r="B10" s="14" t="s">
        <v>5</v>
      </c>
    </row>
    <row r="11" spans="1:12">
      <c r="A11" s="14">
        <v>5</v>
      </c>
      <c r="B11" s="14" t="s">
        <v>1</v>
      </c>
    </row>
    <row r="12" spans="1:12">
      <c r="A12" s="14">
        <v>6</v>
      </c>
      <c r="B12" s="14" t="s">
        <v>6</v>
      </c>
    </row>
    <row r="13" spans="1:12">
      <c r="A13" s="14">
        <v>7</v>
      </c>
      <c r="B13" s="14" t="s">
        <v>7</v>
      </c>
    </row>
    <row r="14" spans="1:12">
      <c r="A14" s="14">
        <v>8</v>
      </c>
      <c r="B14" s="14" t="s">
        <v>8</v>
      </c>
    </row>
    <row r="15" spans="1:12">
      <c r="A15" s="14">
        <v>9</v>
      </c>
      <c r="B15" s="14" t="s">
        <v>9</v>
      </c>
    </row>
    <row r="16" spans="1:12">
      <c r="A16" s="14">
        <v>10</v>
      </c>
      <c r="B16" s="14" t="s">
        <v>10</v>
      </c>
    </row>
    <row r="22" spans="3:6">
      <c r="C22"/>
    </row>
    <row r="24" spans="3:6">
      <c r="E24"/>
      <c r="F24"/>
    </row>
  </sheetData>
  <mergeCells count="1">
    <mergeCell ref="B2:J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84E14-25F9-4E8E-A379-1FF9A89AA82E}">
  <dimension ref="A1:BW172"/>
  <sheetViews>
    <sheetView showRowColHeaders="0" showZeros="0" zoomScale="85" zoomScaleNormal="85" workbookViewId="0">
      <selection activeCell="AJ3" sqref="AJ3:AV3"/>
    </sheetView>
  </sheetViews>
  <sheetFormatPr defaultColWidth="15.375" defaultRowHeight="13.5"/>
  <cols>
    <col min="1" max="1" width="7.625" style="1" bestFit="1" customWidth="1"/>
    <col min="2" max="2" width="23" style="1" customWidth="1"/>
    <col min="3" max="3" width="12.5" style="1" customWidth="1"/>
    <col min="4" max="4" width="37.625" style="1" customWidth="1"/>
    <col min="5" max="5" width="17" style="1" customWidth="1"/>
    <col min="6" max="6" width="24.125" style="1" customWidth="1"/>
    <col min="7" max="8" width="7.875" style="1" customWidth="1"/>
    <col min="9" max="12" width="6.125" style="1" customWidth="1"/>
    <col min="13" max="13" width="7.125" style="1" customWidth="1"/>
    <col min="14" max="14" width="7.625" style="1" customWidth="1"/>
    <col min="15" max="16" width="6.125" style="2" customWidth="1"/>
    <col min="17" max="20" width="8.125" style="2" customWidth="1"/>
    <col min="21" max="23" width="7.125" style="1" customWidth="1"/>
    <col min="24" max="24" width="8.125" style="1" customWidth="1"/>
    <col min="25" max="25" width="8.625" style="1" customWidth="1"/>
    <col min="26" max="26" width="8.875" style="1" customWidth="1"/>
    <col min="27" max="27" width="9" style="1" customWidth="1"/>
    <col min="28" max="28" width="6.625" style="1" customWidth="1"/>
    <col min="29" max="29" width="8" style="1" customWidth="1"/>
    <col min="30" max="31" width="7" style="1" customWidth="1"/>
    <col min="32" max="33" width="7.375" style="1" customWidth="1"/>
    <col min="34" max="34" width="7.125" style="1" customWidth="1"/>
    <col min="35" max="35" width="7.625" style="1" customWidth="1"/>
    <col min="36" max="36" width="6.875" style="1" customWidth="1"/>
    <col min="37" max="37" width="6.125" style="1" customWidth="1"/>
    <col min="38" max="38" width="7.625" style="1" customWidth="1"/>
    <col min="39" max="40" width="6.875" style="1" customWidth="1"/>
    <col min="41" max="41" width="7.5" style="1" customWidth="1"/>
    <col min="42" max="42" width="7.625" style="1" customWidth="1"/>
    <col min="43" max="44" width="8.375" style="1" customWidth="1"/>
    <col min="45" max="45" width="7.875" style="1" customWidth="1"/>
    <col min="46" max="46" width="6.875" style="1" customWidth="1"/>
    <col min="47" max="50" width="6.375" style="1" customWidth="1"/>
    <col min="51" max="51" width="10.125" style="1" customWidth="1"/>
    <col min="52" max="52" width="7.5" style="1" customWidth="1"/>
    <col min="53" max="53" width="6.875" style="1" customWidth="1"/>
    <col min="54" max="55" width="5.5" style="1" customWidth="1"/>
    <col min="56" max="56" width="6.875" style="1" customWidth="1"/>
    <col min="57" max="57" width="6.375" style="1" customWidth="1"/>
    <col min="58" max="58" width="6.125" style="1" customWidth="1"/>
    <col min="59" max="59" width="6.875" style="1" customWidth="1"/>
    <col min="60" max="60" width="6.5" style="1" customWidth="1"/>
    <col min="61" max="61" width="7.375" style="1" customWidth="1"/>
    <col min="62" max="62" width="8.875" style="1" customWidth="1"/>
    <col min="63" max="64" width="9.125" style="1" customWidth="1"/>
    <col min="65" max="66" width="9.875" style="1" bestFit="1" customWidth="1"/>
    <col min="67" max="67" width="7.375" style="1" customWidth="1"/>
    <col min="68" max="68" width="7.875" style="1" customWidth="1"/>
    <col min="69" max="69" width="9.875" style="1" bestFit="1" customWidth="1"/>
    <col min="70" max="16384" width="15.375" style="1"/>
  </cols>
  <sheetData>
    <row r="1" spans="1:75" ht="14.1">
      <c r="A1" s="246" t="s">
        <v>11</v>
      </c>
      <c r="B1" s="248" t="s">
        <v>12</v>
      </c>
      <c r="C1" s="249"/>
      <c r="D1" s="249"/>
      <c r="E1" s="249"/>
      <c r="F1" s="249"/>
      <c r="G1" s="249"/>
      <c r="H1" s="249"/>
      <c r="I1" s="249"/>
      <c r="J1" s="249"/>
      <c r="K1" s="249"/>
      <c r="L1" s="249"/>
      <c r="M1" s="249"/>
      <c r="N1" s="249"/>
      <c r="O1" s="249"/>
      <c r="P1" s="249"/>
      <c r="Q1" s="249"/>
      <c r="R1" s="249"/>
      <c r="S1" s="249"/>
      <c r="T1" s="249"/>
      <c r="U1" s="249"/>
      <c r="V1" s="249"/>
      <c r="W1" s="249"/>
      <c r="X1" s="249"/>
      <c r="Y1" s="249"/>
      <c r="Z1" s="249"/>
      <c r="AA1" s="249"/>
      <c r="AB1" s="249"/>
      <c r="AC1" s="249"/>
      <c r="AD1" s="249"/>
      <c r="AE1" s="249"/>
      <c r="AF1" s="249"/>
      <c r="AG1" s="249"/>
      <c r="AH1" s="249"/>
      <c r="AI1" s="249"/>
      <c r="AJ1" s="250" t="s">
        <v>13</v>
      </c>
      <c r="AK1" s="251"/>
      <c r="AL1" s="251"/>
      <c r="AM1" s="251"/>
      <c r="AN1" s="251"/>
      <c r="AO1" s="251"/>
      <c r="AP1" s="251"/>
      <c r="AQ1" s="251"/>
      <c r="AR1" s="251"/>
      <c r="AS1" s="251"/>
      <c r="AT1" s="251"/>
      <c r="AU1" s="251"/>
      <c r="AV1" s="251"/>
      <c r="AW1" s="251"/>
      <c r="AX1" s="251"/>
      <c r="AY1" s="251"/>
      <c r="AZ1" s="251"/>
      <c r="BA1" s="251"/>
      <c r="BB1" s="252" t="s">
        <v>14</v>
      </c>
      <c r="BC1" s="253"/>
      <c r="BD1" s="253"/>
      <c r="BE1" s="253"/>
      <c r="BF1" s="253"/>
      <c r="BG1" s="253"/>
      <c r="BH1" s="253"/>
      <c r="BI1" s="253"/>
      <c r="BJ1" s="254" t="s">
        <v>15</v>
      </c>
      <c r="BK1" s="255"/>
      <c r="BL1" s="69"/>
      <c r="BM1" s="244" t="s">
        <v>16</v>
      </c>
      <c r="BN1" s="245"/>
      <c r="BO1" s="245"/>
      <c r="BP1" s="245"/>
      <c r="BQ1" s="245"/>
    </row>
    <row r="2" spans="1:75" s="4" customFormat="1" ht="165.75" customHeight="1">
      <c r="A2" s="247"/>
      <c r="B2" s="32" t="s">
        <v>17</v>
      </c>
      <c r="C2" s="40" t="s">
        <v>18</v>
      </c>
      <c r="D2" s="33" t="s">
        <v>19</v>
      </c>
      <c r="E2" s="33" t="s">
        <v>20</v>
      </c>
      <c r="F2" s="33" t="s">
        <v>21</v>
      </c>
      <c r="G2" s="45" t="s">
        <v>22</v>
      </c>
      <c r="H2" s="45" t="s">
        <v>23</v>
      </c>
      <c r="I2" s="45" t="s">
        <v>24</v>
      </c>
      <c r="J2" s="35" t="s">
        <v>25</v>
      </c>
      <c r="K2" s="45" t="s">
        <v>26</v>
      </c>
      <c r="L2" s="45" t="s">
        <v>27</v>
      </c>
      <c r="M2" s="45" t="s">
        <v>28</v>
      </c>
      <c r="N2" s="35" t="s">
        <v>29</v>
      </c>
      <c r="O2" s="45" t="s">
        <v>30</v>
      </c>
      <c r="P2" s="35" t="s">
        <v>31</v>
      </c>
      <c r="Q2" s="45" t="s">
        <v>32</v>
      </c>
      <c r="R2" s="45" t="s">
        <v>33</v>
      </c>
      <c r="S2" s="35" t="s">
        <v>34</v>
      </c>
      <c r="T2" s="45" t="s">
        <v>35</v>
      </c>
      <c r="U2" s="45" t="s">
        <v>36</v>
      </c>
      <c r="V2" s="45" t="s">
        <v>37</v>
      </c>
      <c r="W2" s="45" t="s">
        <v>38</v>
      </c>
      <c r="X2" s="45" t="s">
        <v>39</v>
      </c>
      <c r="Y2" s="45" t="s">
        <v>40</v>
      </c>
      <c r="Z2" s="35" t="s">
        <v>41</v>
      </c>
      <c r="AA2" s="35" t="s">
        <v>42</v>
      </c>
      <c r="AB2" s="35" t="s">
        <v>43</v>
      </c>
      <c r="AC2" s="35" t="s">
        <v>44</v>
      </c>
      <c r="AD2" s="35" t="s">
        <v>45</v>
      </c>
      <c r="AE2" s="35" t="s">
        <v>46</v>
      </c>
      <c r="AF2" s="35" t="s">
        <v>47</v>
      </c>
      <c r="AG2" s="35" t="s">
        <v>48</v>
      </c>
      <c r="AH2" s="45" t="s">
        <v>49</v>
      </c>
      <c r="AI2" s="35" t="s">
        <v>50</v>
      </c>
      <c r="AJ2" s="211" t="s">
        <v>51</v>
      </c>
      <c r="AK2" s="36" t="s">
        <v>52</v>
      </c>
      <c r="AL2" s="211" t="s">
        <v>53</v>
      </c>
      <c r="AM2" s="36" t="s">
        <v>54</v>
      </c>
      <c r="AN2" s="36" t="s">
        <v>55</v>
      </c>
      <c r="AO2" s="36" t="s">
        <v>56</v>
      </c>
      <c r="AP2" s="36" t="s">
        <v>57</v>
      </c>
      <c r="AQ2" s="36" t="s">
        <v>58</v>
      </c>
      <c r="AR2" s="36" t="s">
        <v>59</v>
      </c>
      <c r="AS2" s="36" t="s">
        <v>60</v>
      </c>
      <c r="AT2" s="211" t="s">
        <v>61</v>
      </c>
      <c r="AU2" s="36" t="s">
        <v>62</v>
      </c>
      <c r="AV2" s="36" t="s">
        <v>63</v>
      </c>
      <c r="AW2" s="36" t="s">
        <v>64</v>
      </c>
      <c r="AX2" s="36" t="s">
        <v>65</v>
      </c>
      <c r="AY2" s="36" t="s">
        <v>66</v>
      </c>
      <c r="AZ2" s="37" t="s">
        <v>67</v>
      </c>
      <c r="BA2" s="37" t="s">
        <v>68</v>
      </c>
      <c r="BB2" s="45" t="s">
        <v>69</v>
      </c>
      <c r="BC2" s="45" t="s">
        <v>70</v>
      </c>
      <c r="BD2" s="45" t="s">
        <v>71</v>
      </c>
      <c r="BE2" s="45" t="s">
        <v>72</v>
      </c>
      <c r="BF2" s="45" t="s">
        <v>73</v>
      </c>
      <c r="BG2" s="45" t="s">
        <v>74</v>
      </c>
      <c r="BH2" s="45" t="s">
        <v>75</v>
      </c>
      <c r="BI2" s="46" t="s">
        <v>76</v>
      </c>
      <c r="BJ2" s="62" t="s">
        <v>77</v>
      </c>
      <c r="BK2" s="63" t="s">
        <v>50</v>
      </c>
      <c r="BL2" s="63" t="s">
        <v>78</v>
      </c>
      <c r="BM2" s="64" t="s">
        <v>79</v>
      </c>
      <c r="BN2" s="64" t="s">
        <v>80</v>
      </c>
      <c r="BO2" s="47" t="s">
        <v>81</v>
      </c>
      <c r="BP2" s="47" t="s">
        <v>82</v>
      </c>
      <c r="BQ2" s="47" t="s">
        <v>83</v>
      </c>
      <c r="BR2" s="47" t="s">
        <v>84</v>
      </c>
      <c r="BS2" s="47" t="s">
        <v>85</v>
      </c>
      <c r="BT2" s="47" t="s">
        <v>86</v>
      </c>
      <c r="BU2" s="66" t="s">
        <v>87</v>
      </c>
      <c r="BV2" s="4" t="s">
        <v>88</v>
      </c>
    </row>
    <row r="3" spans="1:75" ht="14.45">
      <c r="A3" s="17">
        <f t="shared" ref="A3:A50" si="0">ROW()-2</f>
        <v>1</v>
      </c>
      <c r="B3" s="61" t="s">
        <v>89</v>
      </c>
      <c r="C3" s="52" t="s">
        <v>90</v>
      </c>
      <c r="D3" s="61" t="s">
        <v>91</v>
      </c>
      <c r="E3" s="5" t="s">
        <v>92</v>
      </c>
      <c r="F3" s="49" t="s">
        <v>93</v>
      </c>
      <c r="G3" s="34" t="s">
        <v>94</v>
      </c>
      <c r="H3" s="34" t="s">
        <v>95</v>
      </c>
      <c r="I3" s="34" t="s">
        <v>96</v>
      </c>
      <c r="J3" s="34"/>
      <c r="K3" s="34" t="s">
        <v>97</v>
      </c>
      <c r="L3" s="34" t="s">
        <v>98</v>
      </c>
      <c r="M3" s="34" t="s">
        <v>99</v>
      </c>
      <c r="N3" s="34"/>
      <c r="O3" s="34" t="s">
        <v>100</v>
      </c>
      <c r="P3" s="34"/>
      <c r="Q3" s="34" t="s">
        <v>101</v>
      </c>
      <c r="R3" s="17" t="s">
        <v>102</v>
      </c>
      <c r="S3" s="17"/>
      <c r="T3" s="18" t="s">
        <v>102</v>
      </c>
      <c r="U3" s="17" t="s">
        <v>103</v>
      </c>
      <c r="V3" s="17" t="s">
        <v>104</v>
      </c>
      <c r="W3" s="17" t="s">
        <v>105</v>
      </c>
      <c r="X3" s="17" t="s">
        <v>104</v>
      </c>
      <c r="Y3" s="17" t="s">
        <v>106</v>
      </c>
      <c r="Z3" s="17"/>
      <c r="AA3" s="17"/>
      <c r="AB3" s="17"/>
      <c r="AC3" s="17"/>
      <c r="AD3" s="17"/>
      <c r="AE3" s="17"/>
      <c r="AF3" s="17"/>
      <c r="AG3" s="17"/>
      <c r="AH3" s="17" t="s">
        <v>107</v>
      </c>
      <c r="AI3" s="17"/>
      <c r="AJ3" s="212">
        <v>2.3333333333333335</v>
      </c>
      <c r="AK3" s="213">
        <v>0</v>
      </c>
      <c r="AL3" s="210">
        <v>8.3333333333333329E-2</v>
      </c>
      <c r="AM3" s="210">
        <v>0.33333333333333331</v>
      </c>
      <c r="AN3" s="209">
        <v>2.5140920781893001</v>
      </c>
      <c r="AO3" s="17"/>
      <c r="AP3" s="17">
        <v>0</v>
      </c>
      <c r="AQ3" s="17">
        <v>0</v>
      </c>
      <c r="AR3" s="17">
        <v>0</v>
      </c>
      <c r="AS3" s="17">
        <v>0</v>
      </c>
      <c r="AT3" s="210">
        <v>0.5</v>
      </c>
      <c r="AU3" s="209">
        <v>15.485324074074075</v>
      </c>
      <c r="AV3" s="208">
        <v>6</v>
      </c>
      <c r="AW3" s="17"/>
      <c r="AX3" s="17"/>
      <c r="AY3" s="17"/>
      <c r="AZ3" s="17"/>
      <c r="BA3" s="17"/>
      <c r="BB3" s="17"/>
      <c r="BC3" s="17" t="s">
        <v>102</v>
      </c>
      <c r="BD3" s="17" t="s">
        <v>108</v>
      </c>
      <c r="BE3" s="17" t="s">
        <v>108</v>
      </c>
      <c r="BF3" s="17"/>
      <c r="BG3" s="17"/>
      <c r="BH3" s="17"/>
      <c r="BI3" s="17" t="s">
        <v>104</v>
      </c>
      <c r="BJ3" s="17"/>
      <c r="BK3" s="17"/>
      <c r="BL3" s="17" t="s">
        <v>104</v>
      </c>
      <c r="BM3" s="44" t="s">
        <v>104</v>
      </c>
      <c r="BN3" s="44" t="s">
        <v>104</v>
      </c>
      <c r="BO3" s="44" t="s">
        <v>104</v>
      </c>
      <c r="BP3" s="44" t="s">
        <v>104</v>
      </c>
      <c r="BQ3" s="68" t="s">
        <v>104</v>
      </c>
      <c r="BS3"/>
      <c r="BT3"/>
      <c r="BU3"/>
    </row>
    <row r="4" spans="1:75" s="80" customFormat="1" ht="14.45">
      <c r="A4" s="70">
        <f t="shared" si="0"/>
        <v>2</v>
      </c>
      <c r="B4" s="71" t="s">
        <v>89</v>
      </c>
      <c r="C4" s="72" t="s">
        <v>109</v>
      </c>
      <c r="D4" s="71" t="s">
        <v>110</v>
      </c>
      <c r="E4" s="73" t="s">
        <v>92</v>
      </c>
      <c r="F4" s="74" t="s">
        <v>111</v>
      </c>
      <c r="G4" s="75" t="s">
        <v>94</v>
      </c>
      <c r="H4" s="75" t="s">
        <v>95</v>
      </c>
      <c r="I4" s="75" t="s">
        <v>96</v>
      </c>
      <c r="J4" s="75"/>
      <c r="K4" s="75" t="s">
        <v>112</v>
      </c>
      <c r="L4" s="75" t="s">
        <v>98</v>
      </c>
      <c r="M4" s="75" t="s">
        <v>99</v>
      </c>
      <c r="N4" s="75"/>
      <c r="O4" s="75" t="s">
        <v>100</v>
      </c>
      <c r="P4" s="75"/>
      <c r="Q4" s="75" t="s">
        <v>113</v>
      </c>
      <c r="R4" s="70" t="s">
        <v>102</v>
      </c>
      <c r="S4" s="70"/>
      <c r="T4" s="76" t="s">
        <v>114</v>
      </c>
      <c r="U4" s="70" t="s">
        <v>115</v>
      </c>
      <c r="V4" s="70"/>
      <c r="W4" s="70" t="s">
        <v>116</v>
      </c>
      <c r="X4" s="70" t="s">
        <v>117</v>
      </c>
      <c r="Y4" s="70" t="s">
        <v>118</v>
      </c>
      <c r="Z4" s="70"/>
      <c r="AA4" s="70"/>
      <c r="AB4" s="70"/>
      <c r="AC4" s="70"/>
      <c r="AD4" s="70"/>
      <c r="AE4" s="70"/>
      <c r="AF4" s="70"/>
      <c r="AG4" s="70"/>
      <c r="AH4" s="70" t="s">
        <v>119</v>
      </c>
      <c r="AI4" s="70"/>
      <c r="AJ4" s="212">
        <v>0.16666666666666666</v>
      </c>
      <c r="AK4" s="213">
        <v>0</v>
      </c>
      <c r="AL4" s="210">
        <v>0</v>
      </c>
      <c r="AM4" s="210">
        <v>0</v>
      </c>
      <c r="AN4" s="209">
        <v>0.35789351851851847</v>
      </c>
      <c r="AO4" s="214"/>
      <c r="AP4" s="17">
        <v>0</v>
      </c>
      <c r="AQ4" s="17">
        <v>0</v>
      </c>
      <c r="AR4" s="17">
        <v>0</v>
      </c>
      <c r="AS4" s="17">
        <v>0</v>
      </c>
      <c r="AT4" s="210">
        <v>19.5</v>
      </c>
      <c r="AU4" s="209">
        <v>12.731852394386564</v>
      </c>
      <c r="AV4" s="208">
        <v>234</v>
      </c>
      <c r="AW4" s="70"/>
      <c r="AX4" s="70"/>
      <c r="AY4" s="70"/>
      <c r="AZ4" s="70"/>
      <c r="BA4" s="70"/>
      <c r="BB4" s="70"/>
      <c r="BC4" s="70" t="s">
        <v>102</v>
      </c>
      <c r="BD4" s="70" t="s">
        <v>108</v>
      </c>
      <c r="BE4" s="70" t="s">
        <v>108</v>
      </c>
      <c r="BF4" s="70"/>
      <c r="BG4" s="70"/>
      <c r="BH4" s="70"/>
      <c r="BI4" s="70" t="s">
        <v>104</v>
      </c>
      <c r="BJ4" s="70"/>
      <c r="BK4" s="70"/>
      <c r="BL4" s="70" t="s">
        <v>104</v>
      </c>
      <c r="BM4" s="77">
        <v>75000</v>
      </c>
      <c r="BN4" s="78"/>
      <c r="BO4" s="78" t="s">
        <v>104</v>
      </c>
      <c r="BP4" s="78"/>
      <c r="BQ4" s="79" t="s">
        <v>104</v>
      </c>
      <c r="BS4" s="81"/>
      <c r="BT4" s="81"/>
      <c r="BU4" s="81"/>
      <c r="BW4" s="1" t="s">
        <v>120</v>
      </c>
    </row>
    <row r="5" spans="1:75" ht="14.45">
      <c r="A5" s="17">
        <f t="shared" si="0"/>
        <v>3</v>
      </c>
      <c r="B5" s="61" t="s">
        <v>89</v>
      </c>
      <c r="C5" s="52" t="s">
        <v>121</v>
      </c>
      <c r="D5" s="67" t="s">
        <v>122</v>
      </c>
      <c r="E5" s="5" t="s">
        <v>92</v>
      </c>
      <c r="F5" s="49" t="s">
        <v>123</v>
      </c>
      <c r="G5" s="34" t="s">
        <v>94</v>
      </c>
      <c r="H5" s="34"/>
      <c r="I5" s="34"/>
      <c r="J5" s="34"/>
      <c r="K5" s="34"/>
      <c r="L5" s="34"/>
      <c r="M5" s="34"/>
      <c r="N5" s="34"/>
      <c r="O5" s="34"/>
      <c r="P5" s="34"/>
      <c r="Q5" s="34"/>
      <c r="R5" s="17"/>
      <c r="S5" s="17"/>
      <c r="T5" s="18"/>
      <c r="U5" s="17"/>
      <c r="V5" s="17"/>
      <c r="W5" s="17"/>
      <c r="X5" s="17"/>
      <c r="Y5" s="17"/>
      <c r="Z5" s="17"/>
      <c r="AA5" s="17"/>
      <c r="AB5" s="17"/>
      <c r="AC5" s="17"/>
      <c r="AD5" s="17"/>
      <c r="AE5" s="17"/>
      <c r="AF5" s="17"/>
      <c r="AG5" s="17"/>
      <c r="AH5" s="17"/>
      <c r="AI5" s="17"/>
      <c r="AJ5" s="212">
        <v>0</v>
      </c>
      <c r="AK5" s="213">
        <v>0</v>
      </c>
      <c r="AL5" s="210">
        <v>0</v>
      </c>
      <c r="AM5" s="210">
        <v>0</v>
      </c>
      <c r="AN5" s="209">
        <v>0</v>
      </c>
      <c r="AO5" s="208"/>
      <c r="AP5" s="17">
        <v>0</v>
      </c>
      <c r="AQ5" s="17">
        <v>0</v>
      </c>
      <c r="AR5" s="17">
        <v>0</v>
      </c>
      <c r="AS5" s="17">
        <v>0</v>
      </c>
      <c r="AT5" s="210">
        <v>0.33333333333333331</v>
      </c>
      <c r="AU5" s="209">
        <v>25.390202546296297</v>
      </c>
      <c r="AV5" s="208">
        <v>4</v>
      </c>
      <c r="AW5" s="17"/>
      <c r="AX5" s="17"/>
      <c r="AY5" s="17"/>
      <c r="AZ5" s="17"/>
      <c r="BA5" s="17"/>
      <c r="BB5" s="17"/>
      <c r="BC5" s="17"/>
      <c r="BD5" s="17"/>
      <c r="BE5" s="17"/>
      <c r="BF5" s="17"/>
      <c r="BG5" s="17"/>
      <c r="BH5" s="17"/>
      <c r="BI5" s="17"/>
      <c r="BJ5" s="17"/>
      <c r="BK5" s="17"/>
      <c r="BL5" s="17"/>
      <c r="BM5" s="44"/>
      <c r="BN5" s="44"/>
      <c r="BO5" s="44"/>
      <c r="BP5" s="44"/>
      <c r="BQ5" s="44"/>
      <c r="BR5"/>
      <c r="BS5"/>
      <c r="BT5"/>
      <c r="BU5"/>
      <c r="BW5" s="80" t="s">
        <v>124</v>
      </c>
    </row>
    <row r="6" spans="1:75" s="80" customFormat="1" ht="14.45">
      <c r="A6" s="70">
        <f t="shared" si="0"/>
        <v>4</v>
      </c>
      <c r="B6" s="71" t="s">
        <v>89</v>
      </c>
      <c r="C6" s="72" t="s">
        <v>125</v>
      </c>
      <c r="D6" s="71" t="s">
        <v>126</v>
      </c>
      <c r="E6" s="73" t="s">
        <v>92</v>
      </c>
      <c r="F6" s="74" t="s">
        <v>127</v>
      </c>
      <c r="G6" s="75" t="s">
        <v>94</v>
      </c>
      <c r="H6" s="75" t="s">
        <v>128</v>
      </c>
      <c r="I6" s="75" t="s">
        <v>96</v>
      </c>
      <c r="J6" s="75"/>
      <c r="K6" s="75" t="s">
        <v>129</v>
      </c>
      <c r="L6" s="75" t="s">
        <v>130</v>
      </c>
      <c r="M6" s="75" t="s">
        <v>99</v>
      </c>
      <c r="N6" s="75"/>
      <c r="O6" s="75" t="s">
        <v>131</v>
      </c>
      <c r="P6" s="75"/>
      <c r="Q6" s="75" t="s">
        <v>113</v>
      </c>
      <c r="R6" s="70" t="s">
        <v>102</v>
      </c>
      <c r="S6" s="70"/>
      <c r="T6" s="76" t="s">
        <v>114</v>
      </c>
      <c r="U6" s="70" t="s">
        <v>115</v>
      </c>
      <c r="V6" s="70" t="s">
        <v>132</v>
      </c>
      <c r="W6" s="70" t="s">
        <v>104</v>
      </c>
      <c r="X6" s="70" t="s">
        <v>133</v>
      </c>
      <c r="Y6" s="70" t="s">
        <v>134</v>
      </c>
      <c r="Z6" s="70"/>
      <c r="AA6" s="70"/>
      <c r="AB6" s="70"/>
      <c r="AC6" s="70"/>
      <c r="AD6" s="70"/>
      <c r="AE6" s="70"/>
      <c r="AF6" s="70"/>
      <c r="AG6" s="70"/>
      <c r="AH6" s="70" t="s">
        <v>135</v>
      </c>
      <c r="AI6" s="70"/>
      <c r="AJ6" s="212">
        <v>52.833333333333336</v>
      </c>
      <c r="AK6" s="213">
        <v>4.7318611987381704E-3</v>
      </c>
      <c r="AL6" s="210">
        <v>0.16666666666666666</v>
      </c>
      <c r="AM6" s="210">
        <v>2</v>
      </c>
      <c r="AN6" s="209">
        <v>2.1455521559956816</v>
      </c>
      <c r="AO6" s="214"/>
      <c r="AP6" s="17">
        <v>7</v>
      </c>
      <c r="AQ6" s="17">
        <v>0</v>
      </c>
      <c r="AR6" s="17">
        <v>0</v>
      </c>
      <c r="AS6" s="17">
        <v>0</v>
      </c>
      <c r="AT6" s="210">
        <v>0.91666666666666663</v>
      </c>
      <c r="AU6" s="209">
        <v>7.1547390572390563</v>
      </c>
      <c r="AV6" s="208">
        <v>11</v>
      </c>
      <c r="AW6" s="70"/>
      <c r="AX6" s="70"/>
      <c r="AY6" s="70"/>
      <c r="AZ6" s="70"/>
      <c r="BA6" s="70"/>
      <c r="BB6" s="70"/>
      <c r="BC6" s="70" t="s">
        <v>102</v>
      </c>
      <c r="BD6" s="70" t="s">
        <v>108</v>
      </c>
      <c r="BE6" s="70" t="s">
        <v>108</v>
      </c>
      <c r="BF6" s="70"/>
      <c r="BG6" s="70"/>
      <c r="BH6" s="70"/>
      <c r="BI6" s="70">
        <v>1</v>
      </c>
      <c r="BJ6" s="70"/>
      <c r="BK6" s="70"/>
      <c r="BL6" s="70">
        <v>1</v>
      </c>
      <c r="BM6" s="77">
        <v>75000</v>
      </c>
      <c r="BN6" s="78"/>
      <c r="BO6" s="78" t="s">
        <v>104</v>
      </c>
      <c r="BP6" s="78"/>
      <c r="BQ6" s="79" t="s">
        <v>104</v>
      </c>
      <c r="BS6" s="81"/>
      <c r="BT6" s="81"/>
      <c r="BU6" s="81"/>
      <c r="BW6" s="92" t="s">
        <v>136</v>
      </c>
    </row>
    <row r="7" spans="1:75" s="92" customFormat="1" ht="14.45">
      <c r="A7" s="82">
        <f t="shared" si="0"/>
        <v>5</v>
      </c>
      <c r="B7" s="83" t="s">
        <v>89</v>
      </c>
      <c r="C7" s="84" t="s">
        <v>137</v>
      </c>
      <c r="D7" s="83" t="s">
        <v>138</v>
      </c>
      <c r="E7" s="85" t="s">
        <v>139</v>
      </c>
      <c r="F7" s="86" t="s">
        <v>140</v>
      </c>
      <c r="G7" s="87" t="s">
        <v>94</v>
      </c>
      <c r="H7" s="87" t="s">
        <v>141</v>
      </c>
      <c r="I7" s="87" t="s">
        <v>96</v>
      </c>
      <c r="J7" s="87"/>
      <c r="K7" s="87" t="s">
        <v>142</v>
      </c>
      <c r="L7" s="87"/>
      <c r="M7" s="87" t="s">
        <v>99</v>
      </c>
      <c r="N7" s="87"/>
      <c r="O7" s="87"/>
      <c r="P7" s="87"/>
      <c r="Q7" s="87" t="s">
        <v>101</v>
      </c>
      <c r="R7" s="82" t="s">
        <v>102</v>
      </c>
      <c r="S7" s="82"/>
      <c r="T7" s="88" t="s">
        <v>114</v>
      </c>
      <c r="U7" s="82" t="s">
        <v>143</v>
      </c>
      <c r="V7" s="82" t="s">
        <v>144</v>
      </c>
      <c r="W7" s="82" t="s">
        <v>116</v>
      </c>
      <c r="X7" s="82" t="s">
        <v>117</v>
      </c>
      <c r="Y7" s="82" t="s">
        <v>145</v>
      </c>
      <c r="Z7" s="82"/>
      <c r="AA7" s="82"/>
      <c r="AB7" s="82"/>
      <c r="AC7" s="82"/>
      <c r="AD7" s="82"/>
      <c r="AE7" s="82"/>
      <c r="AF7" s="82"/>
      <c r="AG7" s="82"/>
      <c r="AH7" s="82" t="s">
        <v>119</v>
      </c>
      <c r="AI7" s="82"/>
      <c r="AJ7" s="212">
        <v>0</v>
      </c>
      <c r="AK7" s="213">
        <v>0</v>
      </c>
      <c r="AL7" s="210">
        <v>0</v>
      </c>
      <c r="AM7" s="210">
        <v>0</v>
      </c>
      <c r="AN7" s="209">
        <v>0</v>
      </c>
      <c r="AO7" s="215"/>
      <c r="AP7" s="17">
        <v>0</v>
      </c>
      <c r="AQ7" s="17">
        <v>0</v>
      </c>
      <c r="AR7" s="17">
        <v>0</v>
      </c>
      <c r="AS7" s="17">
        <v>0</v>
      </c>
      <c r="AT7" s="210">
        <v>2.5833333333333335</v>
      </c>
      <c r="AU7" s="209">
        <v>1.1113333333333335</v>
      </c>
      <c r="AV7" s="208">
        <v>31</v>
      </c>
      <c r="AW7" s="82"/>
      <c r="AX7" s="82"/>
      <c r="AY7" s="82"/>
      <c r="AZ7" s="82"/>
      <c r="BA7" s="82"/>
      <c r="BB7" s="82"/>
      <c r="BC7" s="82" t="s">
        <v>102</v>
      </c>
      <c r="BD7" s="82" t="s">
        <v>108</v>
      </c>
      <c r="BE7" s="82" t="s">
        <v>108</v>
      </c>
      <c r="BF7" s="82"/>
      <c r="BG7" s="82"/>
      <c r="BH7" s="82"/>
      <c r="BI7" s="82" t="s">
        <v>104</v>
      </c>
      <c r="BJ7" s="82"/>
      <c r="BK7" s="82"/>
      <c r="BL7" s="82" t="s">
        <v>104</v>
      </c>
      <c r="BM7" s="89" t="s">
        <v>104</v>
      </c>
      <c r="BN7" s="89"/>
      <c r="BO7" s="89" t="s">
        <v>104</v>
      </c>
      <c r="BP7" s="89"/>
      <c r="BQ7" s="90" t="s">
        <v>104</v>
      </c>
      <c r="BR7" s="91"/>
      <c r="BS7" s="91"/>
      <c r="BT7" s="91"/>
      <c r="BU7" s="91"/>
    </row>
    <row r="8" spans="1:75" s="92" customFormat="1" ht="14.45">
      <c r="A8" s="93">
        <f t="shared" si="0"/>
        <v>6</v>
      </c>
      <c r="B8" s="83" t="s">
        <v>89</v>
      </c>
      <c r="C8" s="84" t="s">
        <v>146</v>
      </c>
      <c r="D8" s="83" t="s">
        <v>147</v>
      </c>
      <c r="E8" s="85" t="s">
        <v>139</v>
      </c>
      <c r="F8" s="94" t="s">
        <v>148</v>
      </c>
      <c r="G8" s="87" t="s">
        <v>94</v>
      </c>
      <c r="H8" s="89" t="s">
        <v>95</v>
      </c>
      <c r="I8" s="89" t="s">
        <v>149</v>
      </c>
      <c r="J8" s="89"/>
      <c r="K8" s="89" t="s">
        <v>112</v>
      </c>
      <c r="L8" s="89"/>
      <c r="M8" s="92" t="s">
        <v>99</v>
      </c>
      <c r="N8" s="89"/>
      <c r="O8" s="95"/>
      <c r="P8" s="95"/>
      <c r="Q8" s="95" t="s">
        <v>101</v>
      </c>
      <c r="R8" s="95" t="s">
        <v>102</v>
      </c>
      <c r="S8" s="95"/>
      <c r="T8" s="95" t="s">
        <v>102</v>
      </c>
      <c r="U8" s="89" t="s">
        <v>103</v>
      </c>
      <c r="V8" s="89"/>
      <c r="W8" s="89"/>
      <c r="X8" s="89"/>
      <c r="Y8" s="89"/>
      <c r="Z8" s="89"/>
      <c r="AA8" s="89"/>
      <c r="AB8" s="89"/>
      <c r="AC8" s="89"/>
      <c r="AD8" s="89"/>
      <c r="AE8" s="89"/>
      <c r="AF8" s="89"/>
      <c r="AG8" s="89"/>
      <c r="AH8" s="89"/>
      <c r="AI8" s="89"/>
      <c r="AJ8" s="212">
        <v>0.16666666666666666</v>
      </c>
      <c r="AK8" s="213">
        <v>0</v>
      </c>
      <c r="AL8" s="210">
        <v>0</v>
      </c>
      <c r="AM8" s="210">
        <v>0</v>
      </c>
      <c r="AN8" s="209">
        <v>0.23771990740740739</v>
      </c>
      <c r="AO8" s="216"/>
      <c r="AP8" s="17">
        <v>1</v>
      </c>
      <c r="AQ8" s="17">
        <v>0</v>
      </c>
      <c r="AR8" s="17">
        <v>0</v>
      </c>
      <c r="AS8" s="17">
        <v>0</v>
      </c>
      <c r="AT8" s="210">
        <v>0</v>
      </c>
      <c r="AU8" s="209">
        <v>0</v>
      </c>
      <c r="AV8" s="208">
        <v>0</v>
      </c>
      <c r="AW8" s="89"/>
      <c r="AX8" s="89"/>
      <c r="AY8" s="89"/>
      <c r="AZ8" s="89"/>
      <c r="BA8" s="89"/>
      <c r="BB8" s="89"/>
      <c r="BC8" s="82" t="s">
        <v>102</v>
      </c>
      <c r="BD8" s="82" t="s">
        <v>108</v>
      </c>
      <c r="BE8" s="82" t="s">
        <v>108</v>
      </c>
      <c r="BF8" s="89"/>
      <c r="BG8" s="89"/>
      <c r="BH8" s="89"/>
      <c r="BI8" s="82" t="s">
        <v>104</v>
      </c>
      <c r="BJ8" s="89"/>
      <c r="BK8" s="89"/>
      <c r="BL8" s="82" t="s">
        <v>104</v>
      </c>
      <c r="BM8" s="89" t="s">
        <v>104</v>
      </c>
      <c r="BN8" s="89"/>
      <c r="BO8" s="89" t="s">
        <v>104</v>
      </c>
      <c r="BP8" s="89"/>
      <c r="BQ8" s="90" t="s">
        <v>104</v>
      </c>
      <c r="BR8" s="91"/>
      <c r="BS8" s="91"/>
      <c r="BT8" s="91"/>
      <c r="BU8" s="91"/>
      <c r="BW8" s="109"/>
    </row>
    <row r="9" spans="1:75" s="109" customFormat="1" ht="14.45">
      <c r="A9" s="98">
        <f t="shared" si="0"/>
        <v>7</v>
      </c>
      <c r="B9" s="99" t="s">
        <v>89</v>
      </c>
      <c r="C9" s="100" t="s">
        <v>150</v>
      </c>
      <c r="D9" s="99" t="s">
        <v>151</v>
      </c>
      <c r="E9" s="101" t="s">
        <v>139</v>
      </c>
      <c r="F9" s="102" t="s">
        <v>152</v>
      </c>
      <c r="G9" s="103" t="s">
        <v>94</v>
      </c>
      <c r="H9" s="103" t="s">
        <v>128</v>
      </c>
      <c r="I9" s="103" t="s">
        <v>149</v>
      </c>
      <c r="J9" s="103"/>
      <c r="K9" s="103" t="s">
        <v>142</v>
      </c>
      <c r="L9" s="103" t="s">
        <v>98</v>
      </c>
      <c r="M9" s="103" t="s">
        <v>99</v>
      </c>
      <c r="N9" s="103"/>
      <c r="O9" s="103" t="s">
        <v>153</v>
      </c>
      <c r="P9" s="103"/>
      <c r="Q9" s="103" t="s">
        <v>113</v>
      </c>
      <c r="R9" s="98" t="s">
        <v>102</v>
      </c>
      <c r="S9" s="98"/>
      <c r="T9" s="111" t="s">
        <v>114</v>
      </c>
      <c r="U9" s="98" t="s">
        <v>154</v>
      </c>
      <c r="V9" s="113" t="s">
        <v>144</v>
      </c>
      <c r="W9" s="98" t="s">
        <v>116</v>
      </c>
      <c r="X9" s="98" t="s">
        <v>155</v>
      </c>
      <c r="Y9" s="98" t="s">
        <v>156</v>
      </c>
      <c r="Z9" s="98"/>
      <c r="AA9" s="98"/>
      <c r="AB9" s="98"/>
      <c r="AC9" s="98"/>
      <c r="AD9" s="98"/>
      <c r="AE9" s="98"/>
      <c r="AF9" s="98"/>
      <c r="AG9" s="98"/>
      <c r="AH9" s="98" t="s">
        <v>157</v>
      </c>
      <c r="AI9" s="98"/>
      <c r="AJ9" s="212">
        <v>0.16666666666666666</v>
      </c>
      <c r="AK9" s="213">
        <v>0</v>
      </c>
      <c r="AL9" s="210">
        <v>0</v>
      </c>
      <c r="AM9" s="210">
        <v>0</v>
      </c>
      <c r="AN9" s="209">
        <v>1.7299382716049385E-2</v>
      </c>
      <c r="AO9" s="217"/>
      <c r="AP9" s="17">
        <v>0</v>
      </c>
      <c r="AQ9" s="17">
        <v>0</v>
      </c>
      <c r="AR9" s="17">
        <v>0</v>
      </c>
      <c r="AS9" s="17">
        <v>0</v>
      </c>
      <c r="AT9" s="210">
        <v>35.916666666666664</v>
      </c>
      <c r="AU9" s="209">
        <v>18.535483827263715</v>
      </c>
      <c r="AV9" s="208">
        <v>431</v>
      </c>
      <c r="AW9" s="98"/>
      <c r="AX9" s="98"/>
      <c r="AY9" s="98"/>
      <c r="AZ9" s="98"/>
      <c r="BA9" s="98"/>
      <c r="BB9" s="98"/>
      <c r="BC9" s="98" t="s">
        <v>102</v>
      </c>
      <c r="BD9" s="98" t="s">
        <v>108</v>
      </c>
      <c r="BE9" s="98" t="s">
        <v>108</v>
      </c>
      <c r="BF9" s="98"/>
      <c r="BG9" s="98"/>
      <c r="BH9" s="98"/>
      <c r="BI9" s="98" t="s">
        <v>104</v>
      </c>
      <c r="BJ9" s="98"/>
      <c r="BK9" s="98"/>
      <c r="BL9" s="98" t="s">
        <v>104</v>
      </c>
      <c r="BM9" s="107" t="s">
        <v>104</v>
      </c>
      <c r="BN9" s="107"/>
      <c r="BO9" s="107" t="s">
        <v>104</v>
      </c>
      <c r="BP9" s="107"/>
      <c r="BQ9" s="108" t="s">
        <v>104</v>
      </c>
      <c r="BR9" s="110"/>
      <c r="BS9" s="110"/>
      <c r="BT9" s="110"/>
      <c r="BU9" s="110"/>
      <c r="BW9" s="109" t="s">
        <v>158</v>
      </c>
    </row>
    <row r="10" spans="1:75" s="109" customFormat="1" ht="14.45">
      <c r="A10" s="112">
        <f t="shared" si="0"/>
        <v>8</v>
      </c>
      <c r="B10" s="99" t="s">
        <v>89</v>
      </c>
      <c r="C10" s="100" t="s">
        <v>159</v>
      </c>
      <c r="D10" s="99" t="s">
        <v>160</v>
      </c>
      <c r="E10" s="101" t="s">
        <v>139</v>
      </c>
      <c r="F10" s="102" t="s">
        <v>161</v>
      </c>
      <c r="G10" s="103" t="s">
        <v>94</v>
      </c>
      <c r="H10" s="107" t="s">
        <v>128</v>
      </c>
      <c r="I10" s="107" t="s">
        <v>149</v>
      </c>
      <c r="J10" s="107"/>
      <c r="K10" s="107"/>
      <c r="L10" s="107"/>
      <c r="M10" s="109" t="s">
        <v>99</v>
      </c>
      <c r="N10" s="107"/>
      <c r="O10" s="114"/>
      <c r="P10" s="114"/>
      <c r="Q10" s="114" t="s">
        <v>113</v>
      </c>
      <c r="R10" s="114" t="s">
        <v>102</v>
      </c>
      <c r="S10" s="114"/>
      <c r="T10" s="114"/>
      <c r="U10" s="107"/>
      <c r="V10" s="107"/>
      <c r="W10" s="107"/>
      <c r="X10" s="107"/>
      <c r="Y10" s="107"/>
      <c r="Z10" s="107"/>
      <c r="AA10" s="107"/>
      <c r="AB10" s="107"/>
      <c r="AC10" s="107"/>
      <c r="AD10" s="107"/>
      <c r="AE10" s="107"/>
      <c r="AF10" s="107"/>
      <c r="AG10" s="107"/>
      <c r="AH10" s="107"/>
      <c r="AI10" s="107"/>
      <c r="AJ10" s="212">
        <v>8.3333333333333329E-2</v>
      </c>
      <c r="AK10" s="213">
        <v>0</v>
      </c>
      <c r="AL10" s="210">
        <v>0</v>
      </c>
      <c r="AM10" s="210">
        <v>8.3333333333333329E-2</v>
      </c>
      <c r="AN10" s="209">
        <v>0</v>
      </c>
      <c r="AO10" s="218"/>
      <c r="AP10" s="17">
        <v>0</v>
      </c>
      <c r="AQ10" s="17">
        <v>0</v>
      </c>
      <c r="AR10" s="17">
        <v>0</v>
      </c>
      <c r="AS10" s="17">
        <v>0</v>
      </c>
      <c r="AT10" s="210">
        <v>38</v>
      </c>
      <c r="AU10" s="209">
        <v>18.225405505952374</v>
      </c>
      <c r="AV10" s="208">
        <v>456</v>
      </c>
      <c r="AW10" s="107"/>
      <c r="AX10" s="107"/>
      <c r="AY10" s="107"/>
      <c r="AZ10" s="107"/>
      <c r="BA10" s="107"/>
      <c r="BB10" s="107"/>
      <c r="BC10" s="98" t="s">
        <v>102</v>
      </c>
      <c r="BD10" s="98" t="s">
        <v>108</v>
      </c>
      <c r="BE10" s="98" t="s">
        <v>108</v>
      </c>
      <c r="BF10" s="107"/>
      <c r="BG10" s="107"/>
      <c r="BH10" s="107"/>
      <c r="BI10" s="98" t="s">
        <v>104</v>
      </c>
      <c r="BJ10" s="107"/>
      <c r="BK10" s="107"/>
      <c r="BL10" s="98" t="s">
        <v>104</v>
      </c>
      <c r="BM10" s="107" t="s">
        <v>104</v>
      </c>
      <c r="BN10" s="107"/>
      <c r="BO10" s="107" t="s">
        <v>104</v>
      </c>
      <c r="BP10" s="107"/>
      <c r="BQ10" s="108" t="s">
        <v>104</v>
      </c>
      <c r="BR10" s="110"/>
      <c r="BS10" s="110"/>
      <c r="BT10" s="110"/>
      <c r="BU10" s="110"/>
      <c r="BW10" s="127"/>
    </row>
    <row r="11" spans="1:75" s="127" customFormat="1" ht="14.45">
      <c r="A11" s="115">
        <f t="shared" si="0"/>
        <v>9</v>
      </c>
      <c r="B11" s="116" t="s">
        <v>89</v>
      </c>
      <c r="C11" s="117" t="s">
        <v>162</v>
      </c>
      <c r="D11" s="116" t="s">
        <v>163</v>
      </c>
      <c r="E11" s="118" t="s">
        <v>139</v>
      </c>
      <c r="F11" s="119" t="s">
        <v>164</v>
      </c>
      <c r="G11" s="120" t="s">
        <v>94</v>
      </c>
      <c r="H11" s="120" t="s">
        <v>128</v>
      </c>
      <c r="I11" s="120" t="s">
        <v>149</v>
      </c>
      <c r="J11" s="120"/>
      <c r="K11" s="120" t="s">
        <v>142</v>
      </c>
      <c r="L11" s="120" t="s">
        <v>165</v>
      </c>
      <c r="M11" s="120" t="s">
        <v>166</v>
      </c>
      <c r="N11" s="120"/>
      <c r="O11" s="120" t="s">
        <v>153</v>
      </c>
      <c r="P11" s="120"/>
      <c r="Q11" s="120" t="s">
        <v>101</v>
      </c>
      <c r="R11" s="115" t="s">
        <v>114</v>
      </c>
      <c r="S11" s="115"/>
      <c r="T11" s="121" t="s">
        <v>114</v>
      </c>
      <c r="U11" s="115" t="s">
        <v>143</v>
      </c>
      <c r="V11" s="122" t="s">
        <v>167</v>
      </c>
      <c r="W11" s="115" t="s">
        <v>116</v>
      </c>
      <c r="X11" s="115" t="s">
        <v>117</v>
      </c>
      <c r="Y11" s="115" t="s">
        <v>118</v>
      </c>
      <c r="Z11" s="115"/>
      <c r="AA11" s="115"/>
      <c r="AB11" s="115"/>
      <c r="AC11" s="115"/>
      <c r="AD11" s="115"/>
      <c r="AE11" s="115"/>
      <c r="AF11" s="115"/>
      <c r="AG11" s="115"/>
      <c r="AH11" s="115" t="s">
        <v>119</v>
      </c>
      <c r="AI11" s="115"/>
      <c r="AJ11" s="212">
        <v>36.666666666666664</v>
      </c>
      <c r="AK11" s="213">
        <v>3.4090909090909088E-2</v>
      </c>
      <c r="AL11" s="210">
        <v>6.916666666666667</v>
      </c>
      <c r="AM11" s="210">
        <v>11.333333333333334</v>
      </c>
      <c r="AN11" s="209">
        <v>3.8707540697285752</v>
      </c>
      <c r="AO11" s="219"/>
      <c r="AP11" s="17">
        <v>2</v>
      </c>
      <c r="AQ11" s="17">
        <v>0</v>
      </c>
      <c r="AR11" s="17">
        <v>0</v>
      </c>
      <c r="AS11" s="17">
        <v>0</v>
      </c>
      <c r="AT11" s="210">
        <v>145.5</v>
      </c>
      <c r="AU11" s="209">
        <v>6.6842346871354676</v>
      </c>
      <c r="AV11" s="208">
        <v>1746</v>
      </c>
      <c r="AW11" s="115"/>
      <c r="AX11" s="115"/>
      <c r="AY11" s="115"/>
      <c r="AZ11" s="115"/>
      <c r="BA11" s="115"/>
      <c r="BB11" s="115"/>
      <c r="BC11" s="115" t="s">
        <v>102</v>
      </c>
      <c r="BD11" s="115" t="s">
        <v>108</v>
      </c>
      <c r="BE11" s="115" t="s">
        <v>108</v>
      </c>
      <c r="BF11" s="115"/>
      <c r="BG11" s="115"/>
      <c r="BH11" s="115"/>
      <c r="BI11" s="115">
        <v>5</v>
      </c>
      <c r="BJ11" s="115"/>
      <c r="BK11" s="115"/>
      <c r="BL11" s="115">
        <v>1</v>
      </c>
      <c r="BM11" s="123">
        <v>399997.08</v>
      </c>
      <c r="BN11" s="124"/>
      <c r="BO11" s="124" t="s">
        <v>104</v>
      </c>
      <c r="BP11" s="124"/>
      <c r="BQ11" s="125" t="s">
        <v>104</v>
      </c>
      <c r="BR11" s="126"/>
      <c r="BS11" s="126"/>
      <c r="BT11" s="126"/>
      <c r="BU11" s="126"/>
    </row>
    <row r="12" spans="1:75" s="127" customFormat="1" ht="14.45">
      <c r="A12" s="115">
        <f t="shared" si="0"/>
        <v>10</v>
      </c>
      <c r="B12" s="116" t="s">
        <v>89</v>
      </c>
      <c r="C12" s="117" t="s">
        <v>168</v>
      </c>
      <c r="D12" s="116" t="s">
        <v>169</v>
      </c>
      <c r="E12" s="118" t="s">
        <v>139</v>
      </c>
      <c r="F12" s="128" t="s">
        <v>170</v>
      </c>
      <c r="G12" s="120" t="s">
        <v>94</v>
      </c>
      <c r="H12" s="120" t="s">
        <v>141</v>
      </c>
      <c r="I12" s="120" t="s">
        <v>149</v>
      </c>
      <c r="J12" s="120"/>
      <c r="K12" s="120" t="s">
        <v>114</v>
      </c>
      <c r="L12" s="120" t="s">
        <v>171</v>
      </c>
      <c r="M12" s="120" t="s">
        <v>172</v>
      </c>
      <c r="N12" s="120"/>
      <c r="O12" s="120" t="s">
        <v>100</v>
      </c>
      <c r="P12" s="120"/>
      <c r="Q12" s="120" t="s">
        <v>101</v>
      </c>
      <c r="R12" s="115" t="s">
        <v>114</v>
      </c>
      <c r="S12" s="115"/>
      <c r="T12" s="121" t="s">
        <v>114</v>
      </c>
      <c r="U12" s="115" t="s">
        <v>173</v>
      </c>
      <c r="V12" s="115" t="s">
        <v>167</v>
      </c>
      <c r="W12" s="115" t="s">
        <v>116</v>
      </c>
      <c r="X12" s="115" t="s">
        <v>117</v>
      </c>
      <c r="Y12" s="115" t="s">
        <v>174</v>
      </c>
      <c r="Z12" s="115"/>
      <c r="AA12" s="115"/>
      <c r="AB12" s="115"/>
      <c r="AC12" s="115"/>
      <c r="AD12" s="115"/>
      <c r="AE12" s="115"/>
      <c r="AF12" s="115"/>
      <c r="AG12" s="115"/>
      <c r="AH12" s="115" t="s">
        <v>175</v>
      </c>
      <c r="AI12" s="115"/>
      <c r="AJ12" s="212">
        <v>16.916666666666668</v>
      </c>
      <c r="AK12" s="213">
        <v>1.9704433497536946E-2</v>
      </c>
      <c r="AL12" s="210">
        <v>8.3333333333333329E-2</v>
      </c>
      <c r="AM12" s="210">
        <v>7.083333333333333</v>
      </c>
      <c r="AN12" s="209">
        <v>3.2616311293688054</v>
      </c>
      <c r="AO12" s="219"/>
      <c r="AP12" s="17">
        <v>2</v>
      </c>
      <c r="AQ12" s="17">
        <v>0</v>
      </c>
      <c r="AR12" s="17">
        <v>0</v>
      </c>
      <c r="AS12" s="17">
        <v>0</v>
      </c>
      <c r="AT12" s="210">
        <v>48.333333333333336</v>
      </c>
      <c r="AU12" s="209">
        <v>2.2066709631032557</v>
      </c>
      <c r="AV12" s="208">
        <v>580</v>
      </c>
      <c r="AW12" s="115"/>
      <c r="AX12" s="115"/>
      <c r="AY12" s="115"/>
      <c r="AZ12" s="115"/>
      <c r="BA12" s="115"/>
      <c r="BB12" s="115"/>
      <c r="BC12" s="115" t="s">
        <v>102</v>
      </c>
      <c r="BD12" s="115" t="s">
        <v>108</v>
      </c>
      <c r="BE12" s="115" t="s">
        <v>108</v>
      </c>
      <c r="BF12" s="115"/>
      <c r="BG12" s="115"/>
      <c r="BH12" s="115"/>
      <c r="BI12" s="115" t="s">
        <v>104</v>
      </c>
      <c r="BJ12" s="115"/>
      <c r="BK12" s="115"/>
      <c r="BL12" s="115" t="s">
        <v>104</v>
      </c>
      <c r="BM12" s="123">
        <v>9296.2800000000007</v>
      </c>
      <c r="BN12" s="124"/>
      <c r="BO12" s="124" t="s">
        <v>104</v>
      </c>
      <c r="BP12" s="124"/>
      <c r="BQ12" s="125" t="s">
        <v>104</v>
      </c>
      <c r="BR12" s="126"/>
      <c r="BS12" s="126"/>
      <c r="BT12" s="126"/>
      <c r="BU12" s="126"/>
    </row>
    <row r="13" spans="1:75" s="109" customFormat="1" ht="14.45">
      <c r="A13" s="98">
        <f t="shared" si="0"/>
        <v>11</v>
      </c>
      <c r="B13" s="99" t="s">
        <v>89</v>
      </c>
      <c r="C13" s="100" t="s">
        <v>176</v>
      </c>
      <c r="D13" s="99" t="s">
        <v>177</v>
      </c>
      <c r="E13" s="101" t="s">
        <v>139</v>
      </c>
      <c r="F13" s="102" t="s">
        <v>178</v>
      </c>
      <c r="G13" s="103" t="s">
        <v>94</v>
      </c>
      <c r="H13" s="103" t="s">
        <v>128</v>
      </c>
      <c r="I13" s="103" t="s">
        <v>149</v>
      </c>
      <c r="J13" s="103"/>
      <c r="K13" s="103"/>
      <c r="L13" s="103"/>
      <c r="M13" s="103" t="s">
        <v>99</v>
      </c>
      <c r="N13" s="103"/>
      <c r="O13" s="103"/>
      <c r="P13" s="103"/>
      <c r="Q13" s="103" t="s">
        <v>113</v>
      </c>
      <c r="R13" s="98" t="s">
        <v>102</v>
      </c>
      <c r="S13" s="98"/>
      <c r="T13" s="111" t="s">
        <v>114</v>
      </c>
      <c r="U13" s="98"/>
      <c r="V13" s="98"/>
      <c r="W13" s="98"/>
      <c r="X13" s="98"/>
      <c r="Y13" s="98"/>
      <c r="Z13" s="98"/>
      <c r="AA13" s="98"/>
      <c r="AB13" s="98"/>
      <c r="AC13" s="98"/>
      <c r="AD13" s="98"/>
      <c r="AE13" s="98"/>
      <c r="AF13" s="98"/>
      <c r="AG13" s="98"/>
      <c r="AH13" s="98"/>
      <c r="AI13" s="98"/>
      <c r="AJ13" s="212">
        <v>0.25</v>
      </c>
      <c r="AK13" s="213">
        <v>0</v>
      </c>
      <c r="AL13" s="210">
        <v>0</v>
      </c>
      <c r="AM13" s="210">
        <v>8.3333333333333329E-2</v>
      </c>
      <c r="AN13" s="209">
        <v>0.99574652777777772</v>
      </c>
      <c r="AO13" s="217"/>
      <c r="AP13" s="17">
        <v>1</v>
      </c>
      <c r="AQ13" s="17">
        <v>0</v>
      </c>
      <c r="AR13" s="17">
        <v>0</v>
      </c>
      <c r="AS13" s="17">
        <v>0</v>
      </c>
      <c r="AT13" s="210">
        <v>35.916666666666664</v>
      </c>
      <c r="AU13" s="209">
        <v>18.535484253065768</v>
      </c>
      <c r="AV13" s="208">
        <v>431</v>
      </c>
      <c r="AW13" s="98"/>
      <c r="AX13" s="98"/>
      <c r="AY13" s="98"/>
      <c r="AZ13" s="98"/>
      <c r="BA13" s="98"/>
      <c r="BB13" s="98"/>
      <c r="BC13" s="98" t="s">
        <v>102</v>
      </c>
      <c r="BD13" s="98" t="s">
        <v>108</v>
      </c>
      <c r="BE13" s="98" t="s">
        <v>108</v>
      </c>
      <c r="BF13" s="98"/>
      <c r="BG13" s="98"/>
      <c r="BH13" s="98"/>
      <c r="BI13" s="98" t="s">
        <v>104</v>
      </c>
      <c r="BJ13" s="98"/>
      <c r="BK13" s="98"/>
      <c r="BL13" s="98" t="s">
        <v>104</v>
      </c>
      <c r="BM13" s="107" t="s">
        <v>104</v>
      </c>
      <c r="BN13" s="107"/>
      <c r="BO13" s="107" t="s">
        <v>104</v>
      </c>
      <c r="BP13" s="107"/>
      <c r="BQ13" s="108" t="s">
        <v>104</v>
      </c>
      <c r="BR13" s="110"/>
      <c r="BS13" s="110"/>
      <c r="BT13" s="110"/>
      <c r="BU13" s="110"/>
    </row>
    <row r="14" spans="1:75" s="127" customFormat="1" ht="14.45">
      <c r="A14" s="115">
        <f t="shared" si="0"/>
        <v>12</v>
      </c>
      <c r="B14" s="116" t="s">
        <v>89</v>
      </c>
      <c r="C14" s="117" t="s">
        <v>179</v>
      </c>
      <c r="D14" s="116" t="s">
        <v>180</v>
      </c>
      <c r="E14" s="118" t="s">
        <v>139</v>
      </c>
      <c r="F14" s="128" t="s">
        <v>181</v>
      </c>
      <c r="G14" s="120" t="s">
        <v>94</v>
      </c>
      <c r="H14" s="120" t="s">
        <v>128</v>
      </c>
      <c r="I14" s="120" t="s">
        <v>149</v>
      </c>
      <c r="J14" s="120"/>
      <c r="K14" s="120" t="s">
        <v>114</v>
      </c>
      <c r="L14" s="120" t="s">
        <v>182</v>
      </c>
      <c r="M14" s="120" t="s">
        <v>99</v>
      </c>
      <c r="N14" s="120"/>
      <c r="O14" s="120" t="s">
        <v>153</v>
      </c>
      <c r="P14" s="120"/>
      <c r="Q14" s="120" t="s">
        <v>101</v>
      </c>
      <c r="R14" s="129" t="s">
        <v>114</v>
      </c>
      <c r="S14" s="115"/>
      <c r="T14" s="129" t="s">
        <v>114</v>
      </c>
      <c r="U14" s="115" t="s">
        <v>183</v>
      </c>
      <c r="V14" s="115" t="s">
        <v>184</v>
      </c>
      <c r="W14" s="115" t="s">
        <v>116</v>
      </c>
      <c r="X14" s="115" t="s">
        <v>155</v>
      </c>
      <c r="Y14" s="115" t="s">
        <v>134</v>
      </c>
      <c r="Z14" s="115"/>
      <c r="AA14" s="115"/>
      <c r="AB14" s="115"/>
      <c r="AC14" s="115"/>
      <c r="AD14" s="115"/>
      <c r="AE14" s="115"/>
      <c r="AF14" s="115"/>
      <c r="AG14" s="115"/>
      <c r="AH14" s="115" t="s">
        <v>175</v>
      </c>
      <c r="AI14" s="115"/>
      <c r="AJ14" s="212">
        <v>1</v>
      </c>
      <c r="AK14" s="213">
        <v>8.3333333333333329E-2</v>
      </c>
      <c r="AL14" s="210">
        <v>8.3333333333333329E-2</v>
      </c>
      <c r="AM14" s="210">
        <v>0.5</v>
      </c>
      <c r="AN14" s="209">
        <v>6.7841019880174294</v>
      </c>
      <c r="AO14" s="219"/>
      <c r="AP14" s="17">
        <v>1</v>
      </c>
      <c r="AQ14" s="17">
        <v>0</v>
      </c>
      <c r="AR14" s="17">
        <v>0</v>
      </c>
      <c r="AS14" s="17">
        <v>0</v>
      </c>
      <c r="AT14" s="210">
        <v>28.25</v>
      </c>
      <c r="AU14" s="209">
        <v>2.5172092730106366</v>
      </c>
      <c r="AV14" s="208">
        <v>339</v>
      </c>
      <c r="AW14" s="115"/>
      <c r="AX14" s="115"/>
      <c r="AY14" s="115"/>
      <c r="AZ14" s="115"/>
      <c r="BA14" s="115"/>
      <c r="BB14" s="115"/>
      <c r="BC14" s="115" t="s">
        <v>102</v>
      </c>
      <c r="BD14" s="115" t="s">
        <v>108</v>
      </c>
      <c r="BE14" s="115" t="s">
        <v>108</v>
      </c>
      <c r="BF14" s="115"/>
      <c r="BG14" s="115"/>
      <c r="BH14" s="115"/>
      <c r="BI14" s="115" t="s">
        <v>104</v>
      </c>
      <c r="BJ14" s="115"/>
      <c r="BK14" s="115"/>
      <c r="BL14" s="115" t="s">
        <v>104</v>
      </c>
      <c r="BM14" s="124" t="s">
        <v>104</v>
      </c>
      <c r="BN14" s="124"/>
      <c r="BO14" s="124" t="s">
        <v>104</v>
      </c>
      <c r="BP14" s="124"/>
      <c r="BQ14" s="125" t="s">
        <v>104</v>
      </c>
      <c r="BR14" s="126"/>
      <c r="BS14" s="126"/>
      <c r="BT14" s="126">
        <v>1</v>
      </c>
      <c r="BU14" s="126"/>
    </row>
    <row r="15" spans="1:75" s="109" customFormat="1" ht="14.45">
      <c r="A15" s="98">
        <f t="shared" si="0"/>
        <v>13</v>
      </c>
      <c r="B15" s="99" t="s">
        <v>89</v>
      </c>
      <c r="C15" s="100" t="s">
        <v>185</v>
      </c>
      <c r="D15" s="99" t="s">
        <v>186</v>
      </c>
      <c r="E15" s="101" t="s">
        <v>139</v>
      </c>
      <c r="F15" s="102" t="s">
        <v>187</v>
      </c>
      <c r="G15" s="103" t="s">
        <v>94</v>
      </c>
      <c r="H15" s="103" t="s">
        <v>128</v>
      </c>
      <c r="I15" s="103" t="s">
        <v>149</v>
      </c>
      <c r="J15" s="103"/>
      <c r="K15" s="103" t="s">
        <v>114</v>
      </c>
      <c r="L15" s="103" t="s">
        <v>182</v>
      </c>
      <c r="M15" s="103" t="s">
        <v>172</v>
      </c>
      <c r="N15" s="103"/>
      <c r="O15" s="103" t="s">
        <v>153</v>
      </c>
      <c r="P15" s="103"/>
      <c r="Q15" s="103" t="s">
        <v>101</v>
      </c>
      <c r="R15" s="105" t="s">
        <v>114</v>
      </c>
      <c r="S15" s="98"/>
      <c r="T15" s="105" t="s">
        <v>114</v>
      </c>
      <c r="U15" s="98" t="s">
        <v>188</v>
      </c>
      <c r="V15" s="98" t="s">
        <v>189</v>
      </c>
      <c r="W15" s="98" t="s">
        <v>116</v>
      </c>
      <c r="X15" s="98" t="s">
        <v>190</v>
      </c>
      <c r="Y15" s="98" t="s">
        <v>134</v>
      </c>
      <c r="Z15" s="98"/>
      <c r="AA15" s="98"/>
      <c r="AB15" s="98"/>
      <c r="AC15" s="98"/>
      <c r="AD15" s="98"/>
      <c r="AE15" s="98"/>
      <c r="AF15" s="98"/>
      <c r="AG15" s="98"/>
      <c r="AH15" s="98" t="s">
        <v>175</v>
      </c>
      <c r="AI15" s="98"/>
      <c r="AJ15" s="212">
        <v>18.166666666666668</v>
      </c>
      <c r="AK15" s="213">
        <v>0</v>
      </c>
      <c r="AL15" s="210">
        <v>3.9166666666666665</v>
      </c>
      <c r="AM15" s="210">
        <v>8.5</v>
      </c>
      <c r="AN15" s="209">
        <v>2.9531597634110995</v>
      </c>
      <c r="AO15" s="217"/>
      <c r="AP15" s="17">
        <v>1</v>
      </c>
      <c r="AQ15" s="17">
        <v>0</v>
      </c>
      <c r="AR15" s="17">
        <v>0</v>
      </c>
      <c r="AS15" s="17">
        <v>0</v>
      </c>
      <c r="AT15" s="210">
        <v>38.666666666666664</v>
      </c>
      <c r="AU15" s="209">
        <v>17.901697641093463</v>
      </c>
      <c r="AV15" s="208">
        <v>464</v>
      </c>
      <c r="AW15" s="98"/>
      <c r="AX15" s="98"/>
      <c r="AY15" s="98"/>
      <c r="AZ15" s="98"/>
      <c r="BA15" s="98"/>
      <c r="BB15" s="98"/>
      <c r="BC15" s="98" t="s">
        <v>102</v>
      </c>
      <c r="BD15" s="98" t="s">
        <v>108</v>
      </c>
      <c r="BE15" s="98" t="s">
        <v>108</v>
      </c>
      <c r="BF15" s="98"/>
      <c r="BG15" s="98"/>
      <c r="BH15" s="98"/>
      <c r="BI15" s="98">
        <v>2</v>
      </c>
      <c r="BJ15" s="98"/>
      <c r="BK15" s="98"/>
      <c r="BL15" s="98">
        <v>1</v>
      </c>
      <c r="BM15" s="106">
        <v>95167.06</v>
      </c>
      <c r="BN15" s="107"/>
      <c r="BO15" s="107" t="s">
        <v>104</v>
      </c>
      <c r="BP15" s="107"/>
      <c r="BQ15" s="108" t="s">
        <v>104</v>
      </c>
      <c r="BR15" s="110"/>
      <c r="BS15" s="110"/>
      <c r="BT15" s="110"/>
      <c r="BU15" s="110"/>
    </row>
    <row r="16" spans="1:75" s="109" customFormat="1" ht="14.45">
      <c r="A16" s="98">
        <f t="shared" si="0"/>
        <v>14</v>
      </c>
      <c r="B16" s="99" t="s">
        <v>89</v>
      </c>
      <c r="C16" s="100" t="s">
        <v>191</v>
      </c>
      <c r="D16" s="99" t="s">
        <v>192</v>
      </c>
      <c r="E16" s="101" t="s">
        <v>139</v>
      </c>
      <c r="F16" s="104" t="s">
        <v>193</v>
      </c>
      <c r="G16" s="103" t="s">
        <v>94</v>
      </c>
      <c r="H16" s="103" t="s">
        <v>128</v>
      </c>
      <c r="I16" s="103" t="s">
        <v>149</v>
      </c>
      <c r="J16" s="103"/>
      <c r="K16" s="103" t="s">
        <v>114</v>
      </c>
      <c r="L16" s="103" t="s">
        <v>182</v>
      </c>
      <c r="M16" s="103" t="s">
        <v>99</v>
      </c>
      <c r="N16" s="103"/>
      <c r="O16" s="103" t="s">
        <v>153</v>
      </c>
      <c r="P16" s="103"/>
      <c r="Q16" s="103" t="s">
        <v>113</v>
      </c>
      <c r="R16" s="98" t="s">
        <v>114</v>
      </c>
      <c r="S16" s="98"/>
      <c r="T16" s="111" t="s">
        <v>114</v>
      </c>
      <c r="U16" s="112" t="s">
        <v>194</v>
      </c>
      <c r="V16" s="112" t="s">
        <v>189</v>
      </c>
      <c r="W16" s="112" t="s">
        <v>116</v>
      </c>
      <c r="X16" s="98" t="s">
        <v>195</v>
      </c>
      <c r="Y16" s="112" t="s">
        <v>134</v>
      </c>
      <c r="Z16" s="98"/>
      <c r="AA16" s="98"/>
      <c r="AB16" s="98"/>
      <c r="AC16" s="98"/>
      <c r="AD16" s="98"/>
      <c r="AE16" s="98"/>
      <c r="AF16" s="98"/>
      <c r="AG16" s="98"/>
      <c r="AH16" s="112" t="s">
        <v>196</v>
      </c>
      <c r="AI16" s="98"/>
      <c r="AJ16" s="212">
        <v>0</v>
      </c>
      <c r="AK16" s="213">
        <v>0</v>
      </c>
      <c r="AL16" s="210">
        <v>0</v>
      </c>
      <c r="AM16" s="210">
        <v>0</v>
      </c>
      <c r="AN16" s="209">
        <v>0</v>
      </c>
      <c r="AO16" s="217"/>
      <c r="AP16" s="17">
        <v>0</v>
      </c>
      <c r="AQ16" s="17">
        <v>0</v>
      </c>
      <c r="AR16" s="17">
        <v>0</v>
      </c>
      <c r="AS16" s="17">
        <v>0</v>
      </c>
      <c r="AT16" s="210">
        <v>38.583333333333336</v>
      </c>
      <c r="AU16" s="209">
        <v>18.180322890782143</v>
      </c>
      <c r="AV16" s="208">
        <v>463</v>
      </c>
      <c r="AW16" s="98"/>
      <c r="AX16" s="98"/>
      <c r="AY16" s="98"/>
      <c r="AZ16" s="98"/>
      <c r="BA16" s="98"/>
      <c r="BB16" s="98"/>
      <c r="BC16" s="98" t="s">
        <v>102</v>
      </c>
      <c r="BD16" s="98" t="s">
        <v>108</v>
      </c>
      <c r="BE16" s="98" t="s">
        <v>108</v>
      </c>
      <c r="BF16" s="98"/>
      <c r="BG16" s="98"/>
      <c r="BH16" s="98"/>
      <c r="BI16" s="98" t="s">
        <v>104</v>
      </c>
      <c r="BJ16" s="98"/>
      <c r="BK16" s="98"/>
      <c r="BL16" s="98" t="s">
        <v>104</v>
      </c>
      <c r="BM16" s="106">
        <v>36557.4</v>
      </c>
      <c r="BN16" s="107"/>
      <c r="BO16" s="107" t="s">
        <v>104</v>
      </c>
      <c r="BP16" s="107"/>
      <c r="BQ16" s="108" t="s">
        <v>104</v>
      </c>
      <c r="BR16" s="110"/>
      <c r="BS16" s="110"/>
      <c r="BT16" s="110"/>
      <c r="BU16" s="110"/>
    </row>
    <row r="17" spans="1:73" s="109" customFormat="1" ht="14.45">
      <c r="A17" s="98">
        <f t="shared" si="0"/>
        <v>15</v>
      </c>
      <c r="B17" s="99" t="s">
        <v>89</v>
      </c>
      <c r="C17" s="100" t="s">
        <v>197</v>
      </c>
      <c r="D17" s="99" t="s">
        <v>198</v>
      </c>
      <c r="E17" s="101" t="s">
        <v>139</v>
      </c>
      <c r="F17" s="102" t="s">
        <v>187</v>
      </c>
      <c r="G17" s="103" t="s">
        <v>94</v>
      </c>
      <c r="H17" s="103" t="s">
        <v>128</v>
      </c>
      <c r="I17" s="103" t="s">
        <v>149</v>
      </c>
      <c r="J17" s="103"/>
      <c r="K17" s="103" t="s">
        <v>112</v>
      </c>
      <c r="L17" s="103" t="s">
        <v>98</v>
      </c>
      <c r="M17" s="103" t="s">
        <v>99</v>
      </c>
      <c r="N17" s="103"/>
      <c r="O17" s="103" t="s">
        <v>153</v>
      </c>
      <c r="P17" s="103"/>
      <c r="Q17" s="103" t="s">
        <v>113</v>
      </c>
      <c r="R17" s="98"/>
      <c r="S17" s="98"/>
      <c r="T17" s="111" t="s">
        <v>114</v>
      </c>
      <c r="U17" s="98" t="s">
        <v>154</v>
      </c>
      <c r="V17" s="98" t="s">
        <v>184</v>
      </c>
      <c r="W17" s="98" t="s">
        <v>116</v>
      </c>
      <c r="X17" s="98" t="s">
        <v>156</v>
      </c>
      <c r="Y17" s="98" t="s">
        <v>145</v>
      </c>
      <c r="Z17" s="98"/>
      <c r="AA17" s="98"/>
      <c r="AB17" s="98"/>
      <c r="AC17" s="98"/>
      <c r="AD17" s="98"/>
      <c r="AE17" s="98"/>
      <c r="AF17" s="98"/>
      <c r="AG17" s="98"/>
      <c r="AH17" s="98" t="s">
        <v>157</v>
      </c>
      <c r="AI17" s="98"/>
      <c r="AJ17" s="212">
        <v>0</v>
      </c>
      <c r="AK17" s="213">
        <v>0</v>
      </c>
      <c r="AL17" s="210">
        <v>0</v>
      </c>
      <c r="AM17" s="210">
        <v>0</v>
      </c>
      <c r="AN17" s="209">
        <v>0</v>
      </c>
      <c r="AO17" s="217"/>
      <c r="AP17" s="17">
        <v>0</v>
      </c>
      <c r="AQ17" s="17">
        <v>0</v>
      </c>
      <c r="AR17" s="17">
        <v>0</v>
      </c>
      <c r="AS17" s="17">
        <v>0</v>
      </c>
      <c r="AT17" s="210">
        <v>38.083333333333336</v>
      </c>
      <c r="AU17" s="209">
        <v>18.225404040404033</v>
      </c>
      <c r="AV17" s="208">
        <v>457</v>
      </c>
      <c r="AW17" s="98"/>
      <c r="AX17" s="98"/>
      <c r="AY17" s="98"/>
      <c r="AZ17" s="98"/>
      <c r="BA17" s="98"/>
      <c r="BB17" s="98"/>
      <c r="BC17" s="98" t="s">
        <v>102</v>
      </c>
      <c r="BD17" s="98" t="s">
        <v>108</v>
      </c>
      <c r="BE17" s="98" t="s">
        <v>108</v>
      </c>
      <c r="BF17" s="98"/>
      <c r="BG17" s="98"/>
      <c r="BH17" s="98"/>
      <c r="BI17" s="98" t="s">
        <v>104</v>
      </c>
      <c r="BJ17" s="98"/>
      <c r="BK17" s="98"/>
      <c r="BL17" s="98" t="s">
        <v>104</v>
      </c>
      <c r="BM17" s="107" t="s">
        <v>104</v>
      </c>
      <c r="BN17" s="107"/>
      <c r="BO17" s="107" t="s">
        <v>104</v>
      </c>
      <c r="BP17" s="107"/>
      <c r="BQ17" s="108" t="s">
        <v>104</v>
      </c>
      <c r="BR17" s="110"/>
      <c r="BS17" s="110"/>
      <c r="BT17" s="110"/>
      <c r="BU17" s="110"/>
    </row>
    <row r="18" spans="1:73" s="92" customFormat="1" ht="14.45">
      <c r="A18" s="82">
        <f t="shared" si="0"/>
        <v>16</v>
      </c>
      <c r="B18" s="83" t="s">
        <v>89</v>
      </c>
      <c r="C18" s="84" t="s">
        <v>199</v>
      </c>
      <c r="D18" s="83" t="s">
        <v>200</v>
      </c>
      <c r="E18" s="85" t="s">
        <v>139</v>
      </c>
      <c r="F18" s="86" t="s">
        <v>201</v>
      </c>
      <c r="G18" s="87" t="s">
        <v>94</v>
      </c>
      <c r="H18" s="87" t="s">
        <v>202</v>
      </c>
      <c r="I18" s="87" t="s">
        <v>203</v>
      </c>
      <c r="J18" s="87"/>
      <c r="K18" s="87" t="s">
        <v>114</v>
      </c>
      <c r="L18" s="87" t="s">
        <v>182</v>
      </c>
      <c r="M18" s="87" t="s">
        <v>166</v>
      </c>
      <c r="N18" s="87"/>
      <c r="O18" s="87" t="s">
        <v>153</v>
      </c>
      <c r="P18" s="87"/>
      <c r="Q18" s="87" t="s">
        <v>113</v>
      </c>
      <c r="R18" s="82" t="s">
        <v>114</v>
      </c>
      <c r="S18" s="82"/>
      <c r="T18" s="88" t="s">
        <v>114</v>
      </c>
      <c r="U18" s="93" t="s">
        <v>194</v>
      </c>
      <c r="V18" s="93" t="s">
        <v>184</v>
      </c>
      <c r="W18" s="93" t="s">
        <v>116</v>
      </c>
      <c r="X18" s="82" t="s">
        <v>195</v>
      </c>
      <c r="Y18" s="93" t="s">
        <v>134</v>
      </c>
      <c r="Z18" s="82"/>
      <c r="AA18" s="82"/>
      <c r="AB18" s="82"/>
      <c r="AC18" s="82"/>
      <c r="AD18" s="82"/>
      <c r="AE18" s="82"/>
      <c r="AF18" s="82"/>
      <c r="AG18" s="82"/>
      <c r="AH18" s="93" t="s">
        <v>196</v>
      </c>
      <c r="AI18" s="82"/>
      <c r="AJ18" s="212">
        <v>18.083333333333332</v>
      </c>
      <c r="AK18" s="213">
        <v>5.0691244239631339E-2</v>
      </c>
      <c r="AL18" s="210">
        <v>8</v>
      </c>
      <c r="AM18" s="210">
        <v>1.75</v>
      </c>
      <c r="AN18" s="209">
        <v>2.3689778240740744</v>
      </c>
      <c r="AO18" s="215"/>
      <c r="AP18" s="17">
        <v>6</v>
      </c>
      <c r="AQ18" s="17">
        <v>0</v>
      </c>
      <c r="AR18" s="17">
        <v>0</v>
      </c>
      <c r="AS18" s="17">
        <v>0</v>
      </c>
      <c r="AT18" s="210">
        <v>234.25</v>
      </c>
      <c r="AU18" s="209">
        <v>3.1895303136006019</v>
      </c>
      <c r="AV18" s="208">
        <v>2811</v>
      </c>
      <c r="AW18" s="82"/>
      <c r="AX18" s="82"/>
      <c r="AY18" s="82"/>
      <c r="AZ18" s="82"/>
      <c r="BA18" s="82"/>
      <c r="BB18" s="82"/>
      <c r="BC18" s="82" t="s">
        <v>102</v>
      </c>
      <c r="BD18" s="82" t="s">
        <v>108</v>
      </c>
      <c r="BE18" s="82" t="s">
        <v>108</v>
      </c>
      <c r="BF18" s="82"/>
      <c r="BG18" s="82"/>
      <c r="BH18" s="82"/>
      <c r="BI18" s="82">
        <v>6</v>
      </c>
      <c r="BJ18" s="82"/>
      <c r="BK18" s="82"/>
      <c r="BL18" s="82">
        <v>1</v>
      </c>
      <c r="BM18" s="96">
        <v>386325.72</v>
      </c>
      <c r="BN18" s="89"/>
      <c r="BO18" s="89" t="s">
        <v>104</v>
      </c>
      <c r="BP18" s="89"/>
      <c r="BQ18" s="97">
        <v>815814.36</v>
      </c>
    </row>
    <row r="19" spans="1:73" s="109" customFormat="1" ht="14.45">
      <c r="A19" s="98">
        <f t="shared" si="0"/>
        <v>17</v>
      </c>
      <c r="B19" s="99" t="s">
        <v>89</v>
      </c>
      <c r="C19" s="100" t="s">
        <v>204</v>
      </c>
      <c r="D19" s="99" t="s">
        <v>205</v>
      </c>
      <c r="E19" s="101" t="s">
        <v>139</v>
      </c>
      <c r="F19" s="102" t="s">
        <v>206</v>
      </c>
      <c r="G19" s="103" t="s">
        <v>94</v>
      </c>
      <c r="H19" s="103" t="s">
        <v>128</v>
      </c>
      <c r="I19" s="103" t="s">
        <v>207</v>
      </c>
      <c r="J19" s="103"/>
      <c r="K19" s="103" t="s">
        <v>102</v>
      </c>
      <c r="L19" s="103" t="s">
        <v>208</v>
      </c>
      <c r="M19" s="104" t="s">
        <v>172</v>
      </c>
      <c r="N19" s="103"/>
      <c r="O19" s="103" t="s">
        <v>100</v>
      </c>
      <c r="P19" s="103"/>
      <c r="Q19" s="103" t="s">
        <v>113</v>
      </c>
      <c r="R19" s="98" t="s">
        <v>102</v>
      </c>
      <c r="S19" s="98"/>
      <c r="T19" s="105" t="s">
        <v>114</v>
      </c>
      <c r="U19" s="98" t="s">
        <v>173</v>
      </c>
      <c r="V19" s="98" t="s">
        <v>184</v>
      </c>
      <c r="W19" s="98" t="s">
        <v>116</v>
      </c>
      <c r="X19" s="98" t="s">
        <v>209</v>
      </c>
      <c r="Y19" s="98" t="s">
        <v>210</v>
      </c>
      <c r="Z19" s="98"/>
      <c r="AA19" s="98"/>
      <c r="AB19" s="98"/>
      <c r="AC19" s="98"/>
      <c r="AD19" s="98"/>
      <c r="AE19" s="98"/>
      <c r="AF19" s="98"/>
      <c r="AG19" s="98"/>
      <c r="AH19" s="98" t="s">
        <v>196</v>
      </c>
      <c r="AI19" s="98"/>
      <c r="AJ19" s="212">
        <v>2.6666666666666665</v>
      </c>
      <c r="AK19" s="213">
        <v>0</v>
      </c>
      <c r="AL19" s="210">
        <v>1.25</v>
      </c>
      <c r="AM19" s="210">
        <v>0.58333333333333337</v>
      </c>
      <c r="AN19" s="209">
        <v>0.53249292695473249</v>
      </c>
      <c r="AO19" s="217"/>
      <c r="AP19" s="17">
        <v>0</v>
      </c>
      <c r="AQ19" s="17">
        <v>0</v>
      </c>
      <c r="AR19" s="17">
        <v>0</v>
      </c>
      <c r="AS19" s="17">
        <v>0</v>
      </c>
      <c r="AT19" s="210">
        <v>38.083333333333336</v>
      </c>
      <c r="AU19" s="209">
        <v>18.225407986111101</v>
      </c>
      <c r="AV19" s="208">
        <v>457</v>
      </c>
      <c r="AW19" s="98"/>
      <c r="AX19" s="98"/>
      <c r="AY19" s="98"/>
      <c r="AZ19" s="98"/>
      <c r="BA19" s="98"/>
      <c r="BB19" s="98"/>
      <c r="BC19" s="98" t="s">
        <v>102</v>
      </c>
      <c r="BD19" s="98" t="s">
        <v>108</v>
      </c>
      <c r="BE19" s="98" t="s">
        <v>108</v>
      </c>
      <c r="BF19" s="98"/>
      <c r="BG19" s="98"/>
      <c r="BH19" s="98"/>
      <c r="BI19" s="98" t="s">
        <v>104</v>
      </c>
      <c r="BJ19" s="98"/>
      <c r="BK19" s="98"/>
      <c r="BL19" s="98" t="s">
        <v>104</v>
      </c>
      <c r="BM19" s="106">
        <v>32139.07</v>
      </c>
      <c r="BN19" s="107"/>
      <c r="BO19" s="107" t="s">
        <v>104</v>
      </c>
      <c r="BP19" s="107"/>
      <c r="BQ19" s="108" t="s">
        <v>104</v>
      </c>
    </row>
    <row r="20" spans="1:73" s="141" customFormat="1" ht="14.45">
      <c r="A20" s="130">
        <f t="shared" si="0"/>
        <v>18</v>
      </c>
      <c r="B20" s="131" t="s">
        <v>211</v>
      </c>
      <c r="C20" s="132" t="s">
        <v>212</v>
      </c>
      <c r="D20" s="131" t="s">
        <v>213</v>
      </c>
      <c r="E20" s="133" t="s">
        <v>214</v>
      </c>
      <c r="F20" s="134" t="s">
        <v>215</v>
      </c>
      <c r="G20" s="135" t="s">
        <v>94</v>
      </c>
      <c r="H20" s="135" t="s">
        <v>95</v>
      </c>
      <c r="I20" s="135" t="s">
        <v>149</v>
      </c>
      <c r="J20" s="135"/>
      <c r="K20" s="135" t="s">
        <v>112</v>
      </c>
      <c r="L20" s="135" t="s">
        <v>98</v>
      </c>
      <c r="M20" s="134" t="s">
        <v>172</v>
      </c>
      <c r="N20" s="135"/>
      <c r="O20" s="135" t="s">
        <v>100</v>
      </c>
      <c r="P20" s="135"/>
      <c r="Q20" s="135" t="s">
        <v>216</v>
      </c>
      <c r="R20" s="130" t="s">
        <v>114</v>
      </c>
      <c r="S20" s="130"/>
      <c r="T20" s="136" t="s">
        <v>114</v>
      </c>
      <c r="U20" s="130"/>
      <c r="V20" s="130" t="s">
        <v>217</v>
      </c>
      <c r="W20" s="130" t="s">
        <v>218</v>
      </c>
      <c r="X20" s="130" t="s">
        <v>219</v>
      </c>
      <c r="Y20" s="130" t="s">
        <v>118</v>
      </c>
      <c r="Z20" s="130"/>
      <c r="AA20" s="130"/>
      <c r="AB20" s="130"/>
      <c r="AC20" s="130"/>
      <c r="AD20" s="130"/>
      <c r="AE20" s="130"/>
      <c r="AF20" s="130"/>
      <c r="AG20" s="130"/>
      <c r="AH20" s="130" t="s">
        <v>107</v>
      </c>
      <c r="AI20" s="130" t="s">
        <v>114</v>
      </c>
      <c r="AJ20" s="212">
        <v>0.16666666666666666</v>
      </c>
      <c r="AK20" s="213">
        <v>0</v>
      </c>
      <c r="AL20" s="210">
        <v>8.3333333333333329E-2</v>
      </c>
      <c r="AM20" s="210">
        <v>8.3333333333333329E-2</v>
      </c>
      <c r="AN20" s="209">
        <v>3.5879629629629629E-4</v>
      </c>
      <c r="AO20" s="220"/>
      <c r="AP20" s="17">
        <v>0</v>
      </c>
      <c r="AQ20" s="17">
        <v>0</v>
      </c>
      <c r="AR20" s="17">
        <v>0</v>
      </c>
      <c r="AS20" s="17">
        <v>0</v>
      </c>
      <c r="AT20" s="210">
        <v>9.25</v>
      </c>
      <c r="AU20" s="209">
        <v>3.8937279483430793</v>
      </c>
      <c r="AV20" s="208">
        <v>111</v>
      </c>
      <c r="AW20" s="130"/>
      <c r="AX20" s="130"/>
      <c r="AY20" s="130"/>
      <c r="AZ20" s="130"/>
      <c r="BA20" s="130"/>
      <c r="BB20" s="130"/>
      <c r="BC20" s="130" t="s">
        <v>114</v>
      </c>
      <c r="BD20" s="130" t="s">
        <v>108</v>
      </c>
      <c r="BE20" s="130">
        <v>20</v>
      </c>
      <c r="BF20" s="130">
        <v>13</v>
      </c>
      <c r="BG20" s="130">
        <v>6</v>
      </c>
      <c r="BH20" s="137">
        <v>836728.65</v>
      </c>
      <c r="BI20" s="139">
        <v>13</v>
      </c>
      <c r="BJ20" s="130"/>
      <c r="BK20" s="130"/>
      <c r="BL20" s="130">
        <v>6</v>
      </c>
      <c r="BM20" s="137">
        <v>836728.65</v>
      </c>
      <c r="BN20" s="138">
        <v>981040</v>
      </c>
      <c r="BO20" s="137"/>
      <c r="BP20" s="137"/>
      <c r="BQ20" s="137" t="s">
        <v>104</v>
      </c>
      <c r="BR20" s="140"/>
      <c r="BS20" s="140"/>
      <c r="BT20" s="140"/>
      <c r="BU20" s="140"/>
    </row>
    <row r="21" spans="1:73" s="141" customFormat="1" ht="14.45">
      <c r="A21" s="130">
        <f t="shared" si="0"/>
        <v>19</v>
      </c>
      <c r="B21" s="131" t="s">
        <v>211</v>
      </c>
      <c r="C21" s="132" t="s">
        <v>220</v>
      </c>
      <c r="D21" s="131" t="s">
        <v>221</v>
      </c>
      <c r="E21" s="133" t="s">
        <v>214</v>
      </c>
      <c r="F21" s="142" t="s">
        <v>222</v>
      </c>
      <c r="G21" s="135" t="s">
        <v>94</v>
      </c>
      <c r="H21" s="135" t="s">
        <v>223</v>
      </c>
      <c r="I21" s="135" t="s">
        <v>224</v>
      </c>
      <c r="J21" s="135" t="s">
        <v>112</v>
      </c>
      <c r="K21" s="135" t="s">
        <v>112</v>
      </c>
      <c r="L21" s="135" t="s">
        <v>165</v>
      </c>
      <c r="M21" s="135" t="s">
        <v>99</v>
      </c>
      <c r="O21" s="135" t="s">
        <v>100</v>
      </c>
      <c r="P21" s="135"/>
      <c r="Q21" s="135" t="s">
        <v>216</v>
      </c>
      <c r="R21" s="130" t="s">
        <v>114</v>
      </c>
      <c r="S21" s="130"/>
      <c r="T21" s="136" t="s">
        <v>114</v>
      </c>
      <c r="U21" s="130" t="s">
        <v>115</v>
      </c>
      <c r="V21" s="130" t="s">
        <v>225</v>
      </c>
      <c r="W21" s="130" t="s">
        <v>226</v>
      </c>
      <c r="X21" s="130" t="s">
        <v>227</v>
      </c>
      <c r="Y21" s="130" t="s">
        <v>156</v>
      </c>
      <c r="Z21" s="130"/>
      <c r="AA21" s="130"/>
      <c r="AB21" s="130"/>
      <c r="AC21" s="130"/>
      <c r="AD21" s="130"/>
      <c r="AE21" s="130"/>
      <c r="AF21" s="130"/>
      <c r="AG21" s="130"/>
      <c r="AH21" s="130" t="s">
        <v>157</v>
      </c>
      <c r="AI21" s="130" t="s">
        <v>114</v>
      </c>
      <c r="AJ21" s="212">
        <v>36.5</v>
      </c>
      <c r="AK21" s="213">
        <v>2.2831050228310501E-3</v>
      </c>
      <c r="AL21" s="210">
        <v>1.5</v>
      </c>
      <c r="AM21" s="210">
        <v>25.416666666666668</v>
      </c>
      <c r="AN21" s="209">
        <v>3.5534474448168467</v>
      </c>
      <c r="AO21" s="220"/>
      <c r="AP21" s="17">
        <v>2</v>
      </c>
      <c r="AQ21" s="17">
        <v>8.3333333333333329E-2</v>
      </c>
      <c r="AR21" s="17">
        <v>128.98402777777778</v>
      </c>
      <c r="AS21" s="17">
        <v>0</v>
      </c>
      <c r="AT21" s="210">
        <v>44.583333333333336</v>
      </c>
      <c r="AU21" s="209">
        <v>2.8015346880371901</v>
      </c>
      <c r="AV21" s="208">
        <v>535</v>
      </c>
      <c r="AW21" s="130"/>
      <c r="AX21" s="130"/>
      <c r="AY21" s="130"/>
      <c r="AZ21" s="130"/>
      <c r="BA21" s="130"/>
      <c r="BB21" s="130"/>
      <c r="BC21" s="130" t="s">
        <v>114</v>
      </c>
      <c r="BD21" s="130" t="s">
        <v>108</v>
      </c>
      <c r="BE21" s="130">
        <v>20</v>
      </c>
      <c r="BF21" s="130">
        <v>13</v>
      </c>
      <c r="BG21" s="130">
        <v>6</v>
      </c>
      <c r="BH21" s="137">
        <v>836728.65</v>
      </c>
      <c r="BI21" s="139">
        <v>13</v>
      </c>
      <c r="BJ21" s="130"/>
      <c r="BK21" s="130"/>
      <c r="BL21" s="130">
        <v>6</v>
      </c>
      <c r="BM21" s="137">
        <v>836728.65</v>
      </c>
      <c r="BN21" s="138">
        <v>981040</v>
      </c>
      <c r="BO21" s="137"/>
      <c r="BP21" s="137"/>
      <c r="BQ21" s="137" t="s">
        <v>104</v>
      </c>
      <c r="BR21" s="140"/>
      <c r="BS21" s="140"/>
      <c r="BT21" s="140"/>
      <c r="BU21" s="140"/>
    </row>
    <row r="22" spans="1:73" s="141" customFormat="1" ht="14.45">
      <c r="A22" s="130">
        <f t="shared" si="0"/>
        <v>20</v>
      </c>
      <c r="B22" s="131" t="s">
        <v>211</v>
      </c>
      <c r="C22" s="132" t="s">
        <v>228</v>
      </c>
      <c r="D22" s="131" t="s">
        <v>229</v>
      </c>
      <c r="E22" s="133" t="s">
        <v>214</v>
      </c>
      <c r="F22" s="142" t="s">
        <v>230</v>
      </c>
      <c r="G22" s="135" t="s">
        <v>94</v>
      </c>
      <c r="H22" s="135" t="s">
        <v>128</v>
      </c>
      <c r="I22" s="135" t="s">
        <v>149</v>
      </c>
      <c r="J22" s="135"/>
      <c r="K22" s="135" t="s">
        <v>112</v>
      </c>
      <c r="L22" s="135" t="s">
        <v>165</v>
      </c>
      <c r="M22" s="135" t="s">
        <v>99</v>
      </c>
      <c r="N22" s="135"/>
      <c r="O22" s="135" t="s">
        <v>100</v>
      </c>
      <c r="P22" s="135"/>
      <c r="Q22" s="135" t="s">
        <v>101</v>
      </c>
      <c r="R22" s="130" t="s">
        <v>114</v>
      </c>
      <c r="S22" s="130"/>
      <c r="T22" s="136" t="s">
        <v>114</v>
      </c>
      <c r="U22" s="130" t="s">
        <v>115</v>
      </c>
      <c r="V22" s="130" t="s">
        <v>225</v>
      </c>
      <c r="W22" s="130" t="s">
        <v>226</v>
      </c>
      <c r="X22" s="130" t="s">
        <v>231</v>
      </c>
      <c r="Y22" s="130" t="s">
        <v>156</v>
      </c>
      <c r="Z22" s="130"/>
      <c r="AA22" s="130"/>
      <c r="AB22" s="130"/>
      <c r="AC22" s="130"/>
      <c r="AD22" s="130"/>
      <c r="AE22" s="130"/>
      <c r="AF22" s="130"/>
      <c r="AG22" s="130"/>
      <c r="AH22" s="130" t="s">
        <v>157</v>
      </c>
      <c r="AI22" s="130" t="s">
        <v>114</v>
      </c>
      <c r="AJ22" s="212">
        <v>0</v>
      </c>
      <c r="AK22" s="213">
        <v>0</v>
      </c>
      <c r="AL22" s="210">
        <v>0</v>
      </c>
      <c r="AM22" s="210">
        <v>0</v>
      </c>
      <c r="AN22" s="209">
        <v>0</v>
      </c>
      <c r="AO22" s="220"/>
      <c r="AP22" s="17">
        <v>0</v>
      </c>
      <c r="AQ22" s="17">
        <v>0</v>
      </c>
      <c r="AR22" s="17">
        <v>0</v>
      </c>
      <c r="AS22" s="17">
        <v>0</v>
      </c>
      <c r="AT22" s="210">
        <v>24.333333333333332</v>
      </c>
      <c r="AU22" s="209">
        <v>3.4829028880070578</v>
      </c>
      <c r="AV22" s="208">
        <v>292</v>
      </c>
      <c r="AW22" s="130"/>
      <c r="AX22" s="130"/>
      <c r="AY22" s="130"/>
      <c r="AZ22" s="130"/>
      <c r="BA22" s="130"/>
      <c r="BB22" s="130"/>
      <c r="BC22" s="130" t="s">
        <v>114</v>
      </c>
      <c r="BD22" s="130" t="s">
        <v>108</v>
      </c>
      <c r="BE22" s="130">
        <v>20</v>
      </c>
      <c r="BF22" s="130">
        <v>13</v>
      </c>
      <c r="BG22" s="130">
        <v>6</v>
      </c>
      <c r="BH22" s="137">
        <v>836728.65</v>
      </c>
      <c r="BI22" s="139">
        <v>13</v>
      </c>
      <c r="BJ22" s="130"/>
      <c r="BK22" s="130"/>
      <c r="BL22" s="130">
        <v>6</v>
      </c>
      <c r="BM22" s="137">
        <v>836728.65</v>
      </c>
      <c r="BN22" s="138">
        <v>981040</v>
      </c>
      <c r="BO22" s="137"/>
      <c r="BP22" s="137"/>
      <c r="BQ22" s="137" t="s">
        <v>104</v>
      </c>
    </row>
    <row r="23" spans="1:73" s="187" customFormat="1" ht="14.45">
      <c r="A23" s="176">
        <f t="shared" si="0"/>
        <v>21</v>
      </c>
      <c r="B23" s="177" t="s">
        <v>89</v>
      </c>
      <c r="C23" s="178" t="s">
        <v>232</v>
      </c>
      <c r="D23" s="177" t="s">
        <v>233</v>
      </c>
      <c r="E23" s="179" t="s">
        <v>234</v>
      </c>
      <c r="F23" s="180" t="s">
        <v>235</v>
      </c>
      <c r="G23" s="188" t="s">
        <v>94</v>
      </c>
      <c r="H23" s="181" t="s">
        <v>95</v>
      </c>
      <c r="I23" s="181" t="s">
        <v>236</v>
      </c>
      <c r="J23" s="181"/>
      <c r="K23" s="181" t="s">
        <v>97</v>
      </c>
      <c r="L23" s="181" t="s">
        <v>98</v>
      </c>
      <c r="M23" s="181" t="s">
        <v>99</v>
      </c>
      <c r="N23" s="181"/>
      <c r="O23" s="181" t="s">
        <v>100</v>
      </c>
      <c r="P23" s="182"/>
      <c r="Q23" s="182" t="s">
        <v>113</v>
      </c>
      <c r="R23" s="182" t="s">
        <v>102</v>
      </c>
      <c r="S23" s="182"/>
      <c r="T23" s="183" t="s">
        <v>114</v>
      </c>
      <c r="U23" s="181"/>
      <c r="V23" s="181" t="s">
        <v>237</v>
      </c>
      <c r="W23" s="181" t="s">
        <v>226</v>
      </c>
      <c r="X23" s="181" t="s">
        <v>238</v>
      </c>
      <c r="Y23" s="181" t="s">
        <v>118</v>
      </c>
      <c r="Z23" s="181"/>
      <c r="AA23" s="181"/>
      <c r="AB23" s="181"/>
      <c r="AC23" s="181"/>
      <c r="AD23" s="181"/>
      <c r="AE23" s="181"/>
      <c r="AF23" s="181"/>
      <c r="AG23" s="181"/>
      <c r="AH23" s="181" t="s">
        <v>157</v>
      </c>
      <c r="AI23" s="181"/>
      <c r="AJ23" s="212">
        <v>2</v>
      </c>
      <c r="AK23" s="213">
        <v>8.3333333333333329E-2</v>
      </c>
      <c r="AL23" s="210">
        <v>0</v>
      </c>
      <c r="AM23" s="210">
        <v>1.5833333333333333</v>
      </c>
      <c r="AN23" s="209">
        <v>0.47274427387914225</v>
      </c>
      <c r="AO23" s="221"/>
      <c r="AP23" s="17">
        <v>1</v>
      </c>
      <c r="AQ23" s="17">
        <v>0</v>
      </c>
      <c r="AR23" s="17">
        <v>0</v>
      </c>
      <c r="AS23" s="17">
        <v>0</v>
      </c>
      <c r="AT23" s="210">
        <v>51.25</v>
      </c>
      <c r="AU23" s="209">
        <v>3.3155561731975567</v>
      </c>
      <c r="AV23" s="208">
        <v>615</v>
      </c>
      <c r="AW23" s="181"/>
      <c r="AX23" s="181"/>
      <c r="AY23" s="181"/>
      <c r="AZ23" s="181"/>
      <c r="BA23" s="181"/>
      <c r="BB23" s="181"/>
      <c r="BC23" s="181" t="s">
        <v>114</v>
      </c>
      <c r="BD23" s="184" t="s">
        <v>108</v>
      </c>
      <c r="BE23" s="185">
        <f t="shared" ref="BE23:BE27" si="1">3/8*100</f>
        <v>37.5</v>
      </c>
      <c r="BF23" s="181"/>
      <c r="BG23" s="181"/>
      <c r="BH23" s="181"/>
      <c r="BI23" s="184">
        <v>8</v>
      </c>
      <c r="BJ23" s="181"/>
      <c r="BK23" s="181"/>
      <c r="BL23" s="181" t="s">
        <v>108</v>
      </c>
      <c r="BM23" s="181">
        <v>918000</v>
      </c>
      <c r="BN23" s="181"/>
      <c r="BO23" s="181"/>
      <c r="BP23" s="181"/>
      <c r="BQ23" s="181"/>
      <c r="BR23" s="186"/>
      <c r="BS23" s="186"/>
      <c r="BT23" s="186"/>
      <c r="BU23" s="186"/>
    </row>
    <row r="24" spans="1:73" s="187" customFormat="1" ht="14.45">
      <c r="A24" s="176">
        <f t="shared" si="0"/>
        <v>22</v>
      </c>
      <c r="B24" s="177" t="s">
        <v>211</v>
      </c>
      <c r="C24" s="178" t="s">
        <v>239</v>
      </c>
      <c r="D24" s="177" t="s">
        <v>240</v>
      </c>
      <c r="E24" s="179" t="s">
        <v>234</v>
      </c>
      <c r="F24" s="180" t="s">
        <v>241</v>
      </c>
      <c r="G24" s="188" t="s">
        <v>94</v>
      </c>
      <c r="H24" s="181" t="s">
        <v>141</v>
      </c>
      <c r="I24" s="181" t="s">
        <v>224</v>
      </c>
      <c r="J24" s="181"/>
      <c r="K24" s="181" t="s">
        <v>112</v>
      </c>
      <c r="L24" s="181" t="s">
        <v>98</v>
      </c>
      <c r="M24" s="181" t="s">
        <v>99</v>
      </c>
      <c r="N24" s="181"/>
      <c r="O24" s="181" t="s">
        <v>100</v>
      </c>
      <c r="P24" s="182"/>
      <c r="Q24" s="182" t="s">
        <v>216</v>
      </c>
      <c r="R24" s="182" t="s">
        <v>102</v>
      </c>
      <c r="S24" s="182"/>
      <c r="T24" s="183" t="s">
        <v>114</v>
      </c>
      <c r="U24" s="181"/>
      <c r="V24" s="181" t="s">
        <v>237</v>
      </c>
      <c r="W24" s="181" t="s">
        <v>226</v>
      </c>
      <c r="X24" s="181" t="s">
        <v>238</v>
      </c>
      <c r="Y24" s="181" t="s">
        <v>118</v>
      </c>
      <c r="Z24" s="181"/>
      <c r="AA24" s="181"/>
      <c r="AB24" s="181"/>
      <c r="AC24" s="181"/>
      <c r="AD24" s="181"/>
      <c r="AE24" s="181"/>
      <c r="AF24" s="181"/>
      <c r="AG24" s="181"/>
      <c r="AH24" s="181" t="s">
        <v>107</v>
      </c>
      <c r="AI24" s="181"/>
      <c r="AJ24" s="212">
        <v>0.58333333333333337</v>
      </c>
      <c r="AK24" s="213">
        <v>0.2857142857142857</v>
      </c>
      <c r="AL24" s="210">
        <v>0</v>
      </c>
      <c r="AM24" s="210">
        <v>0</v>
      </c>
      <c r="AN24" s="209">
        <v>10.570810185185186</v>
      </c>
      <c r="AO24" s="221"/>
      <c r="AP24" s="17">
        <v>0</v>
      </c>
      <c r="AQ24" s="17">
        <v>0</v>
      </c>
      <c r="AR24" s="17">
        <v>0</v>
      </c>
      <c r="AS24" s="17">
        <v>0</v>
      </c>
      <c r="AT24" s="210">
        <v>50.416666666666664</v>
      </c>
      <c r="AU24" s="209">
        <v>3.2748007389812601</v>
      </c>
      <c r="AV24" s="208">
        <v>605</v>
      </c>
      <c r="AW24" s="181"/>
      <c r="AX24" s="181"/>
      <c r="AY24" s="181"/>
      <c r="AZ24" s="181"/>
      <c r="BA24" s="181"/>
      <c r="BB24" s="181"/>
      <c r="BC24" s="181" t="s">
        <v>114</v>
      </c>
      <c r="BD24" s="184" t="s">
        <v>108</v>
      </c>
      <c r="BE24" s="185">
        <f t="shared" si="1"/>
        <v>37.5</v>
      </c>
      <c r="BF24" s="181"/>
      <c r="BG24" s="181"/>
      <c r="BH24" s="181"/>
      <c r="BI24" s="184">
        <v>8</v>
      </c>
      <c r="BJ24" s="181"/>
      <c r="BK24" s="181"/>
      <c r="BL24" s="181" t="s">
        <v>108</v>
      </c>
      <c r="BM24" s="181"/>
      <c r="BN24" s="181"/>
      <c r="BO24" s="181"/>
      <c r="BP24" s="181"/>
      <c r="BQ24" s="181"/>
      <c r="BR24" s="186"/>
      <c r="BS24" s="186"/>
      <c r="BT24" s="186"/>
      <c r="BU24" s="186"/>
    </row>
    <row r="25" spans="1:73" s="187" customFormat="1" ht="14.45">
      <c r="A25" s="176">
        <f t="shared" si="0"/>
        <v>23</v>
      </c>
      <c r="B25" s="177" t="s">
        <v>211</v>
      </c>
      <c r="C25" s="178" t="s">
        <v>242</v>
      </c>
      <c r="D25" s="177" t="s">
        <v>243</v>
      </c>
      <c r="E25" s="179" t="s">
        <v>234</v>
      </c>
      <c r="F25" s="180" t="s">
        <v>244</v>
      </c>
      <c r="G25" s="188" t="s">
        <v>94</v>
      </c>
      <c r="H25" s="181" t="s">
        <v>141</v>
      </c>
      <c r="I25" s="181" t="s">
        <v>224</v>
      </c>
      <c r="J25" s="181"/>
      <c r="K25" s="181" t="s">
        <v>112</v>
      </c>
      <c r="L25" s="188" t="s">
        <v>165</v>
      </c>
      <c r="M25" s="181" t="s">
        <v>99</v>
      </c>
      <c r="N25" s="181"/>
      <c r="O25" s="181" t="s">
        <v>100</v>
      </c>
      <c r="P25" s="182"/>
      <c r="Q25" s="182" t="s">
        <v>216</v>
      </c>
      <c r="R25" s="182" t="s">
        <v>102</v>
      </c>
      <c r="S25" s="182"/>
      <c r="T25" s="183" t="s">
        <v>114</v>
      </c>
      <c r="U25" s="181"/>
      <c r="V25" s="181" t="s">
        <v>237</v>
      </c>
      <c r="W25" s="181" t="s">
        <v>245</v>
      </c>
      <c r="X25" s="181" t="s">
        <v>246</v>
      </c>
      <c r="Y25" s="181" t="s">
        <v>118</v>
      </c>
      <c r="Z25" s="181"/>
      <c r="AA25" s="181"/>
      <c r="AB25" s="181"/>
      <c r="AC25" s="181"/>
      <c r="AD25" s="181"/>
      <c r="AE25" s="181"/>
      <c r="AF25" s="181"/>
      <c r="AG25" s="181"/>
      <c r="AH25" s="181" t="s">
        <v>135</v>
      </c>
      <c r="AI25" s="181"/>
      <c r="AJ25" s="212">
        <v>0</v>
      </c>
      <c r="AK25" s="213">
        <v>0</v>
      </c>
      <c r="AL25" s="210">
        <v>0</v>
      </c>
      <c r="AM25" s="210">
        <v>0</v>
      </c>
      <c r="AN25" s="209">
        <v>0</v>
      </c>
      <c r="AO25" s="221"/>
      <c r="AP25" s="17">
        <v>0</v>
      </c>
      <c r="AQ25" s="17">
        <v>0</v>
      </c>
      <c r="AR25" s="17">
        <v>0</v>
      </c>
      <c r="AS25" s="17">
        <v>0</v>
      </c>
      <c r="AT25" s="210">
        <v>7.75</v>
      </c>
      <c r="AU25" s="209">
        <v>4.8797011408730144</v>
      </c>
      <c r="AV25" s="208">
        <v>93</v>
      </c>
      <c r="AW25" s="181"/>
      <c r="AX25" s="181"/>
      <c r="AY25" s="181"/>
      <c r="AZ25" s="181"/>
      <c r="BA25" s="181"/>
      <c r="BB25" s="181"/>
      <c r="BC25" s="181" t="s">
        <v>114</v>
      </c>
      <c r="BD25" s="184" t="s">
        <v>108</v>
      </c>
      <c r="BE25" s="185">
        <f t="shared" si="1"/>
        <v>37.5</v>
      </c>
      <c r="BF25" s="181"/>
      <c r="BG25" s="181"/>
      <c r="BH25" s="181"/>
      <c r="BI25" s="184">
        <v>8</v>
      </c>
      <c r="BJ25" s="181"/>
      <c r="BK25" s="181"/>
      <c r="BL25" s="181" t="s">
        <v>108</v>
      </c>
      <c r="BM25" s="181"/>
      <c r="BN25" s="181"/>
      <c r="BO25" s="181"/>
      <c r="BP25" s="181"/>
      <c r="BQ25" s="181"/>
      <c r="BR25" s="186"/>
      <c r="BS25" s="186"/>
      <c r="BT25" s="186"/>
      <c r="BU25" s="186"/>
    </row>
    <row r="26" spans="1:73" s="187" customFormat="1" ht="14.45">
      <c r="A26" s="184">
        <f t="shared" si="0"/>
        <v>24</v>
      </c>
      <c r="B26" s="177" t="s">
        <v>211</v>
      </c>
      <c r="C26" s="178" t="s">
        <v>247</v>
      </c>
      <c r="D26" s="177" t="s">
        <v>248</v>
      </c>
      <c r="E26" s="179" t="s">
        <v>234</v>
      </c>
      <c r="F26" s="189" t="s">
        <v>249</v>
      </c>
      <c r="G26" s="188" t="s">
        <v>94</v>
      </c>
      <c r="H26" s="188" t="s">
        <v>223</v>
      </c>
      <c r="I26" s="188" t="s">
        <v>224</v>
      </c>
      <c r="J26" s="188"/>
      <c r="K26" s="181" t="s">
        <v>112</v>
      </c>
      <c r="L26" s="181" t="s">
        <v>98</v>
      </c>
      <c r="M26" s="181" t="s">
        <v>99</v>
      </c>
      <c r="N26" s="188"/>
      <c r="O26" s="181" t="s">
        <v>100</v>
      </c>
      <c r="P26" s="188"/>
      <c r="Q26" s="188" t="s">
        <v>216</v>
      </c>
      <c r="R26" s="184" t="s">
        <v>102</v>
      </c>
      <c r="S26" s="184"/>
      <c r="T26" s="183" t="s">
        <v>114</v>
      </c>
      <c r="U26" s="184"/>
      <c r="V26" s="181" t="s">
        <v>237</v>
      </c>
      <c r="W26" s="181" t="s">
        <v>226</v>
      </c>
      <c r="X26" s="184" t="s">
        <v>238</v>
      </c>
      <c r="Y26" s="184" t="s">
        <v>118</v>
      </c>
      <c r="Z26" s="184"/>
      <c r="AA26" s="184"/>
      <c r="AB26" s="184"/>
      <c r="AC26" s="184"/>
      <c r="AD26" s="184"/>
      <c r="AE26" s="184"/>
      <c r="AF26" s="184"/>
      <c r="AG26" s="184"/>
      <c r="AH26" s="184" t="s">
        <v>119</v>
      </c>
      <c r="AI26" s="184"/>
      <c r="AJ26" s="212">
        <v>0.75</v>
      </c>
      <c r="AK26" s="213">
        <v>0.22222222222222221</v>
      </c>
      <c r="AL26" s="210">
        <v>8.3333333333333329E-2</v>
      </c>
      <c r="AM26" s="210">
        <v>0.16666666666666666</v>
      </c>
      <c r="AN26" s="209">
        <v>1.7228317901234569</v>
      </c>
      <c r="AO26" s="185"/>
      <c r="AP26" s="17">
        <v>0</v>
      </c>
      <c r="AQ26" s="17">
        <v>0</v>
      </c>
      <c r="AR26" s="17">
        <v>0</v>
      </c>
      <c r="AS26" s="17">
        <v>0</v>
      </c>
      <c r="AT26" s="210">
        <v>51.666666666666664</v>
      </c>
      <c r="AU26" s="209">
        <v>3.3330320866478451</v>
      </c>
      <c r="AV26" s="208">
        <v>620</v>
      </c>
      <c r="AW26" s="184"/>
      <c r="AX26" s="184"/>
      <c r="AY26" s="184"/>
      <c r="AZ26" s="184"/>
      <c r="BA26" s="184"/>
      <c r="BB26" s="184"/>
      <c r="BC26" s="181" t="s">
        <v>114</v>
      </c>
      <c r="BD26" s="184" t="s">
        <v>108</v>
      </c>
      <c r="BE26" s="185">
        <f t="shared" si="1"/>
        <v>37.5</v>
      </c>
      <c r="BF26" s="184"/>
      <c r="BG26" s="184"/>
      <c r="BH26" s="184"/>
      <c r="BI26" s="184">
        <v>8</v>
      </c>
      <c r="BJ26" s="184"/>
      <c r="BK26" s="184"/>
      <c r="BL26" s="181" t="s">
        <v>108</v>
      </c>
      <c r="BM26" s="181"/>
      <c r="BN26" s="181"/>
      <c r="BO26" s="181"/>
      <c r="BP26" s="181"/>
      <c r="BQ26" s="181"/>
      <c r="BR26" s="186"/>
      <c r="BS26" s="186"/>
      <c r="BT26" s="186"/>
      <c r="BU26" s="186"/>
    </row>
    <row r="27" spans="1:73" s="187" customFormat="1" ht="14.45">
      <c r="A27" s="184">
        <f t="shared" si="0"/>
        <v>25</v>
      </c>
      <c r="B27" s="177" t="s">
        <v>89</v>
      </c>
      <c r="C27" s="178" t="s">
        <v>250</v>
      </c>
      <c r="D27" s="177" t="s">
        <v>251</v>
      </c>
      <c r="E27" s="179" t="s">
        <v>234</v>
      </c>
      <c r="F27" s="189" t="s">
        <v>252</v>
      </c>
      <c r="G27" s="188" t="s">
        <v>94</v>
      </c>
      <c r="H27" s="188" t="s">
        <v>95</v>
      </c>
      <c r="I27" s="188" t="s">
        <v>236</v>
      </c>
      <c r="J27" s="188"/>
      <c r="K27" s="188" t="s">
        <v>97</v>
      </c>
      <c r="L27" s="181" t="s">
        <v>98</v>
      </c>
      <c r="M27" s="181" t="s">
        <v>99</v>
      </c>
      <c r="N27" s="188"/>
      <c r="O27" s="181" t="s">
        <v>100</v>
      </c>
      <c r="P27" s="188"/>
      <c r="Q27" s="188" t="s">
        <v>101</v>
      </c>
      <c r="R27" s="184" t="s">
        <v>102</v>
      </c>
      <c r="S27" s="184"/>
      <c r="T27" s="183" t="s">
        <v>114</v>
      </c>
      <c r="U27" s="184"/>
      <c r="V27" s="181" t="s">
        <v>237</v>
      </c>
      <c r="W27" s="181" t="s">
        <v>245</v>
      </c>
      <c r="X27" s="184" t="s">
        <v>246</v>
      </c>
      <c r="Y27" s="184" t="s">
        <v>118</v>
      </c>
      <c r="Z27" s="184"/>
      <c r="AA27" s="184"/>
      <c r="AB27" s="184"/>
      <c r="AC27" s="184"/>
      <c r="AD27" s="184"/>
      <c r="AE27" s="184"/>
      <c r="AF27" s="184"/>
      <c r="AG27" s="184"/>
      <c r="AH27" s="184" t="s">
        <v>135</v>
      </c>
      <c r="AI27" s="184"/>
      <c r="AJ27" s="212">
        <v>0</v>
      </c>
      <c r="AK27" s="213">
        <v>0</v>
      </c>
      <c r="AL27" s="210">
        <v>0</v>
      </c>
      <c r="AM27" s="210">
        <v>0</v>
      </c>
      <c r="AN27" s="209">
        <v>0</v>
      </c>
      <c r="AO27" s="185"/>
      <c r="AP27" s="17">
        <v>0</v>
      </c>
      <c r="AQ27" s="17">
        <v>0</v>
      </c>
      <c r="AR27" s="17">
        <v>0</v>
      </c>
      <c r="AS27" s="17">
        <v>0</v>
      </c>
      <c r="AT27" s="210">
        <v>9.1666666666666661</v>
      </c>
      <c r="AU27" s="209">
        <v>3.0374997752606934</v>
      </c>
      <c r="AV27" s="208">
        <v>110</v>
      </c>
      <c r="AW27" s="184"/>
      <c r="AX27" s="184"/>
      <c r="AY27" s="184"/>
      <c r="AZ27" s="184"/>
      <c r="BA27" s="184"/>
      <c r="BB27" s="184"/>
      <c r="BC27" s="181" t="s">
        <v>114</v>
      </c>
      <c r="BD27" s="184" t="s">
        <v>108</v>
      </c>
      <c r="BE27" s="185">
        <f t="shared" si="1"/>
        <v>37.5</v>
      </c>
      <c r="BF27" s="184"/>
      <c r="BG27" s="184"/>
      <c r="BH27" s="184"/>
      <c r="BI27" s="184">
        <v>8</v>
      </c>
      <c r="BJ27" s="184"/>
      <c r="BK27" s="184"/>
      <c r="BL27" s="181" t="s">
        <v>108</v>
      </c>
      <c r="BM27" s="181"/>
      <c r="BN27" s="181"/>
      <c r="BO27" s="181"/>
      <c r="BP27" s="181"/>
      <c r="BQ27" s="181"/>
      <c r="BR27" s="186"/>
      <c r="BS27" s="186"/>
      <c r="BT27" s="186"/>
      <c r="BU27" s="186"/>
    </row>
    <row r="28" spans="1:73" s="187" customFormat="1" ht="14.25" customHeight="1">
      <c r="A28" s="184">
        <f t="shared" si="0"/>
        <v>26</v>
      </c>
      <c r="B28" s="177" t="s">
        <v>211</v>
      </c>
      <c r="C28" s="178" t="s">
        <v>253</v>
      </c>
      <c r="D28" s="177" t="s">
        <v>254</v>
      </c>
      <c r="E28" s="179" t="s">
        <v>234</v>
      </c>
      <c r="F28" s="189" t="s">
        <v>255</v>
      </c>
      <c r="G28" s="188" t="s">
        <v>94</v>
      </c>
      <c r="H28" s="188" t="s">
        <v>95</v>
      </c>
      <c r="I28" s="188" t="s">
        <v>236</v>
      </c>
      <c r="J28" s="188"/>
      <c r="K28" s="188" t="s">
        <v>112</v>
      </c>
      <c r="L28" s="188" t="s">
        <v>98</v>
      </c>
      <c r="M28" s="181" t="s">
        <v>99</v>
      </c>
      <c r="N28" s="188"/>
      <c r="O28" s="181" t="s">
        <v>100</v>
      </c>
      <c r="P28" s="188"/>
      <c r="Q28" s="188" t="s">
        <v>216</v>
      </c>
      <c r="R28" s="184" t="s">
        <v>102</v>
      </c>
      <c r="S28" s="184"/>
      <c r="T28" s="183" t="s">
        <v>114</v>
      </c>
      <c r="U28" s="184"/>
      <c r="V28" s="184" t="s">
        <v>237</v>
      </c>
      <c r="W28" s="184" t="s">
        <v>226</v>
      </c>
      <c r="X28" s="184" t="s">
        <v>238</v>
      </c>
      <c r="Y28" s="184" t="s">
        <v>145</v>
      </c>
      <c r="Z28" s="184"/>
      <c r="AA28" s="184"/>
      <c r="AB28" s="184"/>
      <c r="AC28" s="184"/>
      <c r="AD28" s="184"/>
      <c r="AE28" s="184"/>
      <c r="AF28" s="184"/>
      <c r="AG28" s="184"/>
      <c r="AH28" s="184" t="s">
        <v>157</v>
      </c>
      <c r="AI28" s="184"/>
      <c r="AJ28" s="212">
        <v>0.25</v>
      </c>
      <c r="AK28" s="213">
        <v>0.66666666666666663</v>
      </c>
      <c r="AL28" s="210">
        <v>0</v>
      </c>
      <c r="AM28" s="210">
        <v>8.3333333333333329E-2</v>
      </c>
      <c r="AN28" s="209">
        <v>0.12224537037037037</v>
      </c>
      <c r="AO28" s="185"/>
      <c r="AP28" s="17">
        <v>0</v>
      </c>
      <c r="AQ28" s="17">
        <v>0</v>
      </c>
      <c r="AR28" s="17">
        <v>0</v>
      </c>
      <c r="AS28" s="17">
        <v>0</v>
      </c>
      <c r="AT28" s="210">
        <v>50.75</v>
      </c>
      <c r="AU28" s="209">
        <v>3.3407962962962947</v>
      </c>
      <c r="AV28" s="208">
        <v>609</v>
      </c>
      <c r="AW28" s="184"/>
      <c r="AX28" s="184"/>
      <c r="AY28" s="184"/>
      <c r="AZ28" s="184"/>
      <c r="BA28" s="184"/>
      <c r="BB28" s="184"/>
      <c r="BC28" s="181" t="s">
        <v>114</v>
      </c>
      <c r="BD28" s="184" t="s">
        <v>108</v>
      </c>
      <c r="BE28" s="185">
        <f>3/8*100</f>
        <v>37.5</v>
      </c>
      <c r="BF28" s="184"/>
      <c r="BG28" s="184"/>
      <c r="BH28" s="184"/>
      <c r="BI28" s="184">
        <v>8</v>
      </c>
      <c r="BJ28" s="184"/>
      <c r="BK28" s="184"/>
      <c r="BL28" s="181" t="s">
        <v>108</v>
      </c>
      <c r="BM28" s="181"/>
      <c r="BN28" s="181"/>
      <c r="BO28" s="181"/>
      <c r="BP28" s="181"/>
      <c r="BQ28" s="181"/>
      <c r="BR28" s="186"/>
      <c r="BS28" s="186"/>
      <c r="BT28" s="186"/>
      <c r="BU28" s="186"/>
    </row>
    <row r="29" spans="1:73" s="187" customFormat="1" ht="14.45">
      <c r="A29" s="184">
        <f t="shared" si="0"/>
        <v>27</v>
      </c>
      <c r="B29" s="177" t="s">
        <v>89</v>
      </c>
      <c r="C29" s="178" t="s">
        <v>256</v>
      </c>
      <c r="D29" s="177" t="s">
        <v>257</v>
      </c>
      <c r="E29" s="179" t="s">
        <v>234</v>
      </c>
      <c r="F29" s="189" t="s">
        <v>258</v>
      </c>
      <c r="G29" s="188" t="s">
        <v>94</v>
      </c>
      <c r="H29" s="188" t="s">
        <v>128</v>
      </c>
      <c r="I29" s="188" t="s">
        <v>96</v>
      </c>
      <c r="J29" s="188"/>
      <c r="K29" s="181" t="s">
        <v>112</v>
      </c>
      <c r="L29" s="188" t="s">
        <v>165</v>
      </c>
      <c r="M29" s="181" t="s">
        <v>99</v>
      </c>
      <c r="N29" s="188"/>
      <c r="O29" s="181" t="s">
        <v>100</v>
      </c>
      <c r="P29" s="188"/>
      <c r="Q29" s="188" t="s">
        <v>216</v>
      </c>
      <c r="R29" s="184" t="s">
        <v>114</v>
      </c>
      <c r="S29" s="184"/>
      <c r="T29" s="183" t="s">
        <v>114</v>
      </c>
      <c r="U29" s="184"/>
      <c r="V29" s="184" t="s">
        <v>259</v>
      </c>
      <c r="W29" s="184" t="s">
        <v>245</v>
      </c>
      <c r="X29" s="181" t="s">
        <v>238</v>
      </c>
      <c r="Y29" s="184" t="s">
        <v>118</v>
      </c>
      <c r="Z29" s="184"/>
      <c r="AA29" s="184"/>
      <c r="AB29" s="184"/>
      <c r="AC29" s="184"/>
      <c r="AD29" s="184"/>
      <c r="AE29" s="184"/>
      <c r="AF29" s="184"/>
      <c r="AG29" s="184"/>
      <c r="AH29" s="184" t="s">
        <v>119</v>
      </c>
      <c r="AI29" s="184"/>
      <c r="AJ29" s="212">
        <v>0.33333333333333331</v>
      </c>
      <c r="AK29" s="213">
        <v>0.5</v>
      </c>
      <c r="AL29" s="210">
        <v>0</v>
      </c>
      <c r="AM29" s="210">
        <v>8.3333333333333329E-2</v>
      </c>
      <c r="AN29" s="209">
        <v>1.0376466049382715</v>
      </c>
      <c r="AO29" s="185"/>
      <c r="AP29" s="17">
        <v>0</v>
      </c>
      <c r="AQ29" s="17">
        <v>0</v>
      </c>
      <c r="AR29" s="17">
        <v>0</v>
      </c>
      <c r="AS29" s="17">
        <v>0</v>
      </c>
      <c r="AT29" s="210">
        <v>30.083333333333332</v>
      </c>
      <c r="AU29" s="209">
        <v>4.3855702136305581</v>
      </c>
      <c r="AV29" s="208">
        <v>361</v>
      </c>
      <c r="AW29" s="184"/>
      <c r="AX29" s="184"/>
      <c r="AY29" s="184"/>
      <c r="AZ29" s="184"/>
      <c r="BA29" s="184"/>
      <c r="BB29" s="184"/>
      <c r="BC29" s="181" t="s">
        <v>114</v>
      </c>
      <c r="BD29" s="184" t="s">
        <v>108</v>
      </c>
      <c r="BE29" s="185">
        <f t="shared" ref="BE29:BE42" si="2">3/8*100</f>
        <v>37.5</v>
      </c>
      <c r="BF29" s="184"/>
      <c r="BG29" s="184"/>
      <c r="BH29" s="184"/>
      <c r="BI29" s="184">
        <v>8</v>
      </c>
      <c r="BJ29" s="184"/>
      <c r="BK29" s="184"/>
      <c r="BL29" s="181" t="s">
        <v>108</v>
      </c>
      <c r="BM29" s="181"/>
      <c r="BN29" s="181"/>
      <c r="BO29" s="181"/>
      <c r="BP29" s="181"/>
      <c r="BQ29" s="181"/>
      <c r="BR29" s="186"/>
      <c r="BS29" s="186"/>
      <c r="BT29" s="186"/>
      <c r="BU29" s="186"/>
    </row>
    <row r="30" spans="1:73" s="187" customFormat="1" ht="14.25" customHeight="1">
      <c r="A30" s="176">
        <f t="shared" si="0"/>
        <v>28</v>
      </c>
      <c r="B30" s="177" t="s">
        <v>211</v>
      </c>
      <c r="C30" s="178" t="s">
        <v>260</v>
      </c>
      <c r="D30" s="177" t="s">
        <v>261</v>
      </c>
      <c r="E30" s="179" t="s">
        <v>234</v>
      </c>
      <c r="F30" s="180" t="s">
        <v>262</v>
      </c>
      <c r="G30" s="188" t="s">
        <v>94</v>
      </c>
      <c r="H30" s="181" t="s">
        <v>128</v>
      </c>
      <c r="I30" s="181" t="s">
        <v>149</v>
      </c>
      <c r="J30" s="181"/>
      <c r="K30" s="181" t="s">
        <v>112</v>
      </c>
      <c r="L30" s="181" t="s">
        <v>98</v>
      </c>
      <c r="M30" s="181" t="s">
        <v>99</v>
      </c>
      <c r="N30" s="181"/>
      <c r="O30" s="181" t="s">
        <v>100</v>
      </c>
      <c r="P30" s="190"/>
      <c r="Q30" s="190" t="s">
        <v>216</v>
      </c>
      <c r="R30" s="190" t="s">
        <v>114</v>
      </c>
      <c r="S30" s="190"/>
      <c r="T30" s="183" t="s">
        <v>114</v>
      </c>
      <c r="U30" s="181"/>
      <c r="V30" s="181" t="s">
        <v>237</v>
      </c>
      <c r="W30" s="181" t="s">
        <v>226</v>
      </c>
      <c r="X30" s="181" t="s">
        <v>238</v>
      </c>
      <c r="Y30" s="184" t="s">
        <v>118</v>
      </c>
      <c r="Z30" s="184"/>
      <c r="AA30" s="184"/>
      <c r="AB30" s="184"/>
      <c r="AC30" s="184"/>
      <c r="AD30" s="184"/>
      <c r="AE30" s="184"/>
      <c r="AF30" s="184"/>
      <c r="AG30" s="184"/>
      <c r="AH30" s="184" t="s">
        <v>135</v>
      </c>
      <c r="AI30" s="181"/>
      <c r="AJ30" s="212">
        <v>0.33333333333333331</v>
      </c>
      <c r="AK30" s="213">
        <v>0.5</v>
      </c>
      <c r="AL30" s="210">
        <v>0</v>
      </c>
      <c r="AM30" s="210">
        <v>0</v>
      </c>
      <c r="AN30" s="209">
        <v>0.2657349537037037</v>
      </c>
      <c r="AO30" s="221"/>
      <c r="AP30" s="17">
        <v>0</v>
      </c>
      <c r="AQ30" s="17">
        <v>0</v>
      </c>
      <c r="AR30" s="17">
        <v>0</v>
      </c>
      <c r="AS30" s="17">
        <v>0</v>
      </c>
      <c r="AT30" s="210">
        <v>51.083333333333336</v>
      </c>
      <c r="AU30" s="209">
        <v>3.2931755221791539</v>
      </c>
      <c r="AV30" s="208">
        <v>613</v>
      </c>
      <c r="AW30" s="181"/>
      <c r="AX30" s="181"/>
      <c r="AY30" s="181"/>
      <c r="AZ30" s="181"/>
      <c r="BA30" s="181"/>
      <c r="BB30" s="181"/>
      <c r="BC30" s="181" t="s">
        <v>114</v>
      </c>
      <c r="BD30" s="184" t="s">
        <v>108</v>
      </c>
      <c r="BE30" s="185">
        <f t="shared" si="2"/>
        <v>37.5</v>
      </c>
      <c r="BF30" s="181"/>
      <c r="BG30" s="181"/>
      <c r="BH30" s="181"/>
      <c r="BI30" s="184">
        <v>8</v>
      </c>
      <c r="BJ30" s="181"/>
      <c r="BK30" s="181"/>
      <c r="BL30" s="181" t="s">
        <v>108</v>
      </c>
      <c r="BM30" s="181"/>
      <c r="BN30" s="181"/>
      <c r="BO30" s="181"/>
      <c r="BP30" s="181"/>
      <c r="BQ30" s="181"/>
      <c r="BR30" s="186"/>
      <c r="BS30" s="186"/>
      <c r="BT30" s="186"/>
      <c r="BU30" s="186"/>
    </row>
    <row r="31" spans="1:73" s="187" customFormat="1" ht="14.45">
      <c r="A31" s="176">
        <f t="shared" si="0"/>
        <v>29</v>
      </c>
      <c r="B31" s="177" t="s">
        <v>211</v>
      </c>
      <c r="C31" s="178" t="s">
        <v>263</v>
      </c>
      <c r="D31" s="177" t="s">
        <v>264</v>
      </c>
      <c r="E31" s="179" t="s">
        <v>234</v>
      </c>
      <c r="F31" s="191" t="s">
        <v>265</v>
      </c>
      <c r="G31" s="192" t="s">
        <v>94</v>
      </c>
      <c r="H31" s="193" t="s">
        <v>95</v>
      </c>
      <c r="I31" s="193" t="s">
        <v>236</v>
      </c>
      <c r="J31" s="193" t="s">
        <v>97</v>
      </c>
      <c r="K31" s="193" t="s">
        <v>97</v>
      </c>
      <c r="L31" s="192" t="s">
        <v>98</v>
      </c>
      <c r="M31" s="181" t="s">
        <v>99</v>
      </c>
      <c r="N31" s="181"/>
      <c r="O31" s="181" t="s">
        <v>100</v>
      </c>
      <c r="P31" s="182"/>
      <c r="Q31" s="182" t="s">
        <v>113</v>
      </c>
      <c r="R31" s="182" t="s">
        <v>102</v>
      </c>
      <c r="S31" s="182"/>
      <c r="T31" s="183" t="s">
        <v>114</v>
      </c>
      <c r="U31" s="181" t="s">
        <v>143</v>
      </c>
      <c r="V31" s="181" t="s">
        <v>143</v>
      </c>
      <c r="W31" s="181" t="s">
        <v>226</v>
      </c>
      <c r="X31" s="181" t="s">
        <v>266</v>
      </c>
      <c r="Y31" s="181" t="s">
        <v>145</v>
      </c>
      <c r="Z31" s="181"/>
      <c r="AA31" s="181"/>
      <c r="AB31" s="181"/>
      <c r="AC31" s="181"/>
      <c r="AD31" s="181"/>
      <c r="AE31" s="181"/>
      <c r="AF31" s="181"/>
      <c r="AG31" s="181"/>
      <c r="AH31" s="181" t="s">
        <v>135</v>
      </c>
      <c r="AI31" s="181"/>
      <c r="AJ31" s="212">
        <v>2.4166666666666665</v>
      </c>
      <c r="AK31" s="213">
        <v>6.8965517241379309E-2</v>
      </c>
      <c r="AL31" s="210">
        <v>0</v>
      </c>
      <c r="AM31" s="210">
        <v>0.16666666666666666</v>
      </c>
      <c r="AN31" s="209">
        <v>3.8579040861513683</v>
      </c>
      <c r="AO31" s="221"/>
      <c r="AP31" s="17">
        <v>0</v>
      </c>
      <c r="AQ31" s="17">
        <v>0</v>
      </c>
      <c r="AR31" s="17">
        <v>0</v>
      </c>
      <c r="AS31" s="17">
        <v>0</v>
      </c>
      <c r="AT31" s="210">
        <v>50.666666666666664</v>
      </c>
      <c r="AU31" s="209">
        <v>3.3404747821350735</v>
      </c>
      <c r="AV31" s="208">
        <v>608</v>
      </c>
      <c r="AW31" s="181"/>
      <c r="AX31" s="181"/>
      <c r="AY31" s="181"/>
      <c r="AZ31" s="181"/>
      <c r="BA31" s="181"/>
      <c r="BB31" s="181"/>
      <c r="BC31" s="181" t="s">
        <v>114</v>
      </c>
      <c r="BD31" s="184" t="s">
        <v>108</v>
      </c>
      <c r="BE31" s="185">
        <f t="shared" si="2"/>
        <v>37.5</v>
      </c>
      <c r="BF31" s="181"/>
      <c r="BG31" s="181"/>
      <c r="BH31" s="181"/>
      <c r="BI31" s="184">
        <v>8</v>
      </c>
      <c r="BJ31" s="181"/>
      <c r="BK31" s="181"/>
      <c r="BL31" s="181" t="s">
        <v>108</v>
      </c>
      <c r="BM31" s="181"/>
      <c r="BN31" s="181"/>
      <c r="BO31" s="181"/>
      <c r="BP31" s="181"/>
      <c r="BQ31" s="181"/>
      <c r="BR31" s="186"/>
      <c r="BS31" s="186"/>
      <c r="BT31" s="186"/>
      <c r="BU31" s="186"/>
    </row>
    <row r="32" spans="1:73" s="187" customFormat="1" ht="14.45">
      <c r="A32" s="176">
        <f t="shared" si="0"/>
        <v>30</v>
      </c>
      <c r="B32" s="177" t="s">
        <v>211</v>
      </c>
      <c r="C32" s="178" t="s">
        <v>267</v>
      </c>
      <c r="D32" s="177" t="s">
        <v>268</v>
      </c>
      <c r="E32" s="179" t="s">
        <v>234</v>
      </c>
      <c r="F32" s="180" t="s">
        <v>269</v>
      </c>
      <c r="G32" s="188" t="s">
        <v>94</v>
      </c>
      <c r="H32" s="181" t="s">
        <v>128</v>
      </c>
      <c r="I32" s="181" t="s">
        <v>149</v>
      </c>
      <c r="J32" s="181"/>
      <c r="K32" s="181" t="s">
        <v>112</v>
      </c>
      <c r="L32" s="181" t="s">
        <v>98</v>
      </c>
      <c r="M32" s="181" t="s">
        <v>99</v>
      </c>
      <c r="N32" s="181"/>
      <c r="O32" s="181" t="s">
        <v>100</v>
      </c>
      <c r="P32" s="182"/>
      <c r="Q32" s="182" t="s">
        <v>113</v>
      </c>
      <c r="R32" s="182" t="s">
        <v>102</v>
      </c>
      <c r="S32" s="182"/>
      <c r="T32" s="183" t="s">
        <v>114</v>
      </c>
      <c r="U32" s="181"/>
      <c r="V32" s="181" t="s">
        <v>237</v>
      </c>
      <c r="W32" s="181" t="s">
        <v>226</v>
      </c>
      <c r="X32" s="181" t="s">
        <v>246</v>
      </c>
      <c r="Y32" s="181" t="s">
        <v>106</v>
      </c>
      <c r="Z32" s="181"/>
      <c r="AA32" s="181"/>
      <c r="AB32" s="181"/>
      <c r="AC32" s="181"/>
      <c r="AD32" s="181"/>
      <c r="AE32" s="181"/>
      <c r="AF32" s="181"/>
      <c r="AG32" s="181"/>
      <c r="AH32" s="181" t="s">
        <v>157</v>
      </c>
      <c r="AI32" s="181"/>
      <c r="AJ32" s="212">
        <v>0.58333333333333337</v>
      </c>
      <c r="AK32" s="213">
        <v>0.2857142857142857</v>
      </c>
      <c r="AL32" s="210">
        <v>0</v>
      </c>
      <c r="AM32" s="210">
        <v>8.3333333333333329E-2</v>
      </c>
      <c r="AN32" s="209">
        <v>15.186778549382716</v>
      </c>
      <c r="AO32" s="221"/>
      <c r="AP32" s="17">
        <v>0</v>
      </c>
      <c r="AQ32" s="17">
        <v>0</v>
      </c>
      <c r="AR32" s="17">
        <v>0</v>
      </c>
      <c r="AS32" s="17">
        <v>0</v>
      </c>
      <c r="AT32" s="210">
        <v>50.083333333333336</v>
      </c>
      <c r="AU32" s="209">
        <v>3.2114291622257731</v>
      </c>
      <c r="AV32" s="208">
        <v>601</v>
      </c>
      <c r="AW32" s="181"/>
      <c r="AX32" s="181"/>
      <c r="AY32" s="181"/>
      <c r="AZ32" s="181"/>
      <c r="BA32" s="181"/>
      <c r="BB32" s="181"/>
      <c r="BC32" s="181" t="s">
        <v>114</v>
      </c>
      <c r="BD32" s="184" t="s">
        <v>108</v>
      </c>
      <c r="BE32" s="185">
        <f t="shared" si="2"/>
        <v>37.5</v>
      </c>
      <c r="BF32" s="181"/>
      <c r="BG32" s="181"/>
      <c r="BH32" s="181"/>
      <c r="BI32" s="184">
        <v>8</v>
      </c>
      <c r="BJ32" s="181"/>
      <c r="BK32" s="181"/>
      <c r="BL32" s="181" t="s">
        <v>108</v>
      </c>
      <c r="BM32" s="181"/>
      <c r="BN32" s="181"/>
      <c r="BO32" s="181"/>
      <c r="BP32" s="181"/>
      <c r="BQ32" s="181"/>
      <c r="BR32" s="186"/>
      <c r="BS32" s="186"/>
      <c r="BT32" s="186"/>
      <c r="BU32" s="186"/>
    </row>
    <row r="33" spans="1:73" s="187" customFormat="1" ht="14.45">
      <c r="A33" s="184">
        <f t="shared" si="0"/>
        <v>31</v>
      </c>
      <c r="B33" s="177" t="s">
        <v>211</v>
      </c>
      <c r="C33" s="178" t="s">
        <v>270</v>
      </c>
      <c r="D33" s="177" t="s">
        <v>271</v>
      </c>
      <c r="E33" s="179" t="s">
        <v>234</v>
      </c>
      <c r="F33" s="189" t="s">
        <v>272</v>
      </c>
      <c r="G33" s="188" t="s">
        <v>94</v>
      </c>
      <c r="H33" s="188" t="s">
        <v>95</v>
      </c>
      <c r="I33" s="188" t="s">
        <v>236</v>
      </c>
      <c r="J33" s="188"/>
      <c r="K33" s="181" t="s">
        <v>112</v>
      </c>
      <c r="L33" s="181" t="s">
        <v>98</v>
      </c>
      <c r="M33" s="181" t="s">
        <v>99</v>
      </c>
      <c r="N33" s="188"/>
      <c r="O33" s="181" t="s">
        <v>100</v>
      </c>
      <c r="P33" s="188"/>
      <c r="Q33" s="188" t="s">
        <v>113</v>
      </c>
      <c r="R33" s="184" t="s">
        <v>102</v>
      </c>
      <c r="S33" s="184"/>
      <c r="T33" s="183" t="s">
        <v>114</v>
      </c>
      <c r="U33" s="184"/>
      <c r="V33" s="181" t="s">
        <v>237</v>
      </c>
      <c r="W33" s="181" t="s">
        <v>226</v>
      </c>
      <c r="X33" s="181" t="s">
        <v>246</v>
      </c>
      <c r="Y33" s="181" t="s">
        <v>106</v>
      </c>
      <c r="Z33" s="181"/>
      <c r="AA33" s="181"/>
      <c r="AB33" s="181"/>
      <c r="AC33" s="181"/>
      <c r="AD33" s="181"/>
      <c r="AE33" s="181"/>
      <c r="AF33" s="181"/>
      <c r="AG33" s="181"/>
      <c r="AH33" s="181" t="s">
        <v>157</v>
      </c>
      <c r="AI33" s="184"/>
      <c r="AJ33" s="212">
        <v>0.83333333333333337</v>
      </c>
      <c r="AK33" s="213">
        <v>0.2</v>
      </c>
      <c r="AL33" s="210">
        <v>0</v>
      </c>
      <c r="AM33" s="210">
        <v>0.41666666666666669</v>
      </c>
      <c r="AN33" s="209">
        <v>2.6036381172839507</v>
      </c>
      <c r="AO33" s="185"/>
      <c r="AP33" s="17">
        <v>1</v>
      </c>
      <c r="AQ33" s="17">
        <v>0</v>
      </c>
      <c r="AR33" s="17">
        <v>0</v>
      </c>
      <c r="AS33" s="17">
        <v>0</v>
      </c>
      <c r="AT33" s="210">
        <v>49.833333333333336</v>
      </c>
      <c r="AU33" s="209">
        <v>3.1954460620258787</v>
      </c>
      <c r="AV33" s="208">
        <v>598</v>
      </c>
      <c r="AW33" s="184"/>
      <c r="AX33" s="184"/>
      <c r="AY33" s="184"/>
      <c r="AZ33" s="184"/>
      <c r="BA33" s="184"/>
      <c r="BB33" s="184"/>
      <c r="BC33" s="181" t="s">
        <v>114</v>
      </c>
      <c r="BD33" s="184" t="s">
        <v>108</v>
      </c>
      <c r="BE33" s="185">
        <f t="shared" si="2"/>
        <v>37.5</v>
      </c>
      <c r="BF33" s="184"/>
      <c r="BG33" s="184"/>
      <c r="BH33" s="184"/>
      <c r="BI33" s="184">
        <v>8</v>
      </c>
      <c r="BJ33" s="184"/>
      <c r="BK33" s="184"/>
      <c r="BL33" s="181" t="s">
        <v>108</v>
      </c>
      <c r="BM33" s="181"/>
      <c r="BN33" s="181"/>
      <c r="BO33" s="181"/>
      <c r="BP33" s="181"/>
      <c r="BQ33" s="181"/>
      <c r="BR33" s="186"/>
      <c r="BS33" s="186"/>
      <c r="BT33" s="186"/>
      <c r="BU33" s="186"/>
    </row>
    <row r="34" spans="1:73" s="187" customFormat="1" ht="14.45">
      <c r="A34" s="184">
        <f t="shared" si="0"/>
        <v>32</v>
      </c>
      <c r="B34" s="177" t="s">
        <v>211</v>
      </c>
      <c r="C34" s="178" t="s">
        <v>273</v>
      </c>
      <c r="D34" s="177" t="s">
        <v>274</v>
      </c>
      <c r="E34" s="179" t="s">
        <v>234</v>
      </c>
      <c r="F34" s="189" t="s">
        <v>275</v>
      </c>
      <c r="G34" s="188" t="s">
        <v>94</v>
      </c>
      <c r="H34" s="188" t="s">
        <v>141</v>
      </c>
      <c r="I34" s="188" t="s">
        <v>224</v>
      </c>
      <c r="J34" s="188"/>
      <c r="K34" s="181" t="s">
        <v>112</v>
      </c>
      <c r="L34" s="181" t="s">
        <v>98</v>
      </c>
      <c r="M34" s="181" t="s">
        <v>99</v>
      </c>
      <c r="N34" s="188"/>
      <c r="O34" s="181" t="s">
        <v>100</v>
      </c>
      <c r="P34" s="188"/>
      <c r="Q34" s="188" t="s">
        <v>101</v>
      </c>
      <c r="R34" s="184" t="s">
        <v>102</v>
      </c>
      <c r="S34" s="184"/>
      <c r="T34" s="183" t="s">
        <v>114</v>
      </c>
      <c r="U34" s="184" t="s">
        <v>115</v>
      </c>
      <c r="V34" s="184" t="s">
        <v>276</v>
      </c>
      <c r="W34" s="184" t="s">
        <v>277</v>
      </c>
      <c r="X34" s="184" t="s">
        <v>278</v>
      </c>
      <c r="Y34" s="184" t="s">
        <v>156</v>
      </c>
      <c r="Z34" s="184"/>
      <c r="AA34" s="184"/>
      <c r="AB34" s="184"/>
      <c r="AC34" s="184"/>
      <c r="AD34" s="184"/>
      <c r="AE34" s="184"/>
      <c r="AF34" s="184"/>
      <c r="AG34" s="184"/>
      <c r="AH34" s="184" t="s">
        <v>157</v>
      </c>
      <c r="AI34" s="184"/>
      <c r="AJ34" s="212">
        <v>0.91666666666666663</v>
      </c>
      <c r="AK34" s="213">
        <v>0.18181818181818182</v>
      </c>
      <c r="AL34" s="210">
        <v>0</v>
      </c>
      <c r="AM34" s="210">
        <v>0.41666666666666669</v>
      </c>
      <c r="AN34" s="209">
        <v>0.89691150284900278</v>
      </c>
      <c r="AO34" s="185"/>
      <c r="AP34" s="17">
        <v>0</v>
      </c>
      <c r="AQ34" s="17">
        <v>0</v>
      </c>
      <c r="AR34" s="17">
        <v>0</v>
      </c>
      <c r="AS34" s="17">
        <v>0</v>
      </c>
      <c r="AT34" s="210">
        <v>78</v>
      </c>
      <c r="AU34" s="209">
        <v>2.1445358397190244</v>
      </c>
      <c r="AV34" s="208">
        <v>936</v>
      </c>
      <c r="AW34" s="184"/>
      <c r="AX34" s="184"/>
      <c r="AY34" s="184"/>
      <c r="AZ34" s="184"/>
      <c r="BA34" s="184"/>
      <c r="BB34" s="184"/>
      <c r="BC34" s="181" t="s">
        <v>114</v>
      </c>
      <c r="BD34" s="184" t="s">
        <v>108</v>
      </c>
      <c r="BE34" s="185">
        <f t="shared" si="2"/>
        <v>37.5</v>
      </c>
      <c r="BF34" s="184"/>
      <c r="BG34" s="184"/>
      <c r="BH34" s="184"/>
      <c r="BI34" s="184">
        <v>8</v>
      </c>
      <c r="BJ34" s="184"/>
      <c r="BK34" s="184"/>
      <c r="BL34" s="181" t="s">
        <v>108</v>
      </c>
      <c r="BM34" s="181"/>
      <c r="BN34" s="181"/>
      <c r="BO34" s="181"/>
      <c r="BP34" s="181"/>
      <c r="BQ34" s="181"/>
      <c r="BR34" s="186"/>
      <c r="BS34" s="186"/>
      <c r="BT34" s="186"/>
      <c r="BU34" s="186"/>
    </row>
    <row r="35" spans="1:73" s="187" customFormat="1" ht="14.45">
      <c r="A35" s="176">
        <f t="shared" si="0"/>
        <v>33</v>
      </c>
      <c r="B35" s="177" t="s">
        <v>211</v>
      </c>
      <c r="C35" s="178" t="s">
        <v>279</v>
      </c>
      <c r="D35" s="177" t="s">
        <v>280</v>
      </c>
      <c r="E35" s="179" t="s">
        <v>234</v>
      </c>
      <c r="F35" s="180" t="s">
        <v>281</v>
      </c>
      <c r="G35" s="188" t="s">
        <v>94</v>
      </c>
      <c r="H35" s="181" t="s">
        <v>95</v>
      </c>
      <c r="I35" s="181" t="s">
        <v>236</v>
      </c>
      <c r="J35" s="181"/>
      <c r="K35" s="181" t="s">
        <v>97</v>
      </c>
      <c r="L35" s="181" t="s">
        <v>98</v>
      </c>
      <c r="M35" s="181" t="s">
        <v>99</v>
      </c>
      <c r="N35" s="181"/>
      <c r="O35" s="181" t="s">
        <v>100</v>
      </c>
      <c r="P35" s="190"/>
      <c r="Q35" s="188" t="s">
        <v>101</v>
      </c>
      <c r="R35" s="190" t="s">
        <v>102</v>
      </c>
      <c r="S35" s="190"/>
      <c r="T35" s="183" t="s">
        <v>114</v>
      </c>
      <c r="U35" s="181"/>
      <c r="V35" s="181" t="s">
        <v>259</v>
      </c>
      <c r="W35" s="181" t="s">
        <v>245</v>
      </c>
      <c r="X35" s="181" t="s">
        <v>238</v>
      </c>
      <c r="Y35" s="181" t="s">
        <v>145</v>
      </c>
      <c r="Z35" s="181"/>
      <c r="AA35" s="181"/>
      <c r="AB35" s="181"/>
      <c r="AC35" s="181"/>
      <c r="AD35" s="181"/>
      <c r="AE35" s="181"/>
      <c r="AF35" s="181"/>
      <c r="AG35" s="181"/>
      <c r="AH35" s="181" t="s">
        <v>135</v>
      </c>
      <c r="AI35" s="181"/>
      <c r="AJ35" s="212">
        <v>0.75</v>
      </c>
      <c r="AK35" s="213">
        <v>0.22222222222222221</v>
      </c>
      <c r="AL35" s="210">
        <v>0</v>
      </c>
      <c r="AM35" s="210">
        <v>0</v>
      </c>
      <c r="AN35" s="209">
        <v>2.9356911375661374</v>
      </c>
      <c r="AO35" s="221"/>
      <c r="AP35" s="17">
        <v>1</v>
      </c>
      <c r="AQ35" s="17">
        <v>0</v>
      </c>
      <c r="AR35" s="17">
        <v>0</v>
      </c>
      <c r="AS35" s="17">
        <v>0</v>
      </c>
      <c r="AT35" s="210">
        <v>34.5</v>
      </c>
      <c r="AU35" s="209">
        <v>2.6606588730374394</v>
      </c>
      <c r="AV35" s="208">
        <v>414</v>
      </c>
      <c r="AW35" s="181"/>
      <c r="AX35" s="181"/>
      <c r="AY35" s="181"/>
      <c r="AZ35" s="181"/>
      <c r="BA35" s="181"/>
      <c r="BB35" s="181"/>
      <c r="BC35" s="181" t="s">
        <v>114</v>
      </c>
      <c r="BD35" s="184" t="s">
        <v>108</v>
      </c>
      <c r="BE35" s="185">
        <f t="shared" si="2"/>
        <v>37.5</v>
      </c>
      <c r="BF35" s="181"/>
      <c r="BG35" s="181"/>
      <c r="BH35" s="181"/>
      <c r="BI35" s="184">
        <v>8</v>
      </c>
      <c r="BJ35" s="181"/>
      <c r="BK35" s="181"/>
      <c r="BL35" s="181" t="s">
        <v>108</v>
      </c>
      <c r="BM35" s="181"/>
      <c r="BN35" s="181"/>
      <c r="BO35" s="181"/>
      <c r="BP35" s="181"/>
      <c r="BQ35" s="181"/>
      <c r="BR35" s="186"/>
      <c r="BS35" s="186"/>
      <c r="BT35" s="186"/>
      <c r="BU35" s="186"/>
    </row>
    <row r="36" spans="1:73" s="187" customFormat="1" ht="14.45">
      <c r="A36" s="176">
        <f t="shared" si="0"/>
        <v>34</v>
      </c>
      <c r="B36" s="177" t="s">
        <v>211</v>
      </c>
      <c r="C36" s="178" t="s">
        <v>282</v>
      </c>
      <c r="D36" s="177" t="s">
        <v>283</v>
      </c>
      <c r="E36" s="179" t="s">
        <v>234</v>
      </c>
      <c r="F36" s="180" t="s">
        <v>284</v>
      </c>
      <c r="G36" s="188" t="s">
        <v>94</v>
      </c>
      <c r="H36" s="181" t="s">
        <v>128</v>
      </c>
      <c r="I36" s="181" t="s">
        <v>96</v>
      </c>
      <c r="J36" s="181"/>
      <c r="K36" s="181" t="s">
        <v>112</v>
      </c>
      <c r="L36" s="181" t="s">
        <v>98</v>
      </c>
      <c r="M36" s="181" t="s">
        <v>99</v>
      </c>
      <c r="N36" s="181"/>
      <c r="O36" s="181" t="s">
        <v>100</v>
      </c>
      <c r="P36" s="182"/>
      <c r="Q36" s="182" t="s">
        <v>216</v>
      </c>
      <c r="R36" s="182" t="s">
        <v>102</v>
      </c>
      <c r="S36" s="182"/>
      <c r="T36" s="183" t="s">
        <v>114</v>
      </c>
      <c r="U36" s="181"/>
      <c r="V36" s="181" t="s">
        <v>237</v>
      </c>
      <c r="W36" s="181" t="s">
        <v>226</v>
      </c>
      <c r="X36" s="181" t="s">
        <v>238</v>
      </c>
      <c r="Y36" s="181" t="s">
        <v>118</v>
      </c>
      <c r="Z36" s="181"/>
      <c r="AA36" s="181"/>
      <c r="AB36" s="181"/>
      <c r="AC36" s="181"/>
      <c r="AD36" s="181"/>
      <c r="AE36" s="181"/>
      <c r="AF36" s="181"/>
      <c r="AG36" s="181"/>
      <c r="AH36" s="181" t="s">
        <v>157</v>
      </c>
      <c r="AI36" s="181"/>
      <c r="AJ36" s="212">
        <v>0.41666666666666669</v>
      </c>
      <c r="AK36" s="213">
        <v>0.4</v>
      </c>
      <c r="AL36" s="210">
        <v>0</v>
      </c>
      <c r="AM36" s="210">
        <v>0</v>
      </c>
      <c r="AN36" s="209">
        <v>0.11953993055555555</v>
      </c>
      <c r="AO36" s="221"/>
      <c r="AP36" s="17">
        <v>0</v>
      </c>
      <c r="AQ36" s="17">
        <v>0</v>
      </c>
      <c r="AR36" s="17">
        <v>0</v>
      </c>
      <c r="AS36" s="17">
        <v>0</v>
      </c>
      <c r="AT36" s="210">
        <v>48.75</v>
      </c>
      <c r="AU36" s="209">
        <v>3.4375957963886554</v>
      </c>
      <c r="AV36" s="208">
        <v>585</v>
      </c>
      <c r="AW36" s="181"/>
      <c r="AX36" s="181"/>
      <c r="AY36" s="181"/>
      <c r="AZ36" s="181"/>
      <c r="BA36" s="181"/>
      <c r="BB36" s="181"/>
      <c r="BC36" s="181" t="s">
        <v>114</v>
      </c>
      <c r="BD36" s="184" t="s">
        <v>108</v>
      </c>
      <c r="BE36" s="185">
        <f t="shared" si="2"/>
        <v>37.5</v>
      </c>
      <c r="BF36" s="181"/>
      <c r="BG36" s="181"/>
      <c r="BH36" s="181"/>
      <c r="BI36" s="184">
        <v>8</v>
      </c>
      <c r="BJ36" s="181"/>
      <c r="BK36" s="181"/>
      <c r="BL36" s="181" t="s">
        <v>108</v>
      </c>
      <c r="BM36" s="181"/>
      <c r="BN36" s="181"/>
      <c r="BO36" s="181"/>
      <c r="BP36" s="181"/>
      <c r="BQ36" s="181"/>
      <c r="BR36" s="186"/>
      <c r="BS36" s="186"/>
      <c r="BT36" s="186"/>
      <c r="BU36" s="186"/>
    </row>
    <row r="37" spans="1:73" s="187" customFormat="1" ht="14.45">
      <c r="A37" s="194">
        <f t="shared" si="0"/>
        <v>35</v>
      </c>
      <c r="B37" s="177" t="s">
        <v>211</v>
      </c>
      <c r="C37" s="195" t="s">
        <v>285</v>
      </c>
      <c r="D37" s="196" t="s">
        <v>286</v>
      </c>
      <c r="E37" s="179" t="s">
        <v>234</v>
      </c>
      <c r="F37" s="197" t="s">
        <v>235</v>
      </c>
      <c r="G37" s="198" t="s">
        <v>94</v>
      </c>
      <c r="H37" s="198" t="s">
        <v>95</v>
      </c>
      <c r="I37" s="198" t="s">
        <v>236</v>
      </c>
      <c r="J37" s="198"/>
      <c r="K37" s="198" t="s">
        <v>97</v>
      </c>
      <c r="L37" s="198" t="s">
        <v>98</v>
      </c>
      <c r="M37" s="181" t="s">
        <v>99</v>
      </c>
      <c r="N37" s="198"/>
      <c r="O37" s="181" t="s">
        <v>100</v>
      </c>
      <c r="P37" s="198"/>
      <c r="Q37" s="198" t="s">
        <v>113</v>
      </c>
      <c r="R37" s="194" t="s">
        <v>102</v>
      </c>
      <c r="S37" s="194"/>
      <c r="T37" s="183" t="s">
        <v>114</v>
      </c>
      <c r="U37" s="194"/>
      <c r="V37" s="194" t="s">
        <v>237</v>
      </c>
      <c r="W37" s="184" t="s">
        <v>226</v>
      </c>
      <c r="X37" s="194" t="s">
        <v>287</v>
      </c>
      <c r="Y37" s="194" t="s">
        <v>145</v>
      </c>
      <c r="Z37" s="194"/>
      <c r="AA37" s="194"/>
      <c r="AB37" s="194"/>
      <c r="AC37" s="194"/>
      <c r="AD37" s="194"/>
      <c r="AE37" s="194"/>
      <c r="AF37" s="194"/>
      <c r="AG37" s="194"/>
      <c r="AH37" s="194" t="s">
        <v>107</v>
      </c>
      <c r="AI37" s="194"/>
      <c r="AJ37" s="212">
        <v>0</v>
      </c>
      <c r="AK37" s="213">
        <v>0</v>
      </c>
      <c r="AL37" s="210">
        <v>0</v>
      </c>
      <c r="AM37" s="210">
        <v>0</v>
      </c>
      <c r="AN37" s="209">
        <v>0</v>
      </c>
      <c r="AO37" s="222"/>
      <c r="AP37" s="17">
        <v>0</v>
      </c>
      <c r="AQ37" s="17">
        <v>0</v>
      </c>
      <c r="AR37" s="17">
        <v>0</v>
      </c>
      <c r="AS37" s="17">
        <v>0</v>
      </c>
      <c r="AT37" s="210">
        <v>44.083333333333336</v>
      </c>
      <c r="AU37" s="209">
        <v>3.2757126240694756</v>
      </c>
      <c r="AV37" s="208">
        <v>529</v>
      </c>
      <c r="AW37" s="194"/>
      <c r="AX37" s="194"/>
      <c r="AY37" s="194"/>
      <c r="AZ37" s="194"/>
      <c r="BA37" s="194"/>
      <c r="BB37" s="194"/>
      <c r="BC37" s="181" t="s">
        <v>114</v>
      </c>
      <c r="BD37" s="184" t="s">
        <v>108</v>
      </c>
      <c r="BE37" s="185">
        <f t="shared" si="2"/>
        <v>37.5</v>
      </c>
      <c r="BF37" s="194"/>
      <c r="BG37" s="194"/>
      <c r="BH37" s="194"/>
      <c r="BI37" s="184">
        <v>8</v>
      </c>
      <c r="BJ37" s="194"/>
      <c r="BK37" s="194"/>
      <c r="BL37" s="181" t="s">
        <v>108</v>
      </c>
      <c r="BM37" s="199"/>
      <c r="BN37" s="199"/>
      <c r="BO37" s="199"/>
      <c r="BP37" s="199"/>
      <c r="BQ37" s="199"/>
      <c r="BR37" s="186"/>
      <c r="BS37" s="186"/>
      <c r="BT37" s="186"/>
      <c r="BU37" s="186"/>
    </row>
    <row r="38" spans="1:73" s="187" customFormat="1" ht="14.45">
      <c r="A38" s="184">
        <f t="shared" si="0"/>
        <v>36</v>
      </c>
      <c r="B38" s="177" t="s">
        <v>211</v>
      </c>
      <c r="C38" s="178" t="s">
        <v>288</v>
      </c>
      <c r="D38" s="177" t="s">
        <v>289</v>
      </c>
      <c r="E38" s="179" t="s">
        <v>234</v>
      </c>
      <c r="F38" s="189" t="s">
        <v>290</v>
      </c>
      <c r="G38" s="188" t="s">
        <v>94</v>
      </c>
      <c r="H38" s="198" t="s">
        <v>95</v>
      </c>
      <c r="I38" s="198" t="s">
        <v>236</v>
      </c>
      <c r="J38" s="188"/>
      <c r="K38" s="181" t="s">
        <v>112</v>
      </c>
      <c r="L38" s="188" t="s">
        <v>165</v>
      </c>
      <c r="M38" s="181" t="s">
        <v>99</v>
      </c>
      <c r="N38" s="188"/>
      <c r="O38" s="181" t="s">
        <v>100</v>
      </c>
      <c r="P38" s="188"/>
      <c r="Q38" s="188" t="s">
        <v>113</v>
      </c>
      <c r="R38" s="184" t="s">
        <v>114</v>
      </c>
      <c r="S38" s="184"/>
      <c r="T38" s="183" t="s">
        <v>114</v>
      </c>
      <c r="U38" s="184"/>
      <c r="V38" s="181" t="s">
        <v>237</v>
      </c>
      <c r="W38" s="181" t="s">
        <v>226</v>
      </c>
      <c r="X38" s="194" t="s">
        <v>287</v>
      </c>
      <c r="Y38" s="184" t="s">
        <v>134</v>
      </c>
      <c r="Z38" s="184"/>
      <c r="AA38" s="184"/>
      <c r="AB38" s="184"/>
      <c r="AC38" s="184"/>
      <c r="AD38" s="184"/>
      <c r="AE38" s="184"/>
      <c r="AF38" s="184"/>
      <c r="AG38" s="184"/>
      <c r="AH38" s="184" t="s">
        <v>119</v>
      </c>
      <c r="AI38" s="184"/>
      <c r="AJ38" s="212">
        <v>0.25</v>
      </c>
      <c r="AK38" s="213">
        <v>0.66666666666666663</v>
      </c>
      <c r="AL38" s="210">
        <v>0</v>
      </c>
      <c r="AM38" s="210">
        <v>0</v>
      </c>
      <c r="AN38" s="209">
        <v>0.11364197530864197</v>
      </c>
      <c r="AO38" s="185"/>
      <c r="AP38" s="17">
        <v>0</v>
      </c>
      <c r="AQ38" s="17">
        <v>0</v>
      </c>
      <c r="AR38" s="17">
        <v>0</v>
      </c>
      <c r="AS38" s="17">
        <v>0</v>
      </c>
      <c r="AT38" s="210">
        <v>34.166666666666664</v>
      </c>
      <c r="AU38" s="209">
        <v>3.5083856205460187</v>
      </c>
      <c r="AV38" s="208">
        <v>410</v>
      </c>
      <c r="AW38" s="184"/>
      <c r="AX38" s="184"/>
      <c r="AY38" s="184"/>
      <c r="AZ38" s="184"/>
      <c r="BA38" s="184"/>
      <c r="BB38" s="184"/>
      <c r="BC38" s="181" t="s">
        <v>114</v>
      </c>
      <c r="BD38" s="184" t="s">
        <v>108</v>
      </c>
      <c r="BE38" s="185">
        <f t="shared" si="2"/>
        <v>37.5</v>
      </c>
      <c r="BF38" s="184"/>
      <c r="BG38" s="184"/>
      <c r="BH38" s="184"/>
      <c r="BI38" s="184">
        <v>8</v>
      </c>
      <c r="BJ38" s="184"/>
      <c r="BK38" s="184"/>
      <c r="BL38" s="181" t="s">
        <v>108</v>
      </c>
      <c r="BM38" s="181"/>
      <c r="BN38" s="181"/>
      <c r="BO38" s="181"/>
      <c r="BP38" s="181"/>
      <c r="BQ38" s="181"/>
    </row>
    <row r="39" spans="1:73" s="187" customFormat="1" ht="14.45">
      <c r="A39" s="184">
        <f t="shared" si="0"/>
        <v>37</v>
      </c>
      <c r="B39" s="177" t="s">
        <v>211</v>
      </c>
      <c r="C39" s="178" t="s">
        <v>291</v>
      </c>
      <c r="D39" s="177" t="s">
        <v>292</v>
      </c>
      <c r="E39" s="179" t="s">
        <v>234</v>
      </c>
      <c r="F39" s="189" t="s">
        <v>293</v>
      </c>
      <c r="G39" s="188" t="s">
        <v>94</v>
      </c>
      <c r="H39" s="188" t="s">
        <v>128</v>
      </c>
      <c r="I39" s="181" t="s">
        <v>96</v>
      </c>
      <c r="J39" s="188"/>
      <c r="K39" s="181" t="s">
        <v>112</v>
      </c>
      <c r="L39" s="188" t="s">
        <v>165</v>
      </c>
      <c r="M39" s="181" t="s">
        <v>99</v>
      </c>
      <c r="N39" s="188"/>
      <c r="O39" s="181" t="s">
        <v>100</v>
      </c>
      <c r="P39" s="188"/>
      <c r="Q39" s="188" t="s">
        <v>216</v>
      </c>
      <c r="R39" s="184" t="s">
        <v>114</v>
      </c>
      <c r="S39" s="184"/>
      <c r="T39" s="183" t="s">
        <v>114</v>
      </c>
      <c r="U39" s="184" t="s">
        <v>115</v>
      </c>
      <c r="V39" s="184" t="s">
        <v>276</v>
      </c>
      <c r="W39" s="184" t="s">
        <v>294</v>
      </c>
      <c r="X39" s="184" t="s">
        <v>278</v>
      </c>
      <c r="Y39" s="184" t="s">
        <v>134</v>
      </c>
      <c r="Z39" s="184"/>
      <c r="AA39" s="184"/>
      <c r="AB39" s="184"/>
      <c r="AC39" s="184"/>
      <c r="AD39" s="184"/>
      <c r="AE39" s="184"/>
      <c r="AF39" s="184"/>
      <c r="AG39" s="184"/>
      <c r="AH39" s="184" t="s">
        <v>107</v>
      </c>
      <c r="AI39" s="184"/>
      <c r="AJ39" s="212">
        <v>0.5</v>
      </c>
      <c r="AK39" s="213">
        <v>0.16666666666666666</v>
      </c>
      <c r="AL39" s="210">
        <v>0</v>
      </c>
      <c r="AM39" s="210">
        <v>0</v>
      </c>
      <c r="AN39" s="209">
        <v>1.4095871913580247</v>
      </c>
      <c r="AO39" s="185"/>
      <c r="AP39" s="17">
        <v>0</v>
      </c>
      <c r="AQ39" s="17">
        <v>0</v>
      </c>
      <c r="AR39" s="17">
        <v>0</v>
      </c>
      <c r="AS39" s="17">
        <v>0</v>
      </c>
      <c r="AT39" s="210">
        <v>50.416666666666664</v>
      </c>
      <c r="AU39" s="209">
        <v>3.3159632811128628</v>
      </c>
      <c r="AV39" s="208">
        <v>605</v>
      </c>
      <c r="AW39" s="184"/>
      <c r="AX39" s="184"/>
      <c r="AY39" s="184"/>
      <c r="AZ39" s="184"/>
      <c r="BA39" s="184"/>
      <c r="BB39" s="184"/>
      <c r="BC39" s="181" t="s">
        <v>114</v>
      </c>
      <c r="BD39" s="184" t="s">
        <v>108</v>
      </c>
      <c r="BE39" s="185">
        <f t="shared" si="2"/>
        <v>37.5</v>
      </c>
      <c r="BF39" s="184"/>
      <c r="BG39" s="184"/>
      <c r="BH39" s="184"/>
      <c r="BI39" s="184">
        <v>8</v>
      </c>
      <c r="BJ39" s="184"/>
      <c r="BK39" s="184"/>
      <c r="BL39" s="181" t="s">
        <v>108</v>
      </c>
      <c r="BM39" s="181"/>
      <c r="BN39" s="181"/>
      <c r="BO39" s="181"/>
      <c r="BP39" s="181"/>
      <c r="BQ39" s="181"/>
    </row>
    <row r="40" spans="1:73" s="187" customFormat="1" ht="14.45">
      <c r="A40" s="184">
        <f t="shared" si="0"/>
        <v>38</v>
      </c>
      <c r="B40" s="177" t="s">
        <v>211</v>
      </c>
      <c r="C40" s="178" t="s">
        <v>295</v>
      </c>
      <c r="D40" s="177" t="s">
        <v>296</v>
      </c>
      <c r="E40" s="179" t="s">
        <v>234</v>
      </c>
      <c r="F40" s="189" t="s">
        <v>297</v>
      </c>
      <c r="G40" s="188" t="s">
        <v>94</v>
      </c>
      <c r="H40" s="188" t="s">
        <v>202</v>
      </c>
      <c r="I40" s="188" t="s">
        <v>203</v>
      </c>
      <c r="J40" s="188"/>
      <c r="K40" s="181" t="s">
        <v>112</v>
      </c>
      <c r="L40" s="181" t="s">
        <v>98</v>
      </c>
      <c r="M40" s="181" t="s">
        <v>99</v>
      </c>
      <c r="N40" s="188"/>
      <c r="O40" s="181" t="s">
        <v>100</v>
      </c>
      <c r="P40" s="188"/>
      <c r="Q40" s="188" t="s">
        <v>216</v>
      </c>
      <c r="R40" s="184" t="s">
        <v>102</v>
      </c>
      <c r="S40" s="184"/>
      <c r="T40" s="183" t="s">
        <v>114</v>
      </c>
      <c r="U40" s="184"/>
      <c r="V40" s="181" t="s">
        <v>237</v>
      </c>
      <c r="W40" s="181" t="s">
        <v>226</v>
      </c>
      <c r="X40" s="184" t="s">
        <v>298</v>
      </c>
      <c r="Y40" s="184" t="s">
        <v>299</v>
      </c>
      <c r="Z40" s="184"/>
      <c r="AA40" s="184"/>
      <c r="AB40" s="184"/>
      <c r="AC40" s="184"/>
      <c r="AD40" s="184"/>
      <c r="AE40" s="184"/>
      <c r="AF40" s="184"/>
      <c r="AG40" s="184"/>
      <c r="AH40" s="184" t="s">
        <v>107</v>
      </c>
      <c r="AI40" s="184"/>
      <c r="AJ40" s="212">
        <v>1.0833333333333333</v>
      </c>
      <c r="AK40" s="213">
        <v>0.15384615384615385</v>
      </c>
      <c r="AL40" s="210">
        <v>0</v>
      </c>
      <c r="AM40" s="210">
        <v>8.3333333333333329E-2</v>
      </c>
      <c r="AN40" s="209">
        <v>1.6211197916666666</v>
      </c>
      <c r="AO40" s="185"/>
      <c r="AP40" s="17">
        <v>0</v>
      </c>
      <c r="AQ40" s="17">
        <v>0</v>
      </c>
      <c r="AR40" s="17">
        <v>0</v>
      </c>
      <c r="AS40" s="17">
        <v>0</v>
      </c>
      <c r="AT40" s="210">
        <v>50.666666666666664</v>
      </c>
      <c r="AU40" s="209">
        <v>2.7246557058251533</v>
      </c>
      <c r="AV40" s="208">
        <v>608</v>
      </c>
      <c r="AW40" s="184"/>
      <c r="AX40" s="184"/>
      <c r="AY40" s="184"/>
      <c r="AZ40" s="184"/>
      <c r="BA40" s="184"/>
      <c r="BB40" s="184"/>
      <c r="BC40" s="181" t="s">
        <v>114</v>
      </c>
      <c r="BD40" s="184" t="s">
        <v>108</v>
      </c>
      <c r="BE40" s="185">
        <f t="shared" si="2"/>
        <v>37.5</v>
      </c>
      <c r="BF40" s="184"/>
      <c r="BG40" s="184"/>
      <c r="BH40" s="184"/>
      <c r="BI40" s="184">
        <v>8</v>
      </c>
      <c r="BJ40" s="184"/>
      <c r="BK40" s="184"/>
      <c r="BL40" s="181" t="s">
        <v>108</v>
      </c>
      <c r="BM40" s="181"/>
      <c r="BN40" s="181"/>
      <c r="BO40" s="181"/>
      <c r="BP40" s="181"/>
      <c r="BQ40" s="181"/>
    </row>
    <row r="41" spans="1:73" s="187" customFormat="1" ht="14.45">
      <c r="A41" s="176">
        <f t="shared" si="0"/>
        <v>39</v>
      </c>
      <c r="B41" s="177" t="s">
        <v>211</v>
      </c>
      <c r="C41" s="178" t="s">
        <v>300</v>
      </c>
      <c r="D41" s="177" t="s">
        <v>301</v>
      </c>
      <c r="E41" s="179" t="s">
        <v>234</v>
      </c>
      <c r="F41" s="180" t="s">
        <v>302</v>
      </c>
      <c r="G41" s="188" t="s">
        <v>94</v>
      </c>
      <c r="H41" s="181" t="s">
        <v>128</v>
      </c>
      <c r="I41" s="188" t="s">
        <v>149</v>
      </c>
      <c r="J41" s="181"/>
      <c r="K41" s="181" t="s">
        <v>97</v>
      </c>
      <c r="L41" s="181" t="s">
        <v>98</v>
      </c>
      <c r="M41" s="181" t="s">
        <v>99</v>
      </c>
      <c r="N41" s="181"/>
      <c r="O41" s="181" t="s">
        <v>100</v>
      </c>
      <c r="P41" s="182"/>
      <c r="Q41" s="188" t="s">
        <v>101</v>
      </c>
      <c r="R41" s="182" t="s">
        <v>114</v>
      </c>
      <c r="S41" s="182"/>
      <c r="T41" s="183" t="s">
        <v>114</v>
      </c>
      <c r="U41" s="181"/>
      <c r="V41" s="181" t="s">
        <v>259</v>
      </c>
      <c r="W41" s="181" t="s">
        <v>303</v>
      </c>
      <c r="X41" s="181" t="s">
        <v>238</v>
      </c>
      <c r="Y41" s="181" t="s">
        <v>299</v>
      </c>
      <c r="Z41" s="181"/>
      <c r="AA41" s="181"/>
      <c r="AB41" s="181"/>
      <c r="AC41" s="181"/>
      <c r="AD41" s="181"/>
      <c r="AE41" s="181"/>
      <c r="AF41" s="181"/>
      <c r="AG41" s="181"/>
      <c r="AH41" s="181" t="s">
        <v>119</v>
      </c>
      <c r="AI41" s="181"/>
      <c r="AJ41" s="212">
        <v>0.41666666666666669</v>
      </c>
      <c r="AK41" s="213">
        <v>0.4</v>
      </c>
      <c r="AL41" s="210">
        <v>0</v>
      </c>
      <c r="AM41" s="210">
        <v>0.25</v>
      </c>
      <c r="AN41" s="209">
        <v>0.9160949074074074</v>
      </c>
      <c r="AO41" s="221"/>
      <c r="AP41" s="17">
        <v>0</v>
      </c>
      <c r="AQ41" s="17">
        <v>0</v>
      </c>
      <c r="AR41" s="17">
        <v>0</v>
      </c>
      <c r="AS41" s="17">
        <v>0</v>
      </c>
      <c r="AT41" s="210">
        <v>0.41666666666666669</v>
      </c>
      <c r="AU41" s="209">
        <v>10.481261574074074</v>
      </c>
      <c r="AV41" s="208">
        <v>5</v>
      </c>
      <c r="AW41" s="181"/>
      <c r="AX41" s="181"/>
      <c r="AY41" s="181"/>
      <c r="AZ41" s="181"/>
      <c r="BA41" s="181"/>
      <c r="BB41" s="181"/>
      <c r="BC41" s="181" t="s">
        <v>114</v>
      </c>
      <c r="BD41" s="184" t="s">
        <v>108</v>
      </c>
      <c r="BE41" s="185">
        <f t="shared" si="2"/>
        <v>37.5</v>
      </c>
      <c r="BF41" s="181"/>
      <c r="BG41" s="181"/>
      <c r="BH41" s="181"/>
      <c r="BI41" s="184">
        <v>8</v>
      </c>
      <c r="BJ41" s="181"/>
      <c r="BK41" s="181"/>
      <c r="BL41" s="181" t="s">
        <v>108</v>
      </c>
      <c r="BM41" s="181"/>
      <c r="BN41" s="181"/>
      <c r="BO41" s="181"/>
      <c r="BP41" s="181"/>
      <c r="BQ41" s="181"/>
    </row>
    <row r="42" spans="1:73" s="187" customFormat="1" ht="14.45">
      <c r="A42" s="184">
        <f t="shared" si="0"/>
        <v>40</v>
      </c>
      <c r="B42" s="177" t="s">
        <v>211</v>
      </c>
      <c r="C42" s="178" t="s">
        <v>304</v>
      </c>
      <c r="D42" s="177" t="s">
        <v>305</v>
      </c>
      <c r="E42" s="179" t="s">
        <v>234</v>
      </c>
      <c r="F42" s="189" t="s">
        <v>306</v>
      </c>
      <c r="G42" s="188" t="s">
        <v>94</v>
      </c>
      <c r="H42" s="188" t="s">
        <v>141</v>
      </c>
      <c r="I42" s="188" t="s">
        <v>149</v>
      </c>
      <c r="J42" s="188"/>
      <c r="K42" s="188" t="s">
        <v>112</v>
      </c>
      <c r="L42" s="188" t="s">
        <v>165</v>
      </c>
      <c r="M42" s="181" t="s">
        <v>99</v>
      </c>
      <c r="N42" s="188"/>
      <c r="O42" s="181" t="s">
        <v>100</v>
      </c>
      <c r="P42" s="188"/>
      <c r="Q42" s="188" t="s">
        <v>216</v>
      </c>
      <c r="R42" s="184" t="s">
        <v>114</v>
      </c>
      <c r="S42" s="184"/>
      <c r="T42" s="183" t="s">
        <v>114</v>
      </c>
      <c r="U42" s="184" t="s">
        <v>115</v>
      </c>
      <c r="V42" s="184" t="s">
        <v>276</v>
      </c>
      <c r="W42" s="181" t="s">
        <v>226</v>
      </c>
      <c r="X42" s="184" t="s">
        <v>278</v>
      </c>
      <c r="Y42" s="184" t="s">
        <v>134</v>
      </c>
      <c r="Z42" s="184"/>
      <c r="AA42" s="184"/>
      <c r="AB42" s="184"/>
      <c r="AC42" s="184"/>
      <c r="AD42" s="184"/>
      <c r="AE42" s="184"/>
      <c r="AF42" s="184"/>
      <c r="AG42" s="184"/>
      <c r="AH42" s="184" t="s">
        <v>307</v>
      </c>
      <c r="AI42" s="184"/>
      <c r="AJ42" s="212">
        <v>0.66666666666666663</v>
      </c>
      <c r="AK42" s="213">
        <v>0.25</v>
      </c>
      <c r="AL42" s="210">
        <v>0</v>
      </c>
      <c r="AM42" s="210">
        <v>0</v>
      </c>
      <c r="AN42" s="209">
        <v>0.43002314814814813</v>
      </c>
      <c r="AO42" s="185"/>
      <c r="AP42" s="17">
        <v>0</v>
      </c>
      <c r="AQ42" s="17">
        <v>0</v>
      </c>
      <c r="AR42" s="17">
        <v>0</v>
      </c>
      <c r="AS42" s="17">
        <v>0</v>
      </c>
      <c r="AT42" s="210">
        <v>50.333333333333336</v>
      </c>
      <c r="AU42" s="209">
        <v>3.3251143968316628</v>
      </c>
      <c r="AV42" s="208">
        <v>604</v>
      </c>
      <c r="AW42" s="184"/>
      <c r="AX42" s="184"/>
      <c r="AY42" s="184"/>
      <c r="AZ42" s="184"/>
      <c r="BA42" s="184"/>
      <c r="BB42" s="184"/>
      <c r="BC42" s="181" t="s">
        <v>114</v>
      </c>
      <c r="BD42" s="184" t="s">
        <v>108</v>
      </c>
      <c r="BE42" s="185">
        <f t="shared" si="2"/>
        <v>37.5</v>
      </c>
      <c r="BF42" s="184"/>
      <c r="BG42" s="184"/>
      <c r="BH42" s="184"/>
      <c r="BI42" s="184">
        <v>8</v>
      </c>
      <c r="BJ42" s="184"/>
      <c r="BK42" s="184"/>
      <c r="BL42" s="181" t="s">
        <v>108</v>
      </c>
      <c r="BM42" s="181"/>
      <c r="BN42" s="181"/>
      <c r="BO42" s="181"/>
      <c r="BP42" s="181"/>
      <c r="BQ42" s="181"/>
    </row>
    <row r="43" spans="1:73" s="162" customFormat="1" ht="14.45">
      <c r="A43" s="154">
        <f t="shared" si="0"/>
        <v>41</v>
      </c>
      <c r="B43" s="155" t="s">
        <v>89</v>
      </c>
      <c r="C43" s="156" t="s">
        <v>308</v>
      </c>
      <c r="D43" s="155" t="s">
        <v>309</v>
      </c>
      <c r="E43" s="157" t="s">
        <v>310</v>
      </c>
      <c r="F43" s="158" t="s">
        <v>311</v>
      </c>
      <c r="G43" s="159" t="s">
        <v>94</v>
      </c>
      <c r="H43" s="159" t="s">
        <v>128</v>
      </c>
      <c r="I43" s="159" t="s">
        <v>149</v>
      </c>
      <c r="J43" s="159"/>
      <c r="K43" s="159" t="s">
        <v>112</v>
      </c>
      <c r="L43" s="159" t="s">
        <v>165</v>
      </c>
      <c r="M43" s="159" t="s">
        <v>172</v>
      </c>
      <c r="N43" s="159"/>
      <c r="O43" s="159" t="s">
        <v>153</v>
      </c>
      <c r="P43" s="159"/>
      <c r="Q43" s="159" t="s">
        <v>113</v>
      </c>
      <c r="R43" s="154" t="s">
        <v>102</v>
      </c>
      <c r="S43" s="154"/>
      <c r="T43" s="160" t="s">
        <v>114</v>
      </c>
      <c r="U43" s="154" t="s">
        <v>154</v>
      </c>
      <c r="V43" s="154" t="s">
        <v>184</v>
      </c>
      <c r="W43" s="154" t="s">
        <v>116</v>
      </c>
      <c r="X43" s="154" t="s">
        <v>195</v>
      </c>
      <c r="Y43" s="154" t="s">
        <v>145</v>
      </c>
      <c r="Z43" s="154"/>
      <c r="AA43" s="154"/>
      <c r="AB43" s="154"/>
      <c r="AC43" s="154"/>
      <c r="AD43" s="154"/>
      <c r="AE43" s="154"/>
      <c r="AF43" s="154"/>
      <c r="AG43" s="154"/>
      <c r="AH43" s="154" t="s">
        <v>157</v>
      </c>
      <c r="AI43" s="154"/>
      <c r="AJ43" s="212">
        <v>0.41666666666666669</v>
      </c>
      <c r="AK43" s="213">
        <v>0</v>
      </c>
      <c r="AL43" s="210">
        <v>0</v>
      </c>
      <c r="AM43" s="210">
        <v>8.3333333333333329E-2</v>
      </c>
      <c r="AN43" s="209">
        <v>4.4403935185185182</v>
      </c>
      <c r="AO43" s="223"/>
      <c r="AP43" s="17">
        <v>0</v>
      </c>
      <c r="AQ43" s="17">
        <v>0</v>
      </c>
      <c r="AR43" s="17">
        <v>0</v>
      </c>
      <c r="AS43" s="17">
        <v>0</v>
      </c>
      <c r="AT43" s="210">
        <v>58</v>
      </c>
      <c r="AU43" s="209">
        <v>12.181533901270448</v>
      </c>
      <c r="AV43" s="208">
        <v>696</v>
      </c>
      <c r="AW43" s="154"/>
      <c r="AX43" s="154"/>
      <c r="AY43" s="154"/>
      <c r="AZ43" s="154"/>
      <c r="BA43" s="154"/>
      <c r="BB43" s="154"/>
      <c r="BC43" s="161" t="s">
        <v>102</v>
      </c>
      <c r="BE43" s="162" t="s">
        <v>108</v>
      </c>
      <c r="BJ43" s="154"/>
      <c r="BK43" s="154"/>
      <c r="BL43" s="161"/>
      <c r="BM43" s="161"/>
      <c r="BN43" s="161"/>
      <c r="BO43" s="161"/>
      <c r="BP43" s="161"/>
      <c r="BQ43" s="161"/>
      <c r="BR43" s="163"/>
      <c r="BS43" s="163"/>
      <c r="BT43" s="163"/>
      <c r="BU43" s="163"/>
    </row>
    <row r="44" spans="1:73" s="151" customFormat="1" ht="14.45">
      <c r="A44" s="144">
        <f t="shared" si="0"/>
        <v>42</v>
      </c>
      <c r="B44" s="145" t="s">
        <v>89</v>
      </c>
      <c r="C44" s="146" t="s">
        <v>312</v>
      </c>
      <c r="D44" s="145" t="s">
        <v>313</v>
      </c>
      <c r="E44" s="147" t="s">
        <v>310</v>
      </c>
      <c r="F44" s="148" t="s">
        <v>314</v>
      </c>
      <c r="G44" s="148" t="s">
        <v>94</v>
      </c>
      <c r="H44" s="148" t="s">
        <v>128</v>
      </c>
      <c r="I44" s="148" t="s">
        <v>149</v>
      </c>
      <c r="J44" s="148"/>
      <c r="K44" s="148" t="s">
        <v>112</v>
      </c>
      <c r="L44" s="148" t="s">
        <v>165</v>
      </c>
      <c r="M44" s="148" t="s">
        <v>99</v>
      </c>
      <c r="N44" s="148"/>
      <c r="O44" s="148" t="s">
        <v>100</v>
      </c>
      <c r="P44" s="148"/>
      <c r="Q44" s="148" t="s">
        <v>101</v>
      </c>
      <c r="R44" s="144" t="s">
        <v>102</v>
      </c>
      <c r="S44" s="144"/>
      <c r="T44" s="149" t="s">
        <v>102</v>
      </c>
      <c r="U44" s="144" t="s">
        <v>103</v>
      </c>
      <c r="V44" s="144" t="s">
        <v>315</v>
      </c>
      <c r="W44" s="144" t="s">
        <v>116</v>
      </c>
      <c r="X44" s="144" t="s">
        <v>117</v>
      </c>
      <c r="Y44" s="144" t="s">
        <v>118</v>
      </c>
      <c r="Z44" s="144"/>
      <c r="AA44" s="144"/>
      <c r="AB44" s="144"/>
      <c r="AC44" s="144"/>
      <c r="AD44" s="144"/>
      <c r="AE44" s="144"/>
      <c r="AF44" s="144"/>
      <c r="AG44" s="144"/>
      <c r="AH44" s="144" t="s">
        <v>135</v>
      </c>
      <c r="AI44" s="144"/>
      <c r="AJ44" s="212">
        <v>30.916666666666668</v>
      </c>
      <c r="AK44" s="213">
        <v>2.6954177897574125E-3</v>
      </c>
      <c r="AL44" s="210">
        <v>0.5</v>
      </c>
      <c r="AM44" s="210">
        <v>2.8333333333333335</v>
      </c>
      <c r="AN44" s="209">
        <v>4.6038909443938474</v>
      </c>
      <c r="AO44" s="224"/>
      <c r="AP44" s="17">
        <v>3</v>
      </c>
      <c r="AQ44" s="17">
        <v>0</v>
      </c>
      <c r="AR44" s="17">
        <v>0</v>
      </c>
      <c r="AS44" s="17">
        <v>0</v>
      </c>
      <c r="AT44" s="210">
        <v>114.58333333333333</v>
      </c>
      <c r="AU44" s="209">
        <v>2.4347808021143722</v>
      </c>
      <c r="AV44" s="208">
        <v>1375</v>
      </c>
      <c r="AW44" s="144"/>
      <c r="AX44" s="144"/>
      <c r="AY44" s="144"/>
      <c r="AZ44" s="144"/>
      <c r="BA44" s="144"/>
      <c r="BB44" s="144"/>
      <c r="BC44" s="150" t="s">
        <v>102</v>
      </c>
      <c r="BD44" s="144">
        <f>BL44/(BI44+BL44)*100</f>
        <v>25</v>
      </c>
      <c r="BE44" s="151" t="s">
        <v>108</v>
      </c>
      <c r="BF44" s="144"/>
      <c r="BG44" s="144"/>
      <c r="BH44" s="144"/>
      <c r="BI44" s="144">
        <v>3</v>
      </c>
      <c r="BJ44" s="144"/>
      <c r="BK44" s="144"/>
      <c r="BL44" s="144">
        <v>1</v>
      </c>
      <c r="BM44" s="152">
        <v>237495</v>
      </c>
      <c r="BN44" s="150"/>
      <c r="BO44" s="150"/>
      <c r="BP44" s="150"/>
      <c r="BQ44" s="150"/>
      <c r="BR44" s="153"/>
      <c r="BS44" s="153"/>
      <c r="BT44" s="153"/>
      <c r="BU44" s="153"/>
    </row>
    <row r="45" spans="1:73" s="162" customFormat="1" ht="14.45">
      <c r="A45" s="154">
        <f t="shared" si="0"/>
        <v>43</v>
      </c>
      <c r="B45" s="155" t="s">
        <v>89</v>
      </c>
      <c r="C45" s="156" t="s">
        <v>316</v>
      </c>
      <c r="D45" s="155" t="s">
        <v>317</v>
      </c>
      <c r="E45" s="157" t="s">
        <v>310</v>
      </c>
      <c r="F45" s="158" t="s">
        <v>318</v>
      </c>
      <c r="G45" s="159" t="s">
        <v>94</v>
      </c>
      <c r="H45" s="159" t="s">
        <v>202</v>
      </c>
      <c r="I45" s="159" t="s">
        <v>203</v>
      </c>
      <c r="J45" s="159"/>
      <c r="K45" s="159" t="s">
        <v>112</v>
      </c>
      <c r="L45" s="159" t="s">
        <v>208</v>
      </c>
      <c r="M45" s="164" t="s">
        <v>166</v>
      </c>
      <c r="N45" s="159"/>
      <c r="O45" s="159" t="s">
        <v>153</v>
      </c>
      <c r="P45" s="159"/>
      <c r="Q45" s="159" t="s">
        <v>101</v>
      </c>
      <c r="R45" s="154" t="s">
        <v>102</v>
      </c>
      <c r="S45" s="154"/>
      <c r="T45" s="160" t="s">
        <v>102</v>
      </c>
      <c r="U45" s="154" t="s">
        <v>183</v>
      </c>
      <c r="V45" s="154" t="s">
        <v>184</v>
      </c>
      <c r="W45" s="154" t="s">
        <v>116</v>
      </c>
      <c r="X45" s="154" t="s">
        <v>319</v>
      </c>
      <c r="Y45" s="154" t="s">
        <v>134</v>
      </c>
      <c r="Z45" s="154"/>
      <c r="AA45" s="154"/>
      <c r="AB45" s="154"/>
      <c r="AC45" s="154"/>
      <c r="AD45" s="154"/>
      <c r="AE45" s="154"/>
      <c r="AF45" s="154"/>
      <c r="AG45" s="154"/>
      <c r="AH45" s="154" t="s">
        <v>175</v>
      </c>
      <c r="AI45" s="154"/>
      <c r="AJ45" s="212">
        <v>13</v>
      </c>
      <c r="AK45" s="213">
        <v>0</v>
      </c>
      <c r="AL45" s="210">
        <v>1.8333333333333333</v>
      </c>
      <c r="AM45" s="210">
        <v>3.25</v>
      </c>
      <c r="AN45" s="209">
        <v>3.6100031067251463</v>
      </c>
      <c r="AO45" s="223"/>
      <c r="AP45" s="17">
        <v>2</v>
      </c>
      <c r="AQ45" s="17">
        <v>0</v>
      </c>
      <c r="AR45" s="17">
        <v>0</v>
      </c>
      <c r="AS45" s="17">
        <v>0</v>
      </c>
      <c r="AT45" s="210">
        <v>63.166666666666664</v>
      </c>
      <c r="AU45" s="209">
        <v>11.067045146898622</v>
      </c>
      <c r="AV45" s="208">
        <v>758</v>
      </c>
      <c r="AW45" s="154"/>
      <c r="AX45" s="154"/>
      <c r="AY45" s="154"/>
      <c r="AZ45" s="154"/>
      <c r="BA45" s="154"/>
      <c r="BB45" s="154"/>
      <c r="BC45" s="161" t="s">
        <v>102</v>
      </c>
      <c r="BD45" s="154">
        <f>BL45/(BI45+BL45)*100</f>
        <v>50</v>
      </c>
      <c r="BE45" s="162" t="s">
        <v>108</v>
      </c>
      <c r="BF45" s="154"/>
      <c r="BG45" s="154"/>
      <c r="BH45" s="154"/>
      <c r="BI45" s="154">
        <v>3</v>
      </c>
      <c r="BJ45" s="154"/>
      <c r="BK45" s="154"/>
      <c r="BL45" s="154">
        <v>3</v>
      </c>
      <c r="BM45" s="161">
        <v>971777.69</v>
      </c>
      <c r="BN45" s="161"/>
      <c r="BO45" s="161"/>
      <c r="BP45" s="161"/>
      <c r="BQ45" s="161"/>
      <c r="BR45" s="163"/>
      <c r="BS45" s="163"/>
      <c r="BT45" s="163"/>
      <c r="BU45" s="163"/>
    </row>
    <row r="46" spans="1:73" s="162" customFormat="1" ht="14.45">
      <c r="A46" s="154">
        <f t="shared" si="0"/>
        <v>44</v>
      </c>
      <c r="B46" s="155" t="s">
        <v>89</v>
      </c>
      <c r="C46" s="156" t="s">
        <v>320</v>
      </c>
      <c r="D46" s="155" t="s">
        <v>321</v>
      </c>
      <c r="E46" s="157" t="s">
        <v>310</v>
      </c>
      <c r="F46" s="159" t="s">
        <v>322</v>
      </c>
      <c r="G46" s="159" t="s">
        <v>94</v>
      </c>
      <c r="H46" s="159" t="s">
        <v>223</v>
      </c>
      <c r="I46" s="159" t="s">
        <v>224</v>
      </c>
      <c r="J46" s="159"/>
      <c r="K46" s="159" t="s">
        <v>112</v>
      </c>
      <c r="L46" s="159" t="s">
        <v>165</v>
      </c>
      <c r="M46" s="162" t="s">
        <v>166</v>
      </c>
      <c r="N46" s="159"/>
      <c r="O46" s="159" t="s">
        <v>153</v>
      </c>
      <c r="P46" s="159"/>
      <c r="Q46" s="159" t="s">
        <v>101</v>
      </c>
      <c r="R46" s="154" t="s">
        <v>102</v>
      </c>
      <c r="S46" s="154"/>
      <c r="T46" s="160" t="s">
        <v>114</v>
      </c>
      <c r="U46" s="154" t="s">
        <v>154</v>
      </c>
      <c r="V46" s="154" t="s">
        <v>184</v>
      </c>
      <c r="W46" s="154" t="s">
        <v>116</v>
      </c>
      <c r="X46" s="154" t="s">
        <v>319</v>
      </c>
      <c r="Y46" s="154" t="s">
        <v>145</v>
      </c>
      <c r="Z46" s="154"/>
      <c r="AA46" s="154"/>
      <c r="AB46" s="154"/>
      <c r="AC46" s="154"/>
      <c r="AD46" s="154"/>
      <c r="AE46" s="154"/>
      <c r="AF46" s="154"/>
      <c r="AG46" s="154"/>
      <c r="AH46" s="154" t="s">
        <v>119</v>
      </c>
      <c r="AI46" s="154"/>
      <c r="AJ46" s="212">
        <v>0</v>
      </c>
      <c r="AK46" s="213">
        <v>0</v>
      </c>
      <c r="AL46" s="210">
        <v>0</v>
      </c>
      <c r="AM46" s="210">
        <v>0</v>
      </c>
      <c r="AN46" s="209">
        <v>0</v>
      </c>
      <c r="AO46" s="223"/>
      <c r="AP46" s="17">
        <v>0</v>
      </c>
      <c r="AQ46" s="17">
        <v>0</v>
      </c>
      <c r="AR46" s="17">
        <v>0</v>
      </c>
      <c r="AS46" s="17">
        <v>0</v>
      </c>
      <c r="AT46" s="210">
        <v>36</v>
      </c>
      <c r="AU46" s="209">
        <v>18.539487731481476</v>
      </c>
      <c r="AV46" s="208">
        <v>432</v>
      </c>
      <c r="AW46" s="154"/>
      <c r="AX46" s="154"/>
      <c r="AY46" s="154"/>
      <c r="AZ46" s="154"/>
      <c r="BA46" s="154"/>
      <c r="BB46" s="154"/>
      <c r="BC46" s="161" t="s">
        <v>102</v>
      </c>
      <c r="BD46" s="154"/>
      <c r="BE46" s="162" t="s">
        <v>108</v>
      </c>
      <c r="BF46" s="154"/>
      <c r="BG46" s="154"/>
      <c r="BH46" s="154"/>
      <c r="BI46" s="154"/>
      <c r="BJ46" s="154"/>
      <c r="BK46" s="154"/>
      <c r="BL46" s="154"/>
      <c r="BM46" s="161"/>
      <c r="BN46" s="161"/>
      <c r="BO46" s="161"/>
      <c r="BP46" s="161"/>
      <c r="BQ46" s="161"/>
      <c r="BR46" s="163"/>
      <c r="BS46" s="163"/>
      <c r="BT46" s="163"/>
      <c r="BU46" s="163"/>
    </row>
    <row r="47" spans="1:73" s="162" customFormat="1" ht="14.45">
      <c r="A47" s="165">
        <f t="shared" si="0"/>
        <v>45</v>
      </c>
      <c r="B47" s="155" t="s">
        <v>89</v>
      </c>
      <c r="C47" s="156" t="s">
        <v>323</v>
      </c>
      <c r="D47" s="155" t="s">
        <v>324</v>
      </c>
      <c r="E47" s="157" t="s">
        <v>310</v>
      </c>
      <c r="F47" s="159" t="s">
        <v>325</v>
      </c>
      <c r="G47" s="159" t="s">
        <v>94</v>
      </c>
      <c r="H47" s="161" t="s">
        <v>128</v>
      </c>
      <c r="I47" s="161" t="s">
        <v>149</v>
      </c>
      <c r="J47" s="161"/>
      <c r="K47" s="161" t="s">
        <v>112</v>
      </c>
      <c r="L47" s="161" t="s">
        <v>165</v>
      </c>
      <c r="M47" s="161" t="s">
        <v>172</v>
      </c>
      <c r="N47" s="161"/>
      <c r="O47" s="166" t="s">
        <v>153</v>
      </c>
      <c r="P47" s="166"/>
      <c r="Q47" s="166" t="s">
        <v>113</v>
      </c>
      <c r="R47" s="166" t="s">
        <v>102</v>
      </c>
      <c r="S47" s="166"/>
      <c r="T47" s="166" t="s">
        <v>114</v>
      </c>
      <c r="U47" s="161" t="s">
        <v>154</v>
      </c>
      <c r="V47" s="161" t="s">
        <v>189</v>
      </c>
      <c r="W47" s="161" t="s">
        <v>116</v>
      </c>
      <c r="X47" s="161" t="s">
        <v>195</v>
      </c>
      <c r="Y47" s="161" t="s">
        <v>145</v>
      </c>
      <c r="Z47" s="161"/>
      <c r="AA47" s="161"/>
      <c r="AB47" s="161"/>
      <c r="AC47" s="161"/>
      <c r="AD47" s="161"/>
      <c r="AE47" s="161"/>
      <c r="AF47" s="161"/>
      <c r="AG47" s="161"/>
      <c r="AH47" s="161" t="s">
        <v>157</v>
      </c>
      <c r="AI47" s="161"/>
      <c r="AJ47" s="212">
        <v>0</v>
      </c>
      <c r="AK47" s="213">
        <v>0</v>
      </c>
      <c r="AL47" s="210">
        <v>0</v>
      </c>
      <c r="AM47" s="210">
        <v>0</v>
      </c>
      <c r="AN47" s="209">
        <v>0</v>
      </c>
      <c r="AO47" s="225"/>
      <c r="AP47" s="17">
        <v>0</v>
      </c>
      <c r="AQ47" s="17">
        <v>0</v>
      </c>
      <c r="AR47" s="17">
        <v>0</v>
      </c>
      <c r="AS47" s="17">
        <v>0</v>
      </c>
      <c r="AT47" s="210">
        <v>36</v>
      </c>
      <c r="AU47" s="209">
        <v>18.53949139660493</v>
      </c>
      <c r="AV47" s="208">
        <v>432</v>
      </c>
      <c r="AW47" s="161"/>
      <c r="AX47" s="161"/>
      <c r="AY47" s="161"/>
      <c r="AZ47" s="161"/>
      <c r="BA47" s="161"/>
      <c r="BB47" s="161"/>
      <c r="BC47" s="161" t="s">
        <v>102</v>
      </c>
      <c r="BD47" s="161"/>
      <c r="BE47" s="162" t="s">
        <v>108</v>
      </c>
      <c r="BF47" s="161"/>
      <c r="BG47" s="161"/>
      <c r="BH47" s="161"/>
      <c r="BI47" s="161"/>
      <c r="BJ47" s="161"/>
      <c r="BK47" s="161"/>
      <c r="BL47" s="161"/>
      <c r="BM47" s="161"/>
      <c r="BN47" s="161"/>
      <c r="BO47" s="161"/>
      <c r="BP47" s="161"/>
      <c r="BQ47" s="161"/>
      <c r="BR47" s="163"/>
      <c r="BS47" s="163"/>
      <c r="BT47" s="163">
        <v>1</v>
      </c>
      <c r="BU47" s="163"/>
    </row>
    <row r="48" spans="1:73" s="162" customFormat="1" ht="14.45">
      <c r="A48" s="165">
        <f t="shared" si="0"/>
        <v>46</v>
      </c>
      <c r="B48" s="155" t="s">
        <v>89</v>
      </c>
      <c r="C48" s="156" t="s">
        <v>326</v>
      </c>
      <c r="D48" s="155" t="s">
        <v>327</v>
      </c>
      <c r="E48" s="157" t="s">
        <v>310</v>
      </c>
      <c r="F48" s="161" t="s">
        <v>328</v>
      </c>
      <c r="G48" s="159" t="s">
        <v>94</v>
      </c>
      <c r="H48" s="161" t="s">
        <v>128</v>
      </c>
      <c r="I48" s="161" t="s">
        <v>149</v>
      </c>
      <c r="J48" s="161"/>
      <c r="K48" s="161" t="s">
        <v>112</v>
      </c>
      <c r="L48" s="161" t="s">
        <v>165</v>
      </c>
      <c r="M48" s="162" t="s">
        <v>172</v>
      </c>
      <c r="N48" s="161"/>
      <c r="O48" s="166" t="s">
        <v>153</v>
      </c>
      <c r="P48" s="166"/>
      <c r="Q48" s="166" t="s">
        <v>113</v>
      </c>
      <c r="R48" s="166" t="s">
        <v>102</v>
      </c>
      <c r="S48" s="166"/>
      <c r="T48" s="166" t="s">
        <v>114</v>
      </c>
      <c r="U48" s="161" t="s">
        <v>154</v>
      </c>
      <c r="V48" s="161" t="s">
        <v>184</v>
      </c>
      <c r="W48" s="161" t="s">
        <v>116</v>
      </c>
      <c r="X48" s="161" t="s">
        <v>195</v>
      </c>
      <c r="Y48" s="161" t="s">
        <v>145</v>
      </c>
      <c r="Z48" s="161"/>
      <c r="AA48" s="161"/>
      <c r="AB48" s="161"/>
      <c r="AC48" s="161"/>
      <c r="AD48" s="161"/>
      <c r="AE48" s="161"/>
      <c r="AF48" s="161"/>
      <c r="AG48" s="161"/>
      <c r="AH48" s="161" t="s">
        <v>157</v>
      </c>
      <c r="AI48" s="161"/>
      <c r="AJ48" s="212">
        <v>22.583333333333332</v>
      </c>
      <c r="AK48" s="213">
        <v>0</v>
      </c>
      <c r="AL48" s="210">
        <v>8.3333333333333329E-2</v>
      </c>
      <c r="AM48" s="210">
        <v>1.0833333333333333</v>
      </c>
      <c r="AN48" s="209">
        <v>3.8539926938657416</v>
      </c>
      <c r="AO48" s="225"/>
      <c r="AP48" s="17">
        <v>1</v>
      </c>
      <c r="AQ48" s="17">
        <v>0</v>
      </c>
      <c r="AR48" s="17">
        <v>0</v>
      </c>
      <c r="AS48" s="17">
        <v>0</v>
      </c>
      <c r="AT48" s="210">
        <v>58.916666666666664</v>
      </c>
      <c r="AU48" s="209">
        <v>12.125676137163774</v>
      </c>
      <c r="AV48" s="208">
        <v>707</v>
      </c>
      <c r="AW48" s="161"/>
      <c r="AX48" s="161"/>
      <c r="AY48" s="161"/>
      <c r="AZ48" s="161"/>
      <c r="BA48" s="161"/>
      <c r="BB48" s="161"/>
      <c r="BC48" s="161" t="s">
        <v>102</v>
      </c>
      <c r="BD48" s="161"/>
      <c r="BE48" s="162" t="s">
        <v>108</v>
      </c>
      <c r="BF48" s="161"/>
      <c r="BG48" s="161"/>
      <c r="BH48" s="161"/>
      <c r="BI48" s="161">
        <v>2</v>
      </c>
      <c r="BJ48" s="161"/>
      <c r="BK48" s="161"/>
      <c r="BL48" s="161">
        <v>0</v>
      </c>
      <c r="BM48" s="167">
        <v>95000</v>
      </c>
      <c r="BN48" s="161"/>
      <c r="BO48" s="161"/>
      <c r="BP48" s="161"/>
      <c r="BQ48" s="161"/>
      <c r="BR48" s="163"/>
      <c r="BS48" s="163"/>
      <c r="BT48" s="163"/>
      <c r="BU48" s="163"/>
    </row>
    <row r="49" spans="1:73" s="162" customFormat="1" ht="29.1">
      <c r="A49" s="154">
        <f t="shared" si="0"/>
        <v>47</v>
      </c>
      <c r="B49" s="155" t="s">
        <v>89</v>
      </c>
      <c r="C49" s="156" t="s">
        <v>329</v>
      </c>
      <c r="D49" s="155" t="s">
        <v>330</v>
      </c>
      <c r="E49" s="157" t="s">
        <v>310</v>
      </c>
      <c r="F49" s="168" t="s">
        <v>331</v>
      </c>
      <c r="G49" s="159" t="s">
        <v>94</v>
      </c>
      <c r="H49" s="169" t="s">
        <v>95</v>
      </c>
      <c r="I49" s="169" t="s">
        <v>236</v>
      </c>
      <c r="J49" s="159"/>
      <c r="K49" s="169" t="s">
        <v>112</v>
      </c>
      <c r="L49" s="169" t="s">
        <v>98</v>
      </c>
      <c r="M49" s="170" t="s">
        <v>99</v>
      </c>
      <c r="N49" s="159"/>
      <c r="O49" s="169" t="s">
        <v>100</v>
      </c>
      <c r="P49" s="159"/>
      <c r="Q49" s="169" t="s">
        <v>113</v>
      </c>
      <c r="R49" s="171" t="s">
        <v>102</v>
      </c>
      <c r="S49" s="154"/>
      <c r="T49" s="172" t="s">
        <v>114</v>
      </c>
      <c r="U49" s="171" t="s">
        <v>103</v>
      </c>
      <c r="V49" s="171" t="s">
        <v>184</v>
      </c>
      <c r="W49" s="171" t="s">
        <v>116</v>
      </c>
      <c r="X49" s="171" t="s">
        <v>246</v>
      </c>
      <c r="Y49" s="171" t="s">
        <v>156</v>
      </c>
      <c r="Z49" s="154"/>
      <c r="AA49" s="154"/>
      <c r="AB49" s="154"/>
      <c r="AC49" s="154"/>
      <c r="AD49" s="154"/>
      <c r="AE49" s="154"/>
      <c r="AF49" s="154"/>
      <c r="AG49" s="154"/>
      <c r="AH49" s="171" t="s">
        <v>157</v>
      </c>
      <c r="AI49" s="154"/>
      <c r="AJ49" s="212">
        <v>0</v>
      </c>
      <c r="AK49" s="213">
        <v>0</v>
      </c>
      <c r="AL49" s="210">
        <v>0</v>
      </c>
      <c r="AM49" s="210">
        <v>0</v>
      </c>
      <c r="AN49" s="209">
        <v>0</v>
      </c>
      <c r="AO49" s="223"/>
      <c r="AP49" s="17">
        <v>0</v>
      </c>
      <c r="AQ49" s="17">
        <v>0</v>
      </c>
      <c r="AR49" s="17">
        <v>0</v>
      </c>
      <c r="AS49" s="17">
        <v>0</v>
      </c>
      <c r="AT49" s="210">
        <v>9.6666666666666661</v>
      </c>
      <c r="AU49" s="209">
        <v>3.3461887886597945</v>
      </c>
      <c r="AV49" s="208">
        <v>116</v>
      </c>
      <c r="AW49" s="154"/>
      <c r="AX49" s="154"/>
      <c r="AY49" s="154"/>
      <c r="AZ49" s="154"/>
      <c r="BA49" s="154"/>
      <c r="BB49" s="154"/>
      <c r="BC49" s="161" t="s">
        <v>102</v>
      </c>
      <c r="BD49" s="154"/>
      <c r="BE49" s="162" t="s">
        <v>108</v>
      </c>
      <c r="BF49" s="154"/>
      <c r="BG49" s="154"/>
      <c r="BH49" s="154"/>
      <c r="BI49" s="154"/>
      <c r="BJ49" s="154"/>
      <c r="BK49" s="154"/>
      <c r="BL49" s="154"/>
      <c r="BM49" s="173">
        <v>3555.72</v>
      </c>
      <c r="BN49" s="161"/>
      <c r="BO49" s="161"/>
      <c r="BP49" s="161"/>
      <c r="BQ49" s="161"/>
      <c r="BR49" s="163"/>
      <c r="BS49" s="163"/>
      <c r="BT49" s="163"/>
      <c r="BU49" s="163"/>
    </row>
    <row r="50" spans="1:73" s="162" customFormat="1" ht="57.95">
      <c r="A50" s="154">
        <f t="shared" si="0"/>
        <v>48</v>
      </c>
      <c r="B50" s="155" t="s">
        <v>89</v>
      </c>
      <c r="C50" s="156" t="s">
        <v>332</v>
      </c>
      <c r="D50" s="155" t="s">
        <v>333</v>
      </c>
      <c r="E50" s="157" t="s">
        <v>310</v>
      </c>
      <c r="F50" s="169" t="s">
        <v>334</v>
      </c>
      <c r="G50" s="159" t="s">
        <v>94</v>
      </c>
      <c r="H50" s="168" t="s">
        <v>95</v>
      </c>
      <c r="I50" s="168" t="s">
        <v>96</v>
      </c>
      <c r="J50" s="168"/>
      <c r="K50" s="168" t="s">
        <v>112</v>
      </c>
      <c r="L50" s="168" t="s">
        <v>98</v>
      </c>
      <c r="M50" s="168" t="s">
        <v>99</v>
      </c>
      <c r="N50" s="159"/>
      <c r="O50" s="168" t="s">
        <v>100</v>
      </c>
      <c r="P50" s="159"/>
      <c r="Q50" s="168" t="s">
        <v>113</v>
      </c>
      <c r="R50" s="174" t="s">
        <v>102</v>
      </c>
      <c r="S50" s="154"/>
      <c r="T50" s="175" t="s">
        <v>102</v>
      </c>
      <c r="U50" s="174" t="s">
        <v>103</v>
      </c>
      <c r="V50" s="174" t="s">
        <v>104</v>
      </c>
      <c r="W50" s="174" t="s">
        <v>104</v>
      </c>
      <c r="X50" s="174" t="s">
        <v>104</v>
      </c>
      <c r="Y50" s="174" t="s">
        <v>134</v>
      </c>
      <c r="Z50" s="174"/>
      <c r="AA50" s="174"/>
      <c r="AB50" s="174"/>
      <c r="AC50" s="174"/>
      <c r="AD50" s="174"/>
      <c r="AE50" s="174"/>
      <c r="AF50" s="174"/>
      <c r="AG50" s="174"/>
      <c r="AH50" s="174" t="s">
        <v>135</v>
      </c>
      <c r="AI50" s="154"/>
      <c r="AJ50" s="212">
        <v>3.5</v>
      </c>
      <c r="AK50" s="213">
        <v>0</v>
      </c>
      <c r="AL50" s="210">
        <v>0</v>
      </c>
      <c r="AM50" s="210">
        <v>2.6666666666666665</v>
      </c>
      <c r="AN50" s="209">
        <v>1.6933082561728396</v>
      </c>
      <c r="AO50" s="223"/>
      <c r="AP50" s="17">
        <v>0</v>
      </c>
      <c r="AQ50" s="17">
        <v>0</v>
      </c>
      <c r="AR50" s="17">
        <v>0</v>
      </c>
      <c r="AS50" s="17">
        <v>0</v>
      </c>
      <c r="AT50" s="210">
        <v>0.33333333333333331</v>
      </c>
      <c r="AU50" s="209">
        <v>25.376082175925927</v>
      </c>
      <c r="AV50" s="208">
        <v>4</v>
      </c>
      <c r="AW50" s="154"/>
      <c r="AX50" s="154"/>
      <c r="AY50" s="154"/>
      <c r="AZ50" s="154"/>
      <c r="BA50" s="154"/>
      <c r="BB50" s="154"/>
      <c r="BC50" s="161" t="s">
        <v>102</v>
      </c>
      <c r="BD50" s="154"/>
      <c r="BE50" s="162" t="s">
        <v>108</v>
      </c>
      <c r="BF50" s="154"/>
      <c r="BG50" s="154"/>
      <c r="BH50" s="154"/>
      <c r="BI50" s="154"/>
      <c r="BJ50" s="154"/>
      <c r="BK50" s="154"/>
      <c r="BL50" s="154"/>
      <c r="BM50" s="161"/>
      <c r="BN50" s="161"/>
      <c r="BO50" s="161"/>
      <c r="BP50" s="161"/>
      <c r="BQ50" s="161"/>
    </row>
    <row r="51" spans="1:73" ht="14.1">
      <c r="A51" s="44"/>
      <c r="B51" s="44"/>
      <c r="C51" s="44"/>
      <c r="D51" s="44" t="s">
        <v>335</v>
      </c>
      <c r="E51" s="44"/>
      <c r="F51" s="44"/>
      <c r="G51" s="44"/>
      <c r="H51" s="44"/>
      <c r="I51" s="44"/>
      <c r="J51" s="44"/>
      <c r="K51" s="44"/>
      <c r="L51" s="44"/>
      <c r="M51" s="44"/>
      <c r="N51" s="44"/>
      <c r="O51" s="50"/>
      <c r="P51" s="50"/>
      <c r="Q51" s="50"/>
      <c r="R51" s="50"/>
      <c r="S51" s="50"/>
      <c r="T51" s="50"/>
      <c r="U51" s="44"/>
      <c r="V51" s="44"/>
      <c r="W51" s="44"/>
      <c r="X51" s="44"/>
      <c r="Y51" s="44"/>
      <c r="Z51" s="44"/>
      <c r="AA51" s="44"/>
      <c r="AB51" s="44"/>
      <c r="AC51" s="44"/>
      <c r="AD51" s="44"/>
      <c r="AE51" s="44"/>
      <c r="AF51" s="44"/>
      <c r="AG51" s="44"/>
      <c r="AH51" s="44"/>
      <c r="AI51" s="44"/>
      <c r="AJ51" s="212">
        <v>0</v>
      </c>
      <c r="AK51" s="213">
        <v>0</v>
      </c>
      <c r="AL51" s="210">
        <v>0</v>
      </c>
      <c r="AM51" s="210"/>
      <c r="AN51" s="209"/>
      <c r="AO51" s="226"/>
      <c r="AP51" s="17"/>
      <c r="AQ51" s="17"/>
      <c r="AR51" s="17"/>
      <c r="AS51" s="17"/>
      <c r="AT51" s="210"/>
      <c r="AU51" s="209"/>
      <c r="AV51" s="208"/>
      <c r="AW51" s="44"/>
      <c r="AX51" s="44"/>
      <c r="AY51" s="44"/>
      <c r="AZ51" s="44"/>
      <c r="BA51" s="44"/>
      <c r="BB51" s="44"/>
      <c r="BC51" s="44"/>
      <c r="BD51" s="44"/>
      <c r="BE51" s="44"/>
      <c r="BF51" s="44"/>
      <c r="BG51" s="44"/>
      <c r="BH51" s="44"/>
      <c r="BI51" s="44"/>
      <c r="BJ51" s="44"/>
      <c r="BK51" s="44"/>
      <c r="BL51" s="44"/>
      <c r="BM51" s="44"/>
      <c r="BN51" s="44"/>
      <c r="BO51" s="44"/>
      <c r="BP51" s="44"/>
      <c r="BQ51" s="44"/>
    </row>
    <row r="52" spans="1:73" ht="14.1">
      <c r="A52" s="44"/>
      <c r="B52" s="44"/>
      <c r="C52" s="44"/>
      <c r="D52" s="44" t="s">
        <v>336</v>
      </c>
      <c r="E52" s="44"/>
      <c r="F52" s="44"/>
      <c r="G52" s="44"/>
      <c r="H52" s="44"/>
      <c r="I52" s="44"/>
      <c r="J52" s="44"/>
      <c r="K52" s="44"/>
      <c r="L52" s="44"/>
      <c r="M52" s="44"/>
      <c r="N52" s="44"/>
      <c r="O52" s="50"/>
      <c r="P52" s="50"/>
      <c r="Q52" s="50"/>
      <c r="R52" s="50"/>
      <c r="S52" s="50"/>
      <c r="T52" s="50"/>
      <c r="U52" s="44"/>
      <c r="V52" s="44"/>
      <c r="W52" s="44"/>
      <c r="X52" s="44"/>
      <c r="Y52" s="44"/>
      <c r="Z52" s="44"/>
      <c r="AA52" s="44"/>
      <c r="AB52" s="44"/>
      <c r="AC52" s="44"/>
      <c r="AD52" s="44"/>
      <c r="AE52" s="44"/>
      <c r="AF52" s="44"/>
      <c r="AG52" s="44"/>
      <c r="AH52" s="44"/>
      <c r="AI52" s="44"/>
      <c r="AJ52" s="212">
        <v>0</v>
      </c>
      <c r="AK52" s="213">
        <v>0</v>
      </c>
      <c r="AL52" s="210">
        <v>0</v>
      </c>
      <c r="AM52" s="210"/>
      <c r="AN52" s="209"/>
      <c r="AO52" s="226"/>
      <c r="AP52" s="17"/>
      <c r="AQ52" s="17"/>
      <c r="AR52" s="17"/>
      <c r="AS52" s="17"/>
      <c r="AT52" s="210"/>
      <c r="AU52" s="209"/>
      <c r="AV52" s="208"/>
      <c r="AW52" s="44"/>
      <c r="AX52" s="44"/>
      <c r="AY52" s="44"/>
      <c r="AZ52" s="44"/>
      <c r="BA52" s="44"/>
      <c r="BB52" s="44"/>
      <c r="BC52" s="44"/>
      <c r="BD52" s="44"/>
      <c r="BE52" s="44"/>
      <c r="BF52" s="44"/>
      <c r="BG52" s="44"/>
      <c r="BH52" s="44"/>
      <c r="BI52" s="44"/>
      <c r="BJ52" s="44"/>
      <c r="BK52" s="44"/>
      <c r="BL52" s="44"/>
      <c r="BM52" s="44">
        <v>305000</v>
      </c>
      <c r="BN52" s="44"/>
      <c r="BO52" s="44"/>
      <c r="BP52" s="44"/>
      <c r="BQ52" s="44"/>
    </row>
    <row r="53" spans="1:73" ht="14.1">
      <c r="A53" s="44"/>
      <c r="B53" s="44"/>
      <c r="C53" s="44"/>
      <c r="D53" s="44" t="s">
        <v>337</v>
      </c>
      <c r="E53" s="44"/>
      <c r="F53" s="44"/>
      <c r="G53" s="44"/>
      <c r="H53" s="44"/>
      <c r="I53" s="44"/>
      <c r="J53" s="44"/>
      <c r="K53" s="44"/>
      <c r="L53" s="44"/>
      <c r="M53" s="44"/>
      <c r="N53" s="44"/>
      <c r="O53" s="50"/>
      <c r="P53" s="50"/>
      <c r="Q53" s="50"/>
      <c r="R53" s="50"/>
      <c r="S53" s="50"/>
      <c r="T53" s="50"/>
      <c r="U53" s="44"/>
      <c r="V53" s="44"/>
      <c r="W53" s="44"/>
      <c r="X53" s="44"/>
      <c r="Y53" s="44"/>
      <c r="Z53" s="44"/>
      <c r="AA53" s="44"/>
      <c r="AB53" s="44"/>
      <c r="AC53" s="44"/>
      <c r="AD53" s="44"/>
      <c r="AE53" s="44"/>
      <c r="AF53" s="44"/>
      <c r="AG53" s="44"/>
      <c r="AH53" s="44"/>
      <c r="AI53" s="44"/>
      <c r="AJ53" s="212">
        <v>0</v>
      </c>
      <c r="AK53" s="213">
        <v>0</v>
      </c>
      <c r="AL53" s="210">
        <v>0</v>
      </c>
      <c r="AM53" s="210"/>
      <c r="AN53" s="209"/>
      <c r="AO53" s="226"/>
      <c r="AP53" s="17"/>
      <c r="AQ53" s="17"/>
      <c r="AR53" s="17"/>
      <c r="AS53" s="17"/>
      <c r="AT53" s="210"/>
      <c r="AU53" s="209"/>
      <c r="AV53" s="208"/>
      <c r="AW53" s="44"/>
      <c r="AX53" s="44"/>
      <c r="AY53" s="44"/>
      <c r="AZ53" s="44"/>
      <c r="BA53" s="44"/>
      <c r="BB53" s="44"/>
      <c r="BC53" s="44"/>
      <c r="BD53" s="44"/>
      <c r="BE53" s="44"/>
      <c r="BF53" s="44"/>
      <c r="BG53" s="44"/>
      <c r="BH53" s="44"/>
      <c r="BI53" s="44"/>
      <c r="BJ53" s="44"/>
      <c r="BK53" s="44"/>
      <c r="BL53" s="44"/>
      <c r="BM53" s="44"/>
      <c r="BN53" s="44"/>
      <c r="BO53" s="44"/>
      <c r="BP53" s="44"/>
      <c r="BQ53" s="44"/>
    </row>
    <row r="54" spans="1:73">
      <c r="A54" s="44"/>
      <c r="B54" s="44"/>
      <c r="C54" s="44"/>
      <c r="D54" s="44"/>
      <c r="E54" s="44"/>
      <c r="F54" s="44"/>
      <c r="G54" s="44"/>
      <c r="H54" s="44"/>
      <c r="I54" s="44"/>
      <c r="J54" s="44"/>
      <c r="K54" s="44"/>
      <c r="L54" s="44"/>
      <c r="M54" s="44"/>
      <c r="N54" s="44"/>
      <c r="O54" s="50"/>
      <c r="P54" s="50"/>
      <c r="Q54" s="50"/>
      <c r="R54" s="50"/>
      <c r="S54" s="50"/>
      <c r="T54" s="50"/>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201"/>
      <c r="AU54" s="44"/>
      <c r="AV54" s="44"/>
      <c r="AW54" s="44"/>
      <c r="AX54" s="44"/>
      <c r="AY54" s="44"/>
      <c r="AZ54" s="44"/>
      <c r="BA54" s="44"/>
      <c r="BB54" s="44"/>
      <c r="BC54" s="44"/>
      <c r="BD54" s="44"/>
      <c r="BE54" s="44"/>
      <c r="BF54" s="44"/>
      <c r="BG54" s="44"/>
      <c r="BH54" s="44"/>
      <c r="BI54" s="44"/>
      <c r="BJ54" s="44"/>
      <c r="BK54" s="44"/>
      <c r="BL54" s="44"/>
      <c r="BM54" s="44"/>
      <c r="BN54" s="44"/>
      <c r="BO54" s="44"/>
      <c r="BP54" s="44"/>
      <c r="BQ54" s="44"/>
    </row>
    <row r="55" spans="1:73">
      <c r="A55" s="44"/>
      <c r="B55" s="44"/>
      <c r="C55" s="44"/>
      <c r="D55" s="44"/>
      <c r="E55" s="44"/>
      <c r="F55" s="44"/>
      <c r="G55" s="44"/>
      <c r="H55" s="44"/>
      <c r="I55" s="44"/>
      <c r="J55" s="44"/>
      <c r="K55" s="44"/>
      <c r="L55" s="44"/>
      <c r="M55" s="44"/>
      <c r="N55" s="44"/>
      <c r="O55" s="50"/>
      <c r="P55" s="50"/>
      <c r="Q55" s="50"/>
      <c r="R55" s="50"/>
      <c r="S55" s="50"/>
      <c r="T55" s="50"/>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201"/>
      <c r="AU55" s="44"/>
      <c r="AV55" s="44"/>
      <c r="AW55" s="44"/>
      <c r="AX55" s="44"/>
      <c r="AY55" s="44"/>
      <c r="AZ55" s="44"/>
      <c r="BA55" s="44"/>
      <c r="BB55" s="44"/>
      <c r="BC55" s="44"/>
      <c r="BD55" s="44"/>
      <c r="BE55" s="44"/>
      <c r="BF55" s="44"/>
      <c r="BG55" s="44"/>
      <c r="BH55" s="44"/>
      <c r="BI55" s="44"/>
      <c r="BJ55" s="44"/>
      <c r="BK55" s="44"/>
      <c r="BL55" s="44"/>
      <c r="BM55" s="44"/>
      <c r="BN55" s="44"/>
      <c r="BO55" s="44"/>
      <c r="BP55" s="44"/>
      <c r="BQ55" s="44"/>
    </row>
    <row r="56" spans="1:73">
      <c r="A56" s="44"/>
      <c r="B56" s="44"/>
      <c r="C56" s="44"/>
      <c r="D56" s="44"/>
      <c r="E56" s="44"/>
      <c r="F56" s="44"/>
      <c r="G56" s="44"/>
      <c r="H56" s="44"/>
      <c r="I56" s="44"/>
      <c r="J56" s="44"/>
      <c r="K56" s="44"/>
      <c r="L56" s="44"/>
      <c r="M56" s="44"/>
      <c r="N56" s="44"/>
      <c r="O56" s="51"/>
      <c r="P56" s="51"/>
      <c r="Q56" s="51"/>
      <c r="R56" s="51"/>
      <c r="S56" s="51"/>
      <c r="T56" s="51"/>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201"/>
      <c r="AU56" s="44"/>
      <c r="AV56" s="44"/>
      <c r="AW56" s="44"/>
      <c r="AX56" s="44"/>
      <c r="AY56" s="44"/>
      <c r="AZ56" s="44"/>
      <c r="BA56" s="44"/>
      <c r="BB56" s="44"/>
      <c r="BC56" s="44"/>
      <c r="BD56" s="44"/>
      <c r="BE56" s="44"/>
      <c r="BF56" s="44"/>
      <c r="BG56" s="44"/>
      <c r="BH56" s="44"/>
      <c r="BI56" s="44"/>
      <c r="BJ56" s="44"/>
      <c r="BK56" s="44"/>
      <c r="BL56" s="44"/>
      <c r="BM56" s="44"/>
      <c r="BN56" s="44"/>
      <c r="BO56" s="44"/>
      <c r="BP56" s="44"/>
      <c r="BQ56" s="44"/>
    </row>
    <row r="57" spans="1:73">
      <c r="A57" s="44"/>
      <c r="B57" s="44"/>
      <c r="C57" s="44"/>
      <c r="D57" s="44"/>
      <c r="E57" s="44"/>
      <c r="F57" s="44"/>
      <c r="G57" s="44"/>
      <c r="H57" s="44"/>
      <c r="I57" s="44"/>
      <c r="J57" s="44"/>
      <c r="K57" s="44"/>
      <c r="L57" s="44"/>
      <c r="M57" s="44"/>
      <c r="N57" s="44"/>
      <c r="O57" s="51"/>
      <c r="P57" s="51"/>
      <c r="Q57" s="51"/>
      <c r="R57" s="51"/>
      <c r="S57" s="51"/>
      <c r="T57" s="51"/>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201"/>
      <c r="AU57" s="44"/>
      <c r="AV57" s="44"/>
      <c r="AW57" s="44"/>
      <c r="AX57" s="44"/>
      <c r="AY57" s="44"/>
      <c r="AZ57" s="44"/>
      <c r="BA57" s="44"/>
      <c r="BB57" s="44"/>
      <c r="BC57" s="44"/>
      <c r="BD57" s="44"/>
      <c r="BE57" s="44"/>
      <c r="BF57" s="44"/>
      <c r="BG57" s="44"/>
      <c r="BH57" s="44"/>
      <c r="BI57" s="44"/>
      <c r="BJ57" s="44"/>
      <c r="BK57" s="44"/>
      <c r="BL57" s="44"/>
      <c r="BM57" s="44"/>
      <c r="BN57" s="44"/>
      <c r="BO57" s="44"/>
      <c r="BP57" s="44"/>
      <c r="BQ57" s="44"/>
    </row>
    <row r="58" spans="1:73">
      <c r="A58" s="44"/>
      <c r="B58" s="44"/>
      <c r="C58" s="44"/>
      <c r="D58" s="44"/>
      <c r="E58" s="44"/>
      <c r="F58" s="44"/>
      <c r="G58" s="44"/>
      <c r="H58" s="44"/>
      <c r="I58" s="44"/>
      <c r="J58" s="44"/>
      <c r="K58" s="44"/>
      <c r="L58" s="44"/>
      <c r="M58" s="44"/>
      <c r="N58" s="44"/>
      <c r="O58" s="50"/>
      <c r="P58" s="50"/>
      <c r="Q58" s="50"/>
      <c r="R58" s="50"/>
      <c r="S58" s="50"/>
      <c r="T58" s="50"/>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201"/>
      <c r="AU58" s="44"/>
      <c r="AV58" s="44"/>
      <c r="AW58" s="44"/>
      <c r="AX58" s="44"/>
      <c r="AY58" s="44"/>
      <c r="AZ58" s="44"/>
      <c r="BA58" s="44"/>
      <c r="BB58" s="44"/>
      <c r="BC58" s="44"/>
      <c r="BD58" s="44"/>
      <c r="BE58" s="44"/>
      <c r="BF58" s="44"/>
      <c r="BG58" s="44"/>
      <c r="BH58" s="44"/>
      <c r="BI58" s="44"/>
      <c r="BJ58" s="44"/>
      <c r="BK58" s="44"/>
      <c r="BL58" s="44"/>
      <c r="BM58" s="44"/>
      <c r="BN58" s="44"/>
      <c r="BO58" s="44"/>
      <c r="BP58" s="44"/>
      <c r="BQ58" s="44"/>
    </row>
    <row r="59" spans="1:73">
      <c r="A59" s="44"/>
      <c r="B59" s="44"/>
      <c r="C59" s="44"/>
      <c r="D59" s="44"/>
      <c r="E59" s="44"/>
      <c r="F59" s="44"/>
      <c r="G59" s="44"/>
      <c r="H59" s="44"/>
      <c r="I59" s="44"/>
      <c r="J59" s="44"/>
      <c r="K59" s="44"/>
      <c r="L59" s="44"/>
      <c r="M59" s="44"/>
      <c r="N59" s="44"/>
      <c r="O59" s="50"/>
      <c r="P59" s="50"/>
      <c r="Q59" s="50"/>
      <c r="R59" s="50"/>
      <c r="S59" s="50"/>
      <c r="T59" s="50"/>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201"/>
      <c r="AU59" s="44"/>
      <c r="AV59" s="44"/>
      <c r="AW59" s="44"/>
      <c r="AX59" s="44"/>
      <c r="AY59" s="44"/>
      <c r="AZ59" s="44"/>
      <c r="BA59" s="44"/>
      <c r="BB59" s="44"/>
      <c r="BC59" s="44"/>
      <c r="BD59" s="44"/>
      <c r="BE59" s="44"/>
      <c r="BF59" s="44"/>
      <c r="BG59" s="44"/>
      <c r="BH59" s="44"/>
      <c r="BI59" s="44"/>
      <c r="BJ59" s="44"/>
      <c r="BK59" s="44"/>
      <c r="BL59" s="44"/>
      <c r="BM59" s="44"/>
      <c r="BN59" s="44"/>
      <c r="BO59" s="44"/>
      <c r="BP59" s="44"/>
      <c r="BQ59" s="44"/>
    </row>
    <row r="60" spans="1:73">
      <c r="A60" s="44"/>
      <c r="B60" s="44"/>
      <c r="C60" s="44"/>
      <c r="D60" s="44"/>
      <c r="E60" s="44"/>
      <c r="F60" s="44"/>
      <c r="G60" s="44"/>
      <c r="H60" s="44"/>
      <c r="I60" s="44"/>
      <c r="J60" s="44"/>
      <c r="K60" s="44"/>
      <c r="L60" s="44"/>
      <c r="M60" s="44"/>
      <c r="N60" s="44"/>
      <c r="O60" s="51"/>
      <c r="P60" s="51"/>
      <c r="Q60" s="51"/>
      <c r="R60" s="51"/>
      <c r="S60" s="51"/>
      <c r="T60" s="51"/>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201"/>
      <c r="AU60" s="44"/>
      <c r="AV60" s="44"/>
      <c r="AW60" s="44"/>
      <c r="AX60" s="44"/>
      <c r="AY60" s="44"/>
      <c r="AZ60" s="44"/>
      <c r="BA60" s="44"/>
      <c r="BB60" s="44"/>
      <c r="BC60" s="44"/>
      <c r="BD60" s="44"/>
      <c r="BE60" s="44"/>
      <c r="BF60" s="44"/>
      <c r="BG60" s="44"/>
      <c r="BH60" s="44"/>
      <c r="BI60" s="44"/>
      <c r="BJ60" s="44"/>
      <c r="BK60" s="44"/>
      <c r="BL60" s="44"/>
      <c r="BM60" s="44"/>
      <c r="BN60" s="44"/>
      <c r="BO60" s="44"/>
      <c r="BP60" s="44"/>
      <c r="BQ60" s="44"/>
    </row>
    <row r="61" spans="1:73">
      <c r="A61" s="44"/>
      <c r="B61" s="44"/>
      <c r="C61" s="44"/>
      <c r="D61" s="44"/>
      <c r="E61" s="44"/>
      <c r="F61" s="44"/>
      <c r="G61" s="44"/>
      <c r="H61" s="44"/>
      <c r="I61" s="44"/>
      <c r="J61" s="44"/>
      <c r="K61" s="44"/>
      <c r="L61" s="44"/>
      <c r="M61" s="44"/>
      <c r="N61" s="44"/>
      <c r="O61" s="50"/>
      <c r="P61" s="50"/>
      <c r="Q61" s="50"/>
      <c r="R61" s="50"/>
      <c r="S61" s="50"/>
      <c r="T61" s="50"/>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201"/>
      <c r="AU61" s="44"/>
      <c r="AV61" s="44"/>
      <c r="AW61" s="44"/>
      <c r="AX61" s="44"/>
      <c r="AY61" s="44"/>
      <c r="AZ61" s="44"/>
      <c r="BA61" s="44"/>
      <c r="BB61" s="44"/>
      <c r="BC61" s="44"/>
      <c r="BD61" s="44"/>
      <c r="BE61" s="44"/>
      <c r="BF61" s="44"/>
      <c r="BG61" s="44"/>
      <c r="BH61" s="44"/>
      <c r="BI61" s="44"/>
      <c r="BJ61" s="44"/>
      <c r="BK61" s="44"/>
      <c r="BL61" s="44"/>
      <c r="BM61" s="44"/>
      <c r="BN61" s="44"/>
      <c r="BO61" s="44"/>
      <c r="BP61" s="44"/>
      <c r="BQ61" s="44"/>
    </row>
    <row r="62" spans="1:73">
      <c r="A62" s="44"/>
      <c r="B62" s="44"/>
      <c r="C62" s="44"/>
      <c r="D62" s="44"/>
      <c r="E62" s="44"/>
      <c r="F62" s="44"/>
      <c r="G62" s="44"/>
      <c r="H62" s="44"/>
      <c r="I62" s="44"/>
      <c r="J62" s="44"/>
      <c r="K62" s="44"/>
      <c r="L62" s="44"/>
      <c r="M62" s="44"/>
      <c r="N62" s="44"/>
      <c r="O62" s="50"/>
      <c r="P62" s="50"/>
      <c r="Q62" s="50"/>
      <c r="R62" s="50"/>
      <c r="S62" s="50"/>
      <c r="T62" s="50"/>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row>
    <row r="63" spans="1:73">
      <c r="A63" s="44"/>
      <c r="B63" s="44"/>
      <c r="C63" s="44"/>
      <c r="D63" s="44"/>
      <c r="E63" s="44"/>
      <c r="F63" s="44"/>
      <c r="G63" s="44"/>
      <c r="H63" s="44"/>
      <c r="I63" s="44"/>
      <c r="J63" s="44"/>
      <c r="K63" s="44"/>
      <c r="L63" s="44"/>
      <c r="M63" s="44"/>
      <c r="N63" s="44"/>
      <c r="O63" s="50"/>
      <c r="P63" s="50"/>
      <c r="Q63" s="50"/>
      <c r="R63" s="50"/>
      <c r="S63" s="50"/>
      <c r="T63" s="50"/>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row>
    <row r="64" spans="1:73">
      <c r="A64" s="44"/>
      <c r="B64" s="44"/>
      <c r="C64" s="44"/>
      <c r="D64" s="44"/>
      <c r="E64" s="44"/>
      <c r="F64" s="44"/>
      <c r="G64" s="44"/>
      <c r="H64" s="44"/>
      <c r="I64" s="44"/>
      <c r="J64" s="44"/>
      <c r="K64" s="44"/>
      <c r="L64" s="44"/>
      <c r="M64" s="44"/>
      <c r="N64" s="44"/>
      <c r="O64" s="50"/>
      <c r="P64" s="50"/>
      <c r="Q64" s="50"/>
      <c r="R64" s="50"/>
      <c r="S64" s="50"/>
      <c r="T64" s="50"/>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row>
    <row r="65" spans="1:69">
      <c r="A65" s="44"/>
      <c r="B65" s="44"/>
      <c r="C65" s="44"/>
      <c r="D65" s="44"/>
      <c r="E65" s="44"/>
      <c r="F65" s="44"/>
      <c r="G65" s="44"/>
      <c r="H65" s="44"/>
      <c r="I65" s="44"/>
      <c r="J65" s="44"/>
      <c r="K65" s="44"/>
      <c r="L65" s="44"/>
      <c r="M65" s="44"/>
      <c r="N65" s="44"/>
      <c r="O65" s="51"/>
      <c r="P65" s="51"/>
      <c r="Q65" s="51"/>
      <c r="R65" s="51"/>
      <c r="S65" s="51"/>
      <c r="T65" s="51"/>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row>
    <row r="66" spans="1:69">
      <c r="A66" s="44"/>
      <c r="B66" s="44"/>
      <c r="C66" s="44"/>
      <c r="D66" s="44"/>
      <c r="E66" s="44"/>
      <c r="F66" s="44"/>
      <c r="G66" s="44"/>
      <c r="H66" s="44"/>
      <c r="I66" s="44"/>
      <c r="J66" s="44"/>
      <c r="K66" s="44"/>
      <c r="L66" s="44"/>
      <c r="M66" s="44"/>
      <c r="N66" s="44"/>
      <c r="O66" s="50"/>
      <c r="P66" s="50"/>
      <c r="Q66" s="50"/>
      <c r="R66" s="50"/>
      <c r="S66" s="50"/>
      <c r="T66" s="50"/>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row>
    <row r="67" spans="1:69">
      <c r="A67" s="44"/>
      <c r="B67" s="44"/>
      <c r="C67" s="44"/>
      <c r="D67" s="44"/>
      <c r="E67" s="44"/>
      <c r="F67" s="44"/>
      <c r="G67" s="44"/>
      <c r="H67" s="44"/>
      <c r="I67" s="44"/>
      <c r="J67" s="44"/>
      <c r="K67" s="44"/>
      <c r="L67" s="44"/>
      <c r="M67" s="44"/>
      <c r="N67" s="44"/>
      <c r="O67" s="50"/>
      <c r="P67" s="50"/>
      <c r="Q67" s="50"/>
      <c r="R67" s="50"/>
      <c r="S67" s="50"/>
      <c r="T67" s="50"/>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row>
    <row r="68" spans="1:69">
      <c r="A68" s="44"/>
      <c r="B68" s="44"/>
      <c r="C68" s="44"/>
      <c r="D68" s="44"/>
      <c r="E68" s="44"/>
      <c r="F68" s="44"/>
      <c r="G68" s="44"/>
      <c r="H68" s="44"/>
      <c r="I68" s="44"/>
      <c r="J68" s="44"/>
      <c r="K68" s="44"/>
      <c r="L68" s="44"/>
      <c r="M68" s="44"/>
      <c r="N68" s="44"/>
      <c r="O68" s="51"/>
      <c r="P68" s="51"/>
      <c r="Q68" s="51"/>
      <c r="R68" s="51"/>
      <c r="S68" s="51"/>
      <c r="T68" s="51"/>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row>
    <row r="69" spans="1:69">
      <c r="A69" s="44"/>
      <c r="B69" s="44"/>
      <c r="C69" s="44"/>
      <c r="D69" s="44"/>
      <c r="E69" s="44"/>
      <c r="F69" s="44"/>
      <c r="G69" s="44"/>
      <c r="H69" s="44"/>
      <c r="I69" s="44"/>
      <c r="J69" s="44"/>
      <c r="K69" s="44"/>
      <c r="L69" s="44"/>
      <c r="M69" s="44"/>
      <c r="N69" s="44"/>
      <c r="O69" s="50"/>
      <c r="P69" s="50"/>
      <c r="Q69" s="50"/>
      <c r="R69" s="50"/>
      <c r="S69" s="50"/>
      <c r="T69" s="50"/>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row>
    <row r="70" spans="1:69">
      <c r="A70" s="44"/>
      <c r="B70" s="44"/>
      <c r="C70" s="44"/>
      <c r="D70" s="44"/>
      <c r="E70" s="44"/>
      <c r="F70" s="44"/>
      <c r="G70" s="44"/>
      <c r="H70" s="44"/>
      <c r="I70" s="44"/>
      <c r="J70" s="44"/>
      <c r="K70" s="44"/>
      <c r="L70" s="44"/>
      <c r="M70" s="44"/>
      <c r="N70" s="44"/>
      <c r="O70" s="50"/>
      <c r="P70" s="50"/>
      <c r="Q70" s="50"/>
      <c r="R70" s="50"/>
      <c r="S70" s="50"/>
      <c r="T70" s="50"/>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row>
    <row r="71" spans="1:69">
      <c r="A71" s="44"/>
      <c r="B71" s="44"/>
      <c r="C71" s="44"/>
      <c r="D71" s="44"/>
      <c r="E71" s="44"/>
      <c r="F71" s="44"/>
      <c r="G71" s="44"/>
      <c r="H71" s="44"/>
      <c r="I71" s="44"/>
      <c r="J71" s="44"/>
      <c r="K71" s="44"/>
      <c r="L71" s="44"/>
      <c r="M71" s="44"/>
      <c r="N71" s="44"/>
      <c r="O71" s="51"/>
      <c r="P71" s="51"/>
      <c r="Q71" s="51"/>
      <c r="R71" s="51"/>
      <c r="S71" s="51"/>
      <c r="T71" s="51"/>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row>
    <row r="72" spans="1:69">
      <c r="A72" s="44"/>
      <c r="B72" s="44"/>
      <c r="C72" s="44"/>
      <c r="D72" s="44"/>
      <c r="E72" s="44"/>
      <c r="F72" s="44"/>
      <c r="G72" s="44"/>
      <c r="H72" s="44"/>
      <c r="I72" s="44"/>
      <c r="J72" s="44"/>
      <c r="K72" s="44"/>
      <c r="L72" s="44"/>
      <c r="M72" s="44"/>
      <c r="N72" s="44"/>
      <c r="O72" s="50"/>
      <c r="P72" s="50"/>
      <c r="Q72" s="50"/>
      <c r="R72" s="50"/>
      <c r="S72" s="50"/>
      <c r="T72" s="50"/>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row>
    <row r="73" spans="1:69">
      <c r="A73" s="44"/>
      <c r="B73" s="44"/>
      <c r="C73" s="44"/>
      <c r="D73" s="44"/>
      <c r="E73" s="44"/>
      <c r="F73" s="44"/>
      <c r="G73" s="44"/>
      <c r="H73" s="44"/>
      <c r="I73" s="44"/>
      <c r="J73" s="44"/>
      <c r="K73" s="44"/>
      <c r="L73" s="44"/>
      <c r="M73" s="44"/>
      <c r="N73" s="44"/>
      <c r="O73" s="50"/>
      <c r="P73" s="50"/>
      <c r="Q73" s="50"/>
      <c r="R73" s="50"/>
      <c r="S73" s="50"/>
      <c r="T73" s="50"/>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row>
    <row r="74" spans="1:69">
      <c r="A74" s="44"/>
      <c r="B74" s="44"/>
      <c r="C74" s="44"/>
      <c r="D74" s="44"/>
      <c r="E74" s="44"/>
      <c r="F74" s="44"/>
      <c r="G74" s="44"/>
      <c r="H74" s="44"/>
      <c r="I74" s="44"/>
      <c r="J74" s="44"/>
      <c r="K74" s="44"/>
      <c r="L74" s="44"/>
      <c r="M74" s="44"/>
      <c r="N74" s="44"/>
      <c r="O74" s="50"/>
      <c r="P74" s="50"/>
      <c r="Q74" s="50"/>
      <c r="R74" s="50"/>
      <c r="S74" s="50"/>
      <c r="T74" s="50"/>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row>
    <row r="75" spans="1:69">
      <c r="A75" s="44"/>
      <c r="B75" s="44"/>
      <c r="C75" s="44"/>
      <c r="D75" s="44"/>
      <c r="E75" s="44"/>
      <c r="F75" s="44"/>
      <c r="G75" s="44"/>
      <c r="H75" s="44"/>
      <c r="I75" s="44"/>
      <c r="J75" s="44"/>
      <c r="K75" s="44"/>
      <c r="L75" s="44"/>
      <c r="M75" s="44"/>
      <c r="N75" s="44"/>
      <c r="O75" s="51"/>
      <c r="P75" s="51"/>
      <c r="Q75" s="51"/>
      <c r="R75" s="51"/>
      <c r="S75" s="51"/>
      <c r="T75" s="51"/>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row>
    <row r="76" spans="1:69">
      <c r="A76" s="44"/>
      <c r="B76" s="44"/>
      <c r="C76" s="44"/>
      <c r="D76" s="44"/>
      <c r="E76" s="44"/>
      <c r="F76" s="44"/>
      <c r="G76" s="44"/>
      <c r="H76" s="44"/>
      <c r="I76" s="44"/>
      <c r="J76" s="44"/>
      <c r="K76" s="44"/>
      <c r="L76" s="44"/>
      <c r="M76" s="44"/>
      <c r="N76" s="44"/>
      <c r="O76" s="50"/>
      <c r="P76" s="50"/>
      <c r="Q76" s="50"/>
      <c r="R76" s="50"/>
      <c r="S76" s="50"/>
      <c r="T76" s="50"/>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row>
    <row r="79" spans="1:69">
      <c r="O79" s="3"/>
      <c r="P79" s="3"/>
      <c r="Q79" s="3"/>
      <c r="R79" s="3"/>
      <c r="S79" s="3"/>
      <c r="T79" s="3"/>
    </row>
    <row r="81" spans="15:20">
      <c r="O81" s="3"/>
      <c r="P81" s="3"/>
      <c r="Q81" s="3"/>
      <c r="R81" s="3"/>
      <c r="S81" s="3"/>
      <c r="T81" s="3"/>
    </row>
    <row r="85" spans="15:20">
      <c r="O85" s="3"/>
      <c r="P85" s="3"/>
      <c r="Q85" s="3"/>
      <c r="R85" s="3"/>
      <c r="S85" s="3"/>
      <c r="T85" s="3"/>
    </row>
    <row r="86" spans="15:20">
      <c r="O86" s="3"/>
      <c r="P86" s="3"/>
      <c r="Q86" s="3"/>
      <c r="R86" s="3"/>
      <c r="S86" s="3"/>
      <c r="T86" s="3"/>
    </row>
    <row r="101" spans="15:20">
      <c r="O101" s="3"/>
      <c r="P101" s="3"/>
      <c r="Q101" s="3"/>
      <c r="R101" s="3"/>
      <c r="S101" s="3"/>
      <c r="T101" s="3"/>
    </row>
    <row r="102" spans="15:20">
      <c r="O102" s="3"/>
      <c r="P102" s="3"/>
      <c r="Q102" s="3"/>
      <c r="R102" s="3"/>
      <c r="S102" s="3"/>
      <c r="T102" s="3"/>
    </row>
    <row r="104" spans="15:20">
      <c r="O104" s="3"/>
      <c r="P104" s="3"/>
      <c r="Q104" s="3"/>
      <c r="R104" s="3"/>
      <c r="S104" s="3"/>
      <c r="T104" s="3"/>
    </row>
    <row r="106" spans="15:20">
      <c r="O106" s="3"/>
      <c r="P106" s="3"/>
      <c r="Q106" s="3"/>
      <c r="R106" s="3"/>
      <c r="S106" s="3"/>
      <c r="T106" s="3"/>
    </row>
    <row r="109" spans="15:20">
      <c r="O109" s="3"/>
      <c r="P109" s="3"/>
      <c r="Q109" s="3"/>
      <c r="R109" s="3"/>
      <c r="S109" s="3"/>
      <c r="T109" s="3"/>
    </row>
    <row r="110" spans="15:20">
      <c r="O110" s="3"/>
      <c r="P110" s="3"/>
      <c r="Q110" s="3"/>
      <c r="R110" s="3"/>
      <c r="S110" s="3"/>
      <c r="T110" s="3"/>
    </row>
    <row r="111" spans="15:20">
      <c r="O111" s="3"/>
      <c r="P111" s="3"/>
      <c r="Q111" s="3"/>
      <c r="R111" s="3"/>
      <c r="S111" s="3"/>
      <c r="T111" s="3"/>
    </row>
    <row r="112" spans="15:20">
      <c r="O112" s="3"/>
      <c r="P112" s="3"/>
      <c r="Q112" s="3"/>
      <c r="R112" s="3"/>
      <c r="S112" s="3"/>
      <c r="T112" s="3"/>
    </row>
    <row r="126" spans="15:20">
      <c r="O126" s="3"/>
      <c r="P126" s="3"/>
      <c r="Q126" s="3"/>
      <c r="R126" s="3"/>
      <c r="S126" s="3"/>
      <c r="T126" s="3"/>
    </row>
    <row r="146" spans="15:20">
      <c r="O146" s="3"/>
      <c r="P146" s="3"/>
      <c r="Q146" s="3"/>
      <c r="R146" s="3"/>
      <c r="S146" s="3"/>
      <c r="T146" s="3"/>
    </row>
    <row r="148" spans="15:20">
      <c r="O148" s="3"/>
      <c r="P148" s="3"/>
      <c r="Q148" s="3"/>
      <c r="R148" s="3"/>
      <c r="S148" s="3"/>
      <c r="T148" s="3"/>
    </row>
    <row r="149" spans="15:20">
      <c r="O149" s="3"/>
      <c r="P149" s="3"/>
      <c r="Q149" s="3"/>
      <c r="R149" s="3"/>
      <c r="S149" s="3"/>
      <c r="T149" s="3"/>
    </row>
    <row r="156" spans="15:20">
      <c r="O156" s="3"/>
      <c r="P156" s="3"/>
      <c r="Q156" s="3"/>
      <c r="R156" s="3"/>
      <c r="S156" s="3"/>
      <c r="T156" s="3"/>
    </row>
    <row r="170" spans="15:20">
      <c r="O170" s="3"/>
      <c r="P170" s="3"/>
      <c r="Q170" s="3"/>
      <c r="R170" s="3"/>
      <c r="S170" s="3"/>
      <c r="T170" s="3"/>
    </row>
    <row r="172" spans="15:20">
      <c r="O172" s="3"/>
      <c r="P172" s="3"/>
      <c r="Q172" s="3"/>
      <c r="R172" s="3"/>
      <c r="S172" s="3"/>
      <c r="T172" s="3"/>
    </row>
  </sheetData>
  <mergeCells count="6">
    <mergeCell ref="BM1:BQ1"/>
    <mergeCell ref="A1:A2"/>
    <mergeCell ref="B1:AI1"/>
    <mergeCell ref="AJ1:BA1"/>
    <mergeCell ref="BB1:BI1"/>
    <mergeCell ref="BJ1:BK1"/>
  </mergeCells>
  <dataValidations disablePrompts="1" count="16">
    <dataValidation type="list" allowBlank="1" showInputMessage="1" showErrorMessage="1" sqref="BV2:BV76" xr:uid="{69C47D06-4360-4529-BE20-E29A9AE78733}">
      <formula1>"Front end, Back end, Both"</formula1>
    </dataValidation>
    <dataValidation type="list" allowBlank="1" showInputMessage="1" showErrorMessage="1" sqref="I3:I39" xr:uid="{06218DFC-9F6E-479C-B824-5EADC4C07032}">
      <formula1>"Extremely complex, Complex, Average, Simple"</formula1>
    </dataValidation>
    <dataValidation type="list" allowBlank="1" showInputMessage="1" showErrorMessage="1" sqref="BJ3:BJ37" xr:uid="{536E297F-FEA6-4B1C-A8D4-8B81C9DDAF81}">
      <formula1>"Business, Corporate, Compliance, Common, Others"</formula1>
    </dataValidation>
    <dataValidation type="list" allowBlank="1" showInputMessage="1" showErrorMessage="1" sqref="P21 Q40:Q41 Q3:Q37" xr:uid="{8F396AAF-7D81-4B16-86CF-4FBB1487DBE7}">
      <formula1>"Grow, Harvest, Closed Block, Sunset, blank"</formula1>
    </dataValidation>
    <dataValidation type="list" allowBlank="1" showInputMessage="1" showErrorMessage="1" sqref="O3:O42 O49:O50" xr:uid="{667FD9DF-6197-4897-936F-CAF13CDFB3E3}">
      <formula1>"5 x 8, 5 x 16, 7 x 16, 7 x 24"</formula1>
    </dataValidation>
    <dataValidation type="list" allowBlank="1" showInputMessage="1" showErrorMessage="1" sqref="U3:U37" xr:uid="{5D547C23-1B59-4619-B214-7474E279BB73}">
      <formula1>"Windows, Mainframes, Legacy Non-Mainframe, Product"</formula1>
    </dataValidation>
    <dataValidation type="list" allowBlank="1" showInputMessage="1" showErrorMessage="1" sqref="N3:N20 N22:N37" xr:uid="{DB33E25E-4368-409C-AEF3-694CEC93C59E}">
      <formula1>"Very Unstable, Less stable, Stable,Very stable"</formula1>
    </dataValidation>
    <dataValidation type="list" allowBlank="1" showInputMessage="1" showErrorMessage="1" sqref="AH3:AH37" xr:uid="{458DAA3B-F6AF-4C5D-8C2A-32615F9FEAB4}">
      <formula1>"No Documentation , Fair documentation, Good documentation, Well Documentation"</formula1>
    </dataValidation>
    <dataValidation type="list" allowBlank="1" showInputMessage="1" showErrorMessage="1" sqref="Y3:Y37" xr:uid="{B4BB156E-3C01-4EEE-B885-34A1AB466BD7}">
      <formula1>"BATCH,ONLINE, BOTH, Services"</formula1>
    </dataValidation>
    <dataValidation type="list" allowBlank="1" showInputMessage="1" showErrorMessage="1" sqref="M3:M42 M50 M44" xr:uid="{1705927B-B171-4E6B-A388-9986EE03ABAE}">
      <formula1>"Most critical, Critical, Less critical, Not critical"</formula1>
    </dataValidation>
    <dataValidation type="list" allowBlank="1" showInputMessage="1" showErrorMessage="1" sqref="S3:S37 H3:H38" xr:uid="{AB20B991-63E9-4EF6-BA1E-9D9B410F8ED6}">
      <formula1>"Very large, Large, Medium, Small"</formula1>
    </dataValidation>
    <dataValidation type="list" allowBlank="1" showInputMessage="1" showErrorMessage="1" sqref="AF3:AG37" xr:uid="{EE723BD0-E461-4820-B842-B2827B0B26E8}">
      <formula1>"NA, 1 - 3, 3 - 5, &gt; 5"</formula1>
    </dataValidation>
    <dataValidation type="list" allowBlank="1" showInputMessage="1" showErrorMessage="1" sqref="P3:P20 P22:P37" xr:uid="{7D1DB77A-086C-4DA4-8045-5194CE74DB68}">
      <formula1>"Platinum, Gold, Silver, Bronze"</formula1>
    </dataValidation>
    <dataValidation type="list" errorStyle="information" allowBlank="1" showInputMessage="1" showErrorMessage="1" sqref="J21 J31:K31 K3:K30 K32:K42" xr:uid="{9986AA6B-1788-4CAB-9DDC-0F7A8454500C}">
      <formula1>"Protected B data,No Pro-B but PI,No data sensitivity"</formula1>
    </dataValidation>
    <dataValidation type="list" errorStyle="information" allowBlank="1" showInputMessage="1" showErrorMessage="1" sqref="L3:L24 L26:L28 L30:L37 L40:L41" xr:uid="{C5471FBE-7DA9-447E-A116-E8F385341372}">
      <formula1>"Masked data in DEV,No Masked data exist"</formula1>
    </dataValidation>
    <dataValidation type="list" allowBlank="1" showInputMessage="1" showErrorMessage="1" sqref="R3:R37 T3:T42" xr:uid="{336B643B-9CC2-4337-A4F3-CFEE02615331}">
      <formula1>"Yes, No"</formula1>
    </dataValidation>
  </dataValidations>
  <pageMargins left="0.7" right="0.7" top="0.75" bottom="0.75" header="0.3" footer="0.3"/>
  <pageSetup orientation="portrait"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Q1429"/>
  <sheetViews>
    <sheetView workbookViewId="0">
      <selection activeCell="A13" sqref="A13"/>
    </sheetView>
  </sheetViews>
  <sheetFormatPr defaultColWidth="9" defaultRowHeight="12.6"/>
  <cols>
    <col min="1" max="1" width="9" style="19"/>
    <col min="2" max="2" width="11.125" style="19" bestFit="1" customWidth="1"/>
    <col min="3" max="3" width="38" style="19" customWidth="1"/>
    <col min="4" max="4" width="12.875" style="19" bestFit="1" customWidth="1"/>
    <col min="5" max="5" width="34.125" style="19" bestFit="1" customWidth="1"/>
    <col min="6" max="6" width="10.375" style="19" bestFit="1" customWidth="1"/>
    <col min="7" max="7" width="16.125" style="19" bestFit="1" customWidth="1"/>
    <col min="8" max="8" width="11" style="19" bestFit="1" customWidth="1"/>
    <col min="9" max="9" width="14" style="19" bestFit="1" customWidth="1"/>
    <col min="10" max="10" width="10.375" style="19" bestFit="1" customWidth="1"/>
    <col min="11" max="11" width="7.625" style="19" bestFit="1" customWidth="1"/>
    <col min="12" max="12" width="8.625" style="19" bestFit="1" customWidth="1"/>
    <col min="13" max="13" width="7.875" style="19" bestFit="1" customWidth="1"/>
    <col min="14" max="14" width="8.125" style="19" bestFit="1" customWidth="1"/>
    <col min="15" max="15" width="16.625" style="19" bestFit="1" customWidth="1"/>
    <col min="16" max="16" width="18" style="19" bestFit="1" customWidth="1"/>
    <col min="17" max="17" width="17.375" style="19" bestFit="1" customWidth="1"/>
    <col min="18" max="16384" width="9" style="19"/>
  </cols>
  <sheetData>
    <row r="1" spans="2:17" ht="12.95">
      <c r="C1" s="20" t="s">
        <v>338</v>
      </c>
    </row>
    <row r="2" spans="2:17" ht="12.95">
      <c r="B2" s="20"/>
      <c r="C2" s="21" t="s">
        <v>339</v>
      </c>
    </row>
    <row r="3" spans="2:17">
      <c r="C3" s="21" t="s">
        <v>340</v>
      </c>
    </row>
    <row r="4" spans="2:17">
      <c r="C4" s="21" t="s">
        <v>341</v>
      </c>
    </row>
    <row r="6" spans="2:17" ht="12.95">
      <c r="B6" s="16" t="s">
        <v>342</v>
      </c>
      <c r="C6" s="16" t="s">
        <v>343</v>
      </c>
      <c r="D6" s="16" t="s">
        <v>344</v>
      </c>
      <c r="E6" s="16" t="s">
        <v>345</v>
      </c>
      <c r="F6" s="16" t="s">
        <v>346</v>
      </c>
      <c r="G6" s="16" t="s">
        <v>347</v>
      </c>
      <c r="H6" s="16" t="s">
        <v>348</v>
      </c>
      <c r="I6" s="16" t="s">
        <v>349</v>
      </c>
      <c r="J6" s="16" t="s">
        <v>350</v>
      </c>
      <c r="K6" s="16" t="s">
        <v>351</v>
      </c>
      <c r="L6" s="16" t="s">
        <v>352</v>
      </c>
      <c r="M6" s="16" t="s">
        <v>353</v>
      </c>
      <c r="N6" s="16" t="s">
        <v>354</v>
      </c>
      <c r="O6" s="16" t="s">
        <v>355</v>
      </c>
      <c r="P6" s="16" t="s">
        <v>356</v>
      </c>
      <c r="Q6" s="16" t="s">
        <v>357</v>
      </c>
    </row>
    <row r="7" spans="2:17">
      <c r="B7" s="21"/>
      <c r="C7" s="21"/>
      <c r="D7" s="21"/>
      <c r="E7" s="21"/>
      <c r="F7" s="21"/>
      <c r="G7" s="21"/>
      <c r="H7" s="21"/>
      <c r="I7" s="21"/>
      <c r="J7" s="21"/>
      <c r="K7" s="21"/>
      <c r="L7" s="21"/>
      <c r="M7" s="21"/>
      <c r="N7" s="21"/>
      <c r="O7" s="21"/>
      <c r="P7" s="21"/>
      <c r="Q7" s="21"/>
    </row>
    <row r="8" spans="2:17">
      <c r="B8" s="21"/>
      <c r="C8" s="21"/>
      <c r="D8" s="21"/>
      <c r="E8" s="21"/>
      <c r="F8" s="21"/>
      <c r="G8" s="21"/>
      <c r="H8" s="21"/>
      <c r="I8" s="21"/>
      <c r="J8" s="21"/>
      <c r="K8" s="21"/>
      <c r="L8" s="21"/>
      <c r="M8" s="21"/>
      <c r="N8" s="21"/>
      <c r="O8" s="21"/>
      <c r="P8" s="21"/>
      <c r="Q8" s="21"/>
    </row>
    <row r="9" spans="2:17">
      <c r="B9" s="21"/>
      <c r="C9" s="21"/>
      <c r="D9" s="21"/>
      <c r="E9" s="21"/>
      <c r="F9" s="21"/>
      <c r="G9" s="21"/>
      <c r="H9" s="21"/>
      <c r="I9" s="21"/>
      <c r="J9" s="21"/>
      <c r="K9" s="21"/>
      <c r="L9" s="21"/>
      <c r="M9" s="21"/>
      <c r="N9" s="21"/>
      <c r="O9" s="21"/>
      <c r="P9" s="21"/>
      <c r="Q9" s="21"/>
    </row>
    <row r="10" spans="2:17">
      <c r="B10" s="21"/>
      <c r="C10" s="21"/>
      <c r="D10" s="21"/>
      <c r="E10" s="21"/>
      <c r="F10" s="21"/>
      <c r="G10" s="21"/>
      <c r="H10" s="21"/>
      <c r="I10" s="21"/>
      <c r="J10" s="21"/>
      <c r="K10" s="21"/>
      <c r="L10" s="21"/>
      <c r="M10" s="21"/>
      <c r="N10" s="21"/>
      <c r="O10" s="21"/>
      <c r="P10" s="21"/>
      <c r="Q10" s="21"/>
    </row>
    <row r="11" spans="2:17">
      <c r="B11" s="21"/>
      <c r="C11" s="21"/>
      <c r="D11" s="21"/>
      <c r="E11" s="21"/>
      <c r="F11" s="21"/>
      <c r="G11" s="21"/>
      <c r="H11" s="21"/>
      <c r="I11" s="21"/>
      <c r="J11" s="21"/>
      <c r="K11" s="21"/>
      <c r="L11" s="21"/>
      <c r="M11" s="21"/>
      <c r="N11" s="21"/>
      <c r="O11" s="21"/>
      <c r="P11" s="21"/>
      <c r="Q11" s="21"/>
    </row>
    <row r="12" spans="2:17">
      <c r="B12" s="21"/>
      <c r="C12" s="21"/>
      <c r="D12" s="21"/>
      <c r="E12" s="21"/>
      <c r="F12" s="21"/>
      <c r="G12" s="21"/>
      <c r="H12" s="21"/>
      <c r="I12" s="21"/>
      <c r="J12" s="21"/>
      <c r="K12" s="21"/>
      <c r="L12" s="21"/>
      <c r="M12" s="21"/>
      <c r="N12" s="21"/>
      <c r="O12" s="21"/>
      <c r="P12" s="21"/>
      <c r="Q12" s="21"/>
    </row>
    <row r="13" spans="2:17">
      <c r="B13" s="21"/>
      <c r="C13" s="21"/>
      <c r="D13" s="21"/>
      <c r="E13" s="21"/>
      <c r="F13" s="21"/>
      <c r="G13" s="21"/>
      <c r="H13" s="21"/>
      <c r="I13" s="21"/>
      <c r="J13" s="21"/>
      <c r="K13" s="21"/>
      <c r="L13" s="21"/>
      <c r="M13" s="21"/>
      <c r="N13" s="21"/>
      <c r="O13" s="21"/>
      <c r="P13" s="21"/>
      <c r="Q13" s="21"/>
    </row>
    <row r="14" spans="2:17">
      <c r="B14" s="21"/>
      <c r="C14" s="21"/>
      <c r="D14" s="21"/>
      <c r="E14" s="21"/>
      <c r="F14" s="21"/>
      <c r="G14" s="21"/>
      <c r="H14" s="21"/>
      <c r="I14" s="21"/>
      <c r="J14" s="21"/>
      <c r="K14" s="21"/>
      <c r="L14" s="21"/>
      <c r="M14" s="21"/>
      <c r="N14" s="21"/>
      <c r="O14" s="21"/>
      <c r="P14" s="21"/>
      <c r="Q14" s="21"/>
    </row>
    <row r="15" spans="2:17">
      <c r="B15" s="21"/>
      <c r="C15" s="21"/>
      <c r="D15" s="21"/>
      <c r="E15" s="21"/>
      <c r="F15" s="21"/>
      <c r="G15" s="21"/>
      <c r="H15" s="21"/>
      <c r="I15" s="21"/>
      <c r="J15" s="21"/>
      <c r="K15" s="21"/>
      <c r="L15" s="21"/>
      <c r="M15" s="21"/>
      <c r="N15" s="21"/>
      <c r="O15" s="21"/>
      <c r="P15" s="21"/>
      <c r="Q15" s="21"/>
    </row>
    <row r="16" spans="2:17">
      <c r="B16" s="21"/>
      <c r="C16" s="21"/>
      <c r="D16" s="21"/>
      <c r="E16" s="21"/>
      <c r="F16" s="21"/>
      <c r="G16" s="21"/>
      <c r="H16" s="21"/>
      <c r="I16" s="21"/>
      <c r="J16" s="21"/>
      <c r="K16" s="21"/>
      <c r="L16" s="21"/>
      <c r="M16" s="21"/>
      <c r="N16" s="21"/>
      <c r="O16" s="21"/>
      <c r="P16" s="21"/>
      <c r="Q16" s="21"/>
    </row>
    <row r="17" spans="2:17">
      <c r="B17" s="21"/>
      <c r="C17" s="21"/>
      <c r="D17" s="21"/>
      <c r="E17" s="21"/>
      <c r="F17" s="21"/>
      <c r="G17" s="21"/>
      <c r="H17" s="21"/>
      <c r="I17" s="21"/>
      <c r="J17" s="21"/>
      <c r="K17" s="21"/>
      <c r="L17" s="21"/>
      <c r="M17" s="21"/>
      <c r="N17" s="21"/>
      <c r="O17" s="21"/>
      <c r="P17" s="21"/>
      <c r="Q17" s="21"/>
    </row>
    <row r="18" spans="2:17">
      <c r="B18" s="21"/>
      <c r="C18" s="21"/>
      <c r="D18" s="21"/>
      <c r="E18" s="21"/>
      <c r="F18" s="21"/>
      <c r="G18" s="21"/>
      <c r="H18" s="21"/>
      <c r="I18" s="21"/>
      <c r="J18" s="21"/>
      <c r="K18" s="21"/>
      <c r="L18" s="21"/>
      <c r="M18" s="21"/>
      <c r="N18" s="21"/>
      <c r="O18" s="21"/>
      <c r="P18" s="21"/>
      <c r="Q18" s="21"/>
    </row>
    <row r="19" spans="2:17">
      <c r="B19" s="21"/>
      <c r="C19" s="21"/>
      <c r="D19" s="21"/>
      <c r="E19" s="21"/>
      <c r="F19" s="21"/>
      <c r="G19" s="21"/>
      <c r="H19" s="21"/>
      <c r="I19" s="21"/>
      <c r="J19" s="21"/>
      <c r="K19" s="21"/>
      <c r="L19" s="21"/>
      <c r="M19" s="21"/>
      <c r="N19" s="21"/>
      <c r="O19" s="21"/>
      <c r="P19" s="21"/>
      <c r="Q19" s="21"/>
    </row>
    <row r="20" spans="2:17">
      <c r="B20" s="21"/>
      <c r="C20" s="21"/>
      <c r="D20" s="21"/>
      <c r="E20" s="21"/>
      <c r="F20" s="21"/>
      <c r="G20" s="21"/>
      <c r="H20" s="21"/>
      <c r="I20" s="21"/>
      <c r="J20" s="21"/>
      <c r="K20" s="21"/>
      <c r="L20" s="21"/>
      <c r="M20" s="21"/>
      <c r="N20" s="21"/>
      <c r="O20" s="21"/>
      <c r="P20" s="21"/>
      <c r="Q20" s="21"/>
    </row>
    <row r="21" spans="2:17">
      <c r="B21" s="21"/>
      <c r="C21" s="21"/>
      <c r="D21" s="21"/>
      <c r="E21" s="21"/>
      <c r="F21" s="21"/>
      <c r="G21" s="21"/>
      <c r="H21" s="21"/>
      <c r="I21" s="21"/>
      <c r="J21" s="21"/>
      <c r="K21" s="21"/>
      <c r="L21" s="21"/>
      <c r="M21" s="21"/>
      <c r="N21" s="21"/>
      <c r="O21" s="21"/>
      <c r="P21" s="21"/>
      <c r="Q21" s="21"/>
    </row>
    <row r="22" spans="2:17">
      <c r="B22" s="21"/>
      <c r="C22" s="21"/>
      <c r="D22" s="21"/>
      <c r="E22" s="21"/>
      <c r="F22" s="21"/>
      <c r="G22" s="21"/>
      <c r="H22" s="21"/>
      <c r="I22" s="21"/>
      <c r="J22" s="21"/>
      <c r="K22" s="21"/>
      <c r="L22" s="21"/>
      <c r="M22" s="21"/>
      <c r="N22" s="21"/>
      <c r="O22" s="21"/>
      <c r="P22" s="21"/>
      <c r="Q22" s="21"/>
    </row>
    <row r="23" spans="2:17">
      <c r="B23" s="21"/>
      <c r="C23" s="21"/>
      <c r="D23" s="21"/>
      <c r="E23" s="21"/>
      <c r="F23" s="21"/>
      <c r="G23" s="21"/>
      <c r="H23" s="21"/>
      <c r="I23" s="21"/>
      <c r="J23" s="21"/>
      <c r="K23" s="21"/>
      <c r="L23" s="21"/>
      <c r="M23" s="21"/>
      <c r="N23" s="21"/>
      <c r="O23" s="21"/>
      <c r="P23" s="21"/>
      <c r="Q23" s="21"/>
    </row>
    <row r="24" spans="2:17">
      <c r="B24" s="21"/>
      <c r="C24" s="21"/>
      <c r="D24" s="21"/>
      <c r="E24" s="21"/>
      <c r="F24" s="21"/>
      <c r="G24" s="21"/>
      <c r="H24" s="21"/>
      <c r="I24" s="21"/>
      <c r="J24" s="21"/>
      <c r="K24" s="21"/>
      <c r="L24" s="21"/>
      <c r="M24" s="21"/>
      <c r="N24" s="21"/>
      <c r="O24" s="21"/>
      <c r="P24" s="21"/>
      <c r="Q24" s="21"/>
    </row>
    <row r="25" spans="2:17">
      <c r="B25" s="21"/>
      <c r="C25" s="21"/>
      <c r="D25" s="21"/>
      <c r="E25" s="21"/>
      <c r="F25" s="21"/>
      <c r="G25" s="21"/>
      <c r="H25" s="21"/>
      <c r="I25" s="21"/>
      <c r="J25" s="21"/>
      <c r="K25" s="21"/>
      <c r="L25" s="21"/>
      <c r="M25" s="21"/>
      <c r="N25" s="21"/>
      <c r="O25" s="21"/>
      <c r="P25" s="21"/>
      <c r="Q25" s="21"/>
    </row>
    <row r="26" spans="2:17">
      <c r="B26" s="21"/>
      <c r="C26" s="21"/>
      <c r="D26" s="21"/>
      <c r="E26" s="21"/>
      <c r="F26" s="21"/>
      <c r="G26" s="21"/>
      <c r="H26" s="21"/>
      <c r="I26" s="21"/>
      <c r="J26" s="21"/>
      <c r="K26" s="21"/>
      <c r="L26" s="21"/>
      <c r="M26" s="21"/>
      <c r="N26" s="21"/>
      <c r="O26" s="21"/>
      <c r="P26" s="21"/>
      <c r="Q26" s="21"/>
    </row>
    <row r="27" spans="2:17">
      <c r="B27" s="21"/>
      <c r="C27" s="21"/>
      <c r="D27" s="21"/>
      <c r="E27" s="21"/>
      <c r="F27" s="21"/>
      <c r="G27" s="21"/>
      <c r="H27" s="21"/>
      <c r="I27" s="21"/>
      <c r="J27" s="21"/>
      <c r="K27" s="21"/>
      <c r="L27" s="21"/>
      <c r="M27" s="21"/>
      <c r="N27" s="21"/>
      <c r="O27" s="21"/>
      <c r="P27" s="21"/>
      <c r="Q27" s="21"/>
    </row>
    <row r="28" spans="2:17">
      <c r="B28" s="21"/>
      <c r="C28" s="21"/>
      <c r="D28" s="21"/>
      <c r="E28" s="21"/>
      <c r="F28" s="21"/>
      <c r="G28" s="21"/>
      <c r="H28" s="21"/>
      <c r="I28" s="21"/>
      <c r="J28" s="21"/>
      <c r="K28" s="21"/>
      <c r="L28" s="21"/>
      <c r="M28" s="21"/>
      <c r="N28" s="21"/>
      <c r="O28" s="21"/>
      <c r="P28" s="21"/>
      <c r="Q28" s="21"/>
    </row>
    <row r="29" spans="2:17">
      <c r="B29" s="21"/>
      <c r="C29" s="21"/>
      <c r="D29" s="21"/>
      <c r="E29" s="21"/>
      <c r="F29" s="21"/>
      <c r="G29" s="21"/>
      <c r="H29" s="21"/>
      <c r="I29" s="21"/>
      <c r="J29" s="21"/>
      <c r="K29" s="21"/>
      <c r="L29" s="21"/>
      <c r="M29" s="21"/>
      <c r="N29" s="21"/>
      <c r="O29" s="21"/>
      <c r="P29" s="21"/>
      <c r="Q29" s="21"/>
    </row>
    <row r="30" spans="2:17" ht="13.5">
      <c r="B30"/>
    </row>
    <row r="31" spans="2:17" ht="13.5">
      <c r="B31"/>
    </row>
    <row r="32" spans="2:17" ht="13.5">
      <c r="B32"/>
    </row>
    <row r="33" spans="2:2" ht="13.5">
      <c r="B33"/>
    </row>
    <row r="34" spans="2:2" ht="13.5">
      <c r="B34"/>
    </row>
    <row r="35" spans="2:2" ht="13.5">
      <c r="B35"/>
    </row>
    <row r="36" spans="2:2" ht="13.5">
      <c r="B36"/>
    </row>
    <row r="37" spans="2:2" ht="13.5">
      <c r="B37"/>
    </row>
    <row r="38" spans="2:2" ht="13.5">
      <c r="B38"/>
    </row>
    <row r="39" spans="2:2" ht="13.5">
      <c r="B39"/>
    </row>
    <row r="40" spans="2:2" ht="13.5">
      <c r="B40"/>
    </row>
    <row r="41" spans="2:2" ht="13.5">
      <c r="B41"/>
    </row>
    <row r="42" spans="2:2" ht="13.5">
      <c r="B42"/>
    </row>
    <row r="43" spans="2:2" ht="13.5">
      <c r="B43"/>
    </row>
    <row r="44" spans="2:2" ht="13.5">
      <c r="B44"/>
    </row>
    <row r="45" spans="2:2" ht="13.5">
      <c r="B45"/>
    </row>
    <row r="46" spans="2:2" ht="13.5">
      <c r="B46"/>
    </row>
    <row r="47" spans="2:2" ht="13.5">
      <c r="B47"/>
    </row>
    <row r="48" spans="2:2" ht="13.5">
      <c r="B48"/>
    </row>
    <row r="49" spans="2:2" ht="13.5">
      <c r="B49"/>
    </row>
    <row r="50" spans="2:2" ht="13.5">
      <c r="B50"/>
    </row>
    <row r="51" spans="2:2" ht="13.5">
      <c r="B51"/>
    </row>
    <row r="52" spans="2:2" ht="13.5">
      <c r="B52"/>
    </row>
    <row r="53" spans="2:2" ht="13.5">
      <c r="B53"/>
    </row>
    <row r="54" spans="2:2" ht="13.5">
      <c r="B54"/>
    </row>
    <row r="55" spans="2:2" ht="13.5">
      <c r="B55"/>
    </row>
    <row r="56" spans="2:2" ht="13.5">
      <c r="B56"/>
    </row>
    <row r="57" spans="2:2" ht="13.5">
      <c r="B57"/>
    </row>
    <row r="58" spans="2:2" ht="13.5">
      <c r="B58"/>
    </row>
    <row r="59" spans="2:2" ht="13.5">
      <c r="B59"/>
    </row>
    <row r="60" spans="2:2" ht="13.5">
      <c r="B60"/>
    </row>
    <row r="61" spans="2:2" ht="13.5">
      <c r="B61"/>
    </row>
    <row r="62" spans="2:2" ht="13.5">
      <c r="B62"/>
    </row>
    <row r="63" spans="2:2" ht="13.5">
      <c r="B63"/>
    </row>
    <row r="64" spans="2:2" ht="13.5">
      <c r="B64"/>
    </row>
    <row r="65" spans="2:2" ht="13.5">
      <c r="B65"/>
    </row>
    <row r="66" spans="2:2" ht="13.5">
      <c r="B66"/>
    </row>
    <row r="67" spans="2:2" ht="13.5">
      <c r="B67"/>
    </row>
    <row r="68" spans="2:2" ht="13.5">
      <c r="B68"/>
    </row>
    <row r="69" spans="2:2" ht="13.5">
      <c r="B69"/>
    </row>
    <row r="70" spans="2:2" ht="13.5">
      <c r="B70"/>
    </row>
    <row r="71" spans="2:2" ht="13.5">
      <c r="B71"/>
    </row>
    <row r="72" spans="2:2" ht="13.5">
      <c r="B72"/>
    </row>
    <row r="73" spans="2:2" ht="13.5">
      <c r="B73"/>
    </row>
    <row r="74" spans="2:2" ht="13.5">
      <c r="B74"/>
    </row>
    <row r="75" spans="2:2" ht="13.5">
      <c r="B75"/>
    </row>
    <row r="76" spans="2:2" ht="13.5">
      <c r="B76"/>
    </row>
    <row r="77" spans="2:2" ht="13.5">
      <c r="B77"/>
    </row>
    <row r="78" spans="2:2" ht="13.5">
      <c r="B78"/>
    </row>
    <row r="79" spans="2:2" ht="13.5">
      <c r="B79"/>
    </row>
    <row r="80" spans="2:2" ht="13.5">
      <c r="B80"/>
    </row>
    <row r="81" spans="2:2" ht="13.5">
      <c r="B81"/>
    </row>
    <row r="82" spans="2:2" ht="13.5">
      <c r="B82"/>
    </row>
    <row r="83" spans="2:2" ht="13.5">
      <c r="B83"/>
    </row>
    <row r="84" spans="2:2" ht="13.5">
      <c r="B84"/>
    </row>
    <row r="85" spans="2:2" ht="13.5">
      <c r="B85"/>
    </row>
    <row r="86" spans="2:2" ht="13.5">
      <c r="B86"/>
    </row>
    <row r="87" spans="2:2" ht="13.5">
      <c r="B87"/>
    </row>
    <row r="88" spans="2:2" ht="13.5">
      <c r="B88"/>
    </row>
    <row r="89" spans="2:2" ht="13.5">
      <c r="B89"/>
    </row>
    <row r="90" spans="2:2" ht="13.5">
      <c r="B90"/>
    </row>
    <row r="91" spans="2:2" ht="13.5">
      <c r="B91"/>
    </row>
    <row r="92" spans="2:2" ht="13.5">
      <c r="B92"/>
    </row>
    <row r="93" spans="2:2" ht="13.5">
      <c r="B93"/>
    </row>
    <row r="94" spans="2:2" ht="13.5">
      <c r="B94"/>
    </row>
    <row r="95" spans="2:2" ht="13.5">
      <c r="B95"/>
    </row>
    <row r="96" spans="2:2" ht="13.5">
      <c r="B96"/>
    </row>
    <row r="97" spans="2:2" ht="13.5">
      <c r="B97"/>
    </row>
    <row r="98" spans="2:2" ht="13.5">
      <c r="B98"/>
    </row>
    <row r="99" spans="2:2" ht="13.5">
      <c r="B99"/>
    </row>
    <row r="100" spans="2:2" ht="13.5">
      <c r="B100"/>
    </row>
    <row r="101" spans="2:2" ht="13.5">
      <c r="B101"/>
    </row>
    <row r="102" spans="2:2" ht="13.5">
      <c r="B102"/>
    </row>
    <row r="103" spans="2:2" ht="13.5">
      <c r="B103"/>
    </row>
    <row r="104" spans="2:2" ht="13.5">
      <c r="B104"/>
    </row>
    <row r="105" spans="2:2" ht="13.5">
      <c r="B105"/>
    </row>
    <row r="106" spans="2:2" ht="13.5">
      <c r="B106"/>
    </row>
    <row r="107" spans="2:2" ht="13.5">
      <c r="B107"/>
    </row>
    <row r="108" spans="2:2" ht="13.5">
      <c r="B108"/>
    </row>
    <row r="109" spans="2:2" ht="13.5">
      <c r="B109"/>
    </row>
    <row r="110" spans="2:2" ht="13.5">
      <c r="B110"/>
    </row>
    <row r="111" spans="2:2" ht="13.5">
      <c r="B111"/>
    </row>
    <row r="112" spans="2:2" ht="13.5">
      <c r="B112"/>
    </row>
    <row r="113" spans="2:2" ht="13.5">
      <c r="B113"/>
    </row>
    <row r="114" spans="2:2" ht="13.5">
      <c r="B114"/>
    </row>
    <row r="115" spans="2:2" ht="13.5">
      <c r="B115"/>
    </row>
    <row r="116" spans="2:2" ht="13.5">
      <c r="B116"/>
    </row>
    <row r="117" spans="2:2" ht="13.5">
      <c r="B117"/>
    </row>
    <row r="118" spans="2:2" ht="13.5">
      <c r="B118"/>
    </row>
    <row r="119" spans="2:2" ht="13.5">
      <c r="B119"/>
    </row>
    <row r="120" spans="2:2" ht="13.5">
      <c r="B120"/>
    </row>
    <row r="121" spans="2:2" ht="13.5">
      <c r="B121"/>
    </row>
    <row r="122" spans="2:2" ht="13.5">
      <c r="B122"/>
    </row>
    <row r="123" spans="2:2" ht="13.5">
      <c r="B123"/>
    </row>
    <row r="124" spans="2:2" ht="13.5">
      <c r="B124"/>
    </row>
    <row r="125" spans="2:2" ht="13.5">
      <c r="B125"/>
    </row>
    <row r="126" spans="2:2" ht="13.5">
      <c r="B126"/>
    </row>
    <row r="127" spans="2:2" ht="13.5">
      <c r="B127"/>
    </row>
    <row r="128" spans="2:2" ht="13.5">
      <c r="B128"/>
    </row>
    <row r="129" spans="2:2" ht="13.5">
      <c r="B129"/>
    </row>
    <row r="130" spans="2:2" ht="13.5">
      <c r="B130"/>
    </row>
    <row r="131" spans="2:2" ht="13.5">
      <c r="B131"/>
    </row>
    <row r="132" spans="2:2" ht="13.5">
      <c r="B132"/>
    </row>
    <row r="133" spans="2:2" ht="13.5">
      <c r="B133"/>
    </row>
    <row r="134" spans="2:2" ht="13.5">
      <c r="B134"/>
    </row>
    <row r="135" spans="2:2" ht="13.5">
      <c r="B135"/>
    </row>
    <row r="136" spans="2:2" ht="13.5">
      <c r="B136"/>
    </row>
    <row r="137" spans="2:2" ht="13.5">
      <c r="B137"/>
    </row>
    <row r="138" spans="2:2" ht="13.5">
      <c r="B138"/>
    </row>
    <row r="139" spans="2:2" ht="13.5">
      <c r="B139"/>
    </row>
    <row r="140" spans="2:2" ht="13.5">
      <c r="B140"/>
    </row>
    <row r="141" spans="2:2" ht="13.5">
      <c r="B141"/>
    </row>
    <row r="142" spans="2:2" ht="13.5">
      <c r="B142"/>
    </row>
    <row r="143" spans="2:2" ht="13.5">
      <c r="B143"/>
    </row>
    <row r="144" spans="2:2" ht="13.5">
      <c r="B144"/>
    </row>
    <row r="145" spans="2:2" ht="13.5">
      <c r="B145"/>
    </row>
    <row r="146" spans="2:2" ht="13.5">
      <c r="B146"/>
    </row>
    <row r="147" spans="2:2" ht="13.5">
      <c r="B147"/>
    </row>
    <row r="148" spans="2:2" ht="13.5">
      <c r="B148"/>
    </row>
    <row r="149" spans="2:2" ht="13.5">
      <c r="B149"/>
    </row>
    <row r="150" spans="2:2" ht="13.5">
      <c r="B150"/>
    </row>
    <row r="151" spans="2:2" ht="13.5">
      <c r="B151"/>
    </row>
    <row r="152" spans="2:2" ht="13.5">
      <c r="B152"/>
    </row>
    <row r="153" spans="2:2" ht="13.5">
      <c r="B153"/>
    </row>
    <row r="154" spans="2:2" ht="13.5">
      <c r="B154"/>
    </row>
    <row r="155" spans="2:2" ht="13.5">
      <c r="B155"/>
    </row>
    <row r="156" spans="2:2" ht="13.5">
      <c r="B156"/>
    </row>
    <row r="157" spans="2:2" ht="13.5">
      <c r="B157"/>
    </row>
    <row r="158" spans="2:2" ht="13.5">
      <c r="B158"/>
    </row>
    <row r="159" spans="2:2" ht="13.5">
      <c r="B159"/>
    </row>
    <row r="160" spans="2:2" ht="13.5">
      <c r="B160"/>
    </row>
    <row r="161" spans="2:2" ht="13.5">
      <c r="B161"/>
    </row>
    <row r="162" spans="2:2" ht="13.5">
      <c r="B162"/>
    </row>
    <row r="163" spans="2:2" ht="13.5">
      <c r="B163"/>
    </row>
    <row r="164" spans="2:2" ht="13.5">
      <c r="B164"/>
    </row>
    <row r="165" spans="2:2" ht="13.5">
      <c r="B165"/>
    </row>
    <row r="166" spans="2:2" ht="13.5">
      <c r="B166"/>
    </row>
    <row r="167" spans="2:2" ht="13.5">
      <c r="B167"/>
    </row>
    <row r="168" spans="2:2" ht="13.5">
      <c r="B168"/>
    </row>
    <row r="169" spans="2:2" ht="13.5">
      <c r="B169"/>
    </row>
    <row r="170" spans="2:2" ht="13.5">
      <c r="B170"/>
    </row>
    <row r="171" spans="2:2" ht="13.5">
      <c r="B171"/>
    </row>
    <row r="172" spans="2:2" ht="13.5">
      <c r="B172"/>
    </row>
    <row r="173" spans="2:2" ht="13.5">
      <c r="B173"/>
    </row>
    <row r="174" spans="2:2" ht="13.5">
      <c r="B174"/>
    </row>
    <row r="175" spans="2:2" ht="13.5">
      <c r="B175"/>
    </row>
    <row r="176" spans="2:2" ht="13.5">
      <c r="B176"/>
    </row>
    <row r="177" spans="2:2" ht="13.5">
      <c r="B177"/>
    </row>
    <row r="178" spans="2:2" ht="13.5">
      <c r="B178"/>
    </row>
    <row r="179" spans="2:2" ht="13.5">
      <c r="B179"/>
    </row>
    <row r="180" spans="2:2" ht="13.5">
      <c r="B180"/>
    </row>
    <row r="181" spans="2:2" ht="13.5">
      <c r="B181"/>
    </row>
    <row r="182" spans="2:2" ht="13.5">
      <c r="B182"/>
    </row>
    <row r="183" spans="2:2" ht="13.5">
      <c r="B183"/>
    </row>
    <row r="184" spans="2:2" ht="13.5">
      <c r="B184"/>
    </row>
    <row r="185" spans="2:2" ht="13.5">
      <c r="B185"/>
    </row>
    <row r="186" spans="2:2" ht="13.5">
      <c r="B186"/>
    </row>
    <row r="187" spans="2:2" ht="13.5">
      <c r="B187"/>
    </row>
    <row r="188" spans="2:2" ht="13.5">
      <c r="B188"/>
    </row>
    <row r="189" spans="2:2" ht="13.5">
      <c r="B189"/>
    </row>
    <row r="190" spans="2:2" ht="13.5">
      <c r="B190"/>
    </row>
    <row r="191" spans="2:2" ht="13.5">
      <c r="B191"/>
    </row>
    <row r="192" spans="2:2" ht="13.5">
      <c r="B192"/>
    </row>
    <row r="193" spans="2:2" ht="13.5">
      <c r="B193"/>
    </row>
    <row r="194" spans="2:2" ht="13.5">
      <c r="B194"/>
    </row>
    <row r="195" spans="2:2" ht="13.5">
      <c r="B195"/>
    </row>
    <row r="196" spans="2:2" ht="13.5">
      <c r="B196"/>
    </row>
    <row r="197" spans="2:2" ht="13.5">
      <c r="B197"/>
    </row>
    <row r="198" spans="2:2" ht="13.5">
      <c r="B198"/>
    </row>
    <row r="199" spans="2:2" ht="13.5">
      <c r="B199"/>
    </row>
    <row r="200" spans="2:2" ht="13.5">
      <c r="B200"/>
    </row>
    <row r="201" spans="2:2" ht="13.5">
      <c r="B201"/>
    </row>
    <row r="202" spans="2:2" ht="13.5">
      <c r="B202"/>
    </row>
    <row r="203" spans="2:2" ht="13.5">
      <c r="B203"/>
    </row>
    <row r="204" spans="2:2" ht="13.5">
      <c r="B204"/>
    </row>
    <row r="205" spans="2:2" ht="13.5">
      <c r="B205"/>
    </row>
    <row r="206" spans="2:2" ht="13.5">
      <c r="B206"/>
    </row>
    <row r="207" spans="2:2" ht="13.5">
      <c r="B207"/>
    </row>
    <row r="208" spans="2:2" ht="13.5">
      <c r="B208"/>
    </row>
    <row r="209" spans="2:2" ht="13.5">
      <c r="B209"/>
    </row>
    <row r="210" spans="2:2" ht="13.5">
      <c r="B210"/>
    </row>
    <row r="211" spans="2:2" ht="13.5">
      <c r="B211"/>
    </row>
    <row r="212" spans="2:2" ht="13.5">
      <c r="B212"/>
    </row>
    <row r="213" spans="2:2" ht="13.5">
      <c r="B213"/>
    </row>
    <row r="214" spans="2:2" ht="13.5">
      <c r="B214"/>
    </row>
    <row r="215" spans="2:2" ht="13.5">
      <c r="B215"/>
    </row>
    <row r="216" spans="2:2" ht="13.5">
      <c r="B216"/>
    </row>
    <row r="217" spans="2:2" ht="13.5">
      <c r="B217"/>
    </row>
    <row r="218" spans="2:2" ht="13.5">
      <c r="B218"/>
    </row>
    <row r="219" spans="2:2" ht="13.5">
      <c r="B219"/>
    </row>
    <row r="220" spans="2:2" ht="13.5">
      <c r="B220"/>
    </row>
    <row r="221" spans="2:2" ht="13.5">
      <c r="B221"/>
    </row>
    <row r="222" spans="2:2" ht="13.5">
      <c r="B222"/>
    </row>
    <row r="223" spans="2:2" ht="13.5">
      <c r="B223"/>
    </row>
    <row r="224" spans="2:2" ht="13.5">
      <c r="B224"/>
    </row>
    <row r="225" spans="2:2" ht="13.5">
      <c r="B225"/>
    </row>
    <row r="226" spans="2:2" ht="13.5">
      <c r="B226"/>
    </row>
    <row r="227" spans="2:2" ht="13.5">
      <c r="B227"/>
    </row>
    <row r="228" spans="2:2" ht="13.5">
      <c r="B228"/>
    </row>
    <row r="229" spans="2:2" ht="13.5">
      <c r="B229"/>
    </row>
    <row r="230" spans="2:2" ht="13.5">
      <c r="B230"/>
    </row>
    <row r="231" spans="2:2" ht="13.5">
      <c r="B231"/>
    </row>
    <row r="232" spans="2:2" ht="13.5">
      <c r="B232"/>
    </row>
    <row r="233" spans="2:2" ht="13.5">
      <c r="B233"/>
    </row>
    <row r="234" spans="2:2" ht="13.5">
      <c r="B234"/>
    </row>
    <row r="235" spans="2:2" ht="13.5">
      <c r="B235"/>
    </row>
    <row r="236" spans="2:2" ht="13.5">
      <c r="B236"/>
    </row>
    <row r="237" spans="2:2" ht="13.5">
      <c r="B237"/>
    </row>
    <row r="238" spans="2:2" ht="13.5">
      <c r="B238"/>
    </row>
    <row r="239" spans="2:2" ht="13.5">
      <c r="B239"/>
    </row>
    <row r="240" spans="2:2" ht="13.5">
      <c r="B240"/>
    </row>
    <row r="241" spans="2:2" ht="13.5">
      <c r="B241"/>
    </row>
    <row r="242" spans="2:2" ht="13.5">
      <c r="B242"/>
    </row>
    <row r="243" spans="2:2" ht="13.5">
      <c r="B243"/>
    </row>
    <row r="244" spans="2:2" ht="13.5">
      <c r="B244"/>
    </row>
    <row r="245" spans="2:2" ht="13.5">
      <c r="B245"/>
    </row>
    <row r="246" spans="2:2" ht="13.5">
      <c r="B246"/>
    </row>
    <row r="247" spans="2:2" ht="13.5">
      <c r="B247"/>
    </row>
    <row r="248" spans="2:2" ht="13.5">
      <c r="B248"/>
    </row>
    <row r="249" spans="2:2" ht="13.5">
      <c r="B249"/>
    </row>
    <row r="250" spans="2:2" ht="13.5">
      <c r="B250"/>
    </row>
    <row r="251" spans="2:2" ht="13.5">
      <c r="B251"/>
    </row>
    <row r="252" spans="2:2" ht="13.5">
      <c r="B252"/>
    </row>
    <row r="253" spans="2:2" ht="13.5">
      <c r="B253"/>
    </row>
    <row r="254" spans="2:2" ht="13.5">
      <c r="B254"/>
    </row>
    <row r="255" spans="2:2" ht="13.5">
      <c r="B255"/>
    </row>
    <row r="256" spans="2:2" ht="13.5">
      <c r="B256"/>
    </row>
    <row r="257" spans="2:2" ht="13.5">
      <c r="B257"/>
    </row>
    <row r="258" spans="2:2" ht="13.5">
      <c r="B258"/>
    </row>
    <row r="259" spans="2:2" ht="13.5">
      <c r="B259"/>
    </row>
    <row r="260" spans="2:2" ht="13.5">
      <c r="B260"/>
    </row>
    <row r="261" spans="2:2" ht="13.5">
      <c r="B261"/>
    </row>
    <row r="262" spans="2:2" ht="13.5">
      <c r="B262"/>
    </row>
    <row r="263" spans="2:2" ht="13.5">
      <c r="B263"/>
    </row>
    <row r="264" spans="2:2" ht="13.5">
      <c r="B264"/>
    </row>
    <row r="265" spans="2:2" ht="13.5">
      <c r="B265"/>
    </row>
    <row r="266" spans="2:2" ht="13.5">
      <c r="B266"/>
    </row>
    <row r="267" spans="2:2" ht="13.5">
      <c r="B267"/>
    </row>
    <row r="268" spans="2:2" ht="13.5">
      <c r="B268"/>
    </row>
    <row r="269" spans="2:2" ht="13.5">
      <c r="B269"/>
    </row>
    <row r="270" spans="2:2" ht="13.5">
      <c r="B270"/>
    </row>
    <row r="271" spans="2:2" ht="13.5">
      <c r="B271"/>
    </row>
    <row r="272" spans="2:2" ht="13.5">
      <c r="B272"/>
    </row>
    <row r="273" spans="2:2" ht="13.5">
      <c r="B273"/>
    </row>
    <row r="274" spans="2:2" ht="13.5">
      <c r="B274"/>
    </row>
    <row r="275" spans="2:2" ht="13.5">
      <c r="B275"/>
    </row>
    <row r="276" spans="2:2" ht="13.5">
      <c r="B276"/>
    </row>
    <row r="277" spans="2:2" ht="13.5">
      <c r="B277"/>
    </row>
    <row r="278" spans="2:2" ht="13.5">
      <c r="B278"/>
    </row>
    <row r="279" spans="2:2" ht="13.5">
      <c r="B279"/>
    </row>
    <row r="280" spans="2:2" ht="13.5">
      <c r="B280"/>
    </row>
    <row r="281" spans="2:2" ht="13.5">
      <c r="B281"/>
    </row>
    <row r="282" spans="2:2" ht="13.5">
      <c r="B282"/>
    </row>
    <row r="283" spans="2:2" ht="13.5">
      <c r="B283"/>
    </row>
    <row r="284" spans="2:2" ht="13.5">
      <c r="B284"/>
    </row>
    <row r="285" spans="2:2" ht="13.5">
      <c r="B285"/>
    </row>
    <row r="286" spans="2:2" ht="13.5">
      <c r="B286"/>
    </row>
    <row r="287" spans="2:2" ht="13.5">
      <c r="B287"/>
    </row>
    <row r="288" spans="2:2" ht="13.5">
      <c r="B288"/>
    </row>
    <row r="289" spans="2:2" ht="13.5">
      <c r="B289"/>
    </row>
    <row r="290" spans="2:2" ht="13.5">
      <c r="B290"/>
    </row>
    <row r="291" spans="2:2" ht="13.5">
      <c r="B291"/>
    </row>
    <row r="292" spans="2:2" ht="13.5">
      <c r="B292"/>
    </row>
    <row r="293" spans="2:2" ht="13.5">
      <c r="B293"/>
    </row>
    <row r="294" spans="2:2" ht="13.5">
      <c r="B294"/>
    </row>
    <row r="295" spans="2:2" ht="13.5">
      <c r="B295"/>
    </row>
    <row r="296" spans="2:2" ht="13.5">
      <c r="B296"/>
    </row>
    <row r="297" spans="2:2" ht="13.5">
      <c r="B297"/>
    </row>
    <row r="298" spans="2:2" ht="13.5">
      <c r="B298"/>
    </row>
    <row r="299" spans="2:2" ht="13.5">
      <c r="B299"/>
    </row>
    <row r="300" spans="2:2" ht="13.5">
      <c r="B300"/>
    </row>
    <row r="301" spans="2:2" ht="13.5">
      <c r="B301"/>
    </row>
    <row r="302" spans="2:2" ht="13.5">
      <c r="B302"/>
    </row>
    <row r="303" spans="2:2" ht="13.5">
      <c r="B303"/>
    </row>
    <row r="304" spans="2:2" ht="13.5">
      <c r="B304"/>
    </row>
    <row r="305" spans="2:2" ht="13.5">
      <c r="B305"/>
    </row>
    <row r="306" spans="2:2" ht="13.5">
      <c r="B306"/>
    </row>
    <row r="307" spans="2:2" ht="13.5">
      <c r="B307"/>
    </row>
    <row r="308" spans="2:2" ht="13.5">
      <c r="B308"/>
    </row>
    <row r="309" spans="2:2" ht="13.5">
      <c r="B309"/>
    </row>
    <row r="310" spans="2:2" ht="13.5">
      <c r="B310"/>
    </row>
    <row r="311" spans="2:2" ht="13.5">
      <c r="B311"/>
    </row>
    <row r="312" spans="2:2" ht="13.5">
      <c r="B312"/>
    </row>
    <row r="313" spans="2:2" ht="13.5">
      <c r="B313"/>
    </row>
    <row r="314" spans="2:2" ht="13.5">
      <c r="B314"/>
    </row>
    <row r="315" spans="2:2" ht="13.5">
      <c r="B315"/>
    </row>
    <row r="316" spans="2:2" ht="13.5">
      <c r="B316"/>
    </row>
    <row r="317" spans="2:2" ht="13.5">
      <c r="B317"/>
    </row>
    <row r="318" spans="2:2" ht="13.5">
      <c r="B318"/>
    </row>
    <row r="319" spans="2:2" ht="13.5">
      <c r="B319"/>
    </row>
    <row r="320" spans="2:2" ht="13.5">
      <c r="B320"/>
    </row>
    <row r="321" spans="2:2" ht="13.5">
      <c r="B321"/>
    </row>
    <row r="322" spans="2:2" ht="13.5">
      <c r="B322"/>
    </row>
    <row r="323" spans="2:2" ht="13.5">
      <c r="B323"/>
    </row>
    <row r="324" spans="2:2" ht="13.5">
      <c r="B324"/>
    </row>
    <row r="325" spans="2:2" ht="13.5">
      <c r="B325"/>
    </row>
    <row r="326" spans="2:2" ht="13.5">
      <c r="B326"/>
    </row>
    <row r="327" spans="2:2" ht="13.5">
      <c r="B327"/>
    </row>
    <row r="328" spans="2:2" ht="13.5">
      <c r="B328"/>
    </row>
    <row r="329" spans="2:2" ht="13.5">
      <c r="B329"/>
    </row>
    <row r="330" spans="2:2" ht="13.5">
      <c r="B330"/>
    </row>
    <row r="331" spans="2:2" ht="13.5">
      <c r="B331"/>
    </row>
    <row r="332" spans="2:2" ht="13.5">
      <c r="B332"/>
    </row>
    <row r="333" spans="2:2" ht="13.5">
      <c r="B333"/>
    </row>
    <row r="334" spans="2:2" ht="13.5">
      <c r="B334"/>
    </row>
    <row r="335" spans="2:2" ht="13.5">
      <c r="B335"/>
    </row>
    <row r="336" spans="2:2" ht="13.5">
      <c r="B336"/>
    </row>
    <row r="337" spans="2:2" ht="13.5">
      <c r="B337"/>
    </row>
    <row r="338" spans="2:2" ht="13.5">
      <c r="B338"/>
    </row>
    <row r="339" spans="2:2" ht="13.5">
      <c r="B339"/>
    </row>
    <row r="340" spans="2:2" ht="13.5">
      <c r="B340"/>
    </row>
    <row r="341" spans="2:2" ht="13.5">
      <c r="B341"/>
    </row>
    <row r="342" spans="2:2" ht="13.5">
      <c r="B342"/>
    </row>
    <row r="343" spans="2:2" ht="13.5">
      <c r="B343"/>
    </row>
    <row r="344" spans="2:2" ht="13.5">
      <c r="B344"/>
    </row>
    <row r="345" spans="2:2" ht="13.5">
      <c r="B345"/>
    </row>
    <row r="346" spans="2:2" ht="13.5">
      <c r="B346"/>
    </row>
    <row r="347" spans="2:2" ht="13.5">
      <c r="B347"/>
    </row>
    <row r="348" spans="2:2" ht="13.5">
      <c r="B348"/>
    </row>
    <row r="349" spans="2:2" ht="13.5">
      <c r="B349"/>
    </row>
    <row r="350" spans="2:2" ht="13.5">
      <c r="B350"/>
    </row>
    <row r="351" spans="2:2" ht="13.5">
      <c r="B351"/>
    </row>
    <row r="352" spans="2:2" ht="13.5">
      <c r="B352"/>
    </row>
    <row r="353" spans="2:2" ht="13.5">
      <c r="B353"/>
    </row>
    <row r="354" spans="2:2" ht="13.5">
      <c r="B354"/>
    </row>
    <row r="355" spans="2:2" ht="13.5">
      <c r="B355"/>
    </row>
    <row r="356" spans="2:2" ht="13.5">
      <c r="B356"/>
    </row>
    <row r="357" spans="2:2" ht="13.5">
      <c r="B357"/>
    </row>
    <row r="358" spans="2:2" ht="13.5">
      <c r="B358"/>
    </row>
    <row r="359" spans="2:2" ht="13.5">
      <c r="B359"/>
    </row>
    <row r="360" spans="2:2" ht="13.5">
      <c r="B360"/>
    </row>
    <row r="361" spans="2:2" ht="13.5">
      <c r="B361"/>
    </row>
    <row r="362" spans="2:2" ht="13.5">
      <c r="B362"/>
    </row>
    <row r="363" spans="2:2" ht="13.5">
      <c r="B363"/>
    </row>
    <row r="364" spans="2:2" ht="13.5">
      <c r="B364"/>
    </row>
    <row r="365" spans="2:2" ht="13.5">
      <c r="B365"/>
    </row>
    <row r="366" spans="2:2" ht="13.5">
      <c r="B366"/>
    </row>
    <row r="367" spans="2:2" ht="13.5">
      <c r="B367"/>
    </row>
    <row r="368" spans="2:2" ht="13.5">
      <c r="B368"/>
    </row>
    <row r="369" spans="2:2" ht="13.5">
      <c r="B369"/>
    </row>
    <row r="370" spans="2:2" ht="13.5">
      <c r="B370"/>
    </row>
    <row r="371" spans="2:2" ht="13.5">
      <c r="B371"/>
    </row>
    <row r="372" spans="2:2" ht="13.5">
      <c r="B372"/>
    </row>
    <row r="373" spans="2:2" ht="13.5">
      <c r="B373"/>
    </row>
    <row r="374" spans="2:2" ht="13.5">
      <c r="B374"/>
    </row>
    <row r="375" spans="2:2" ht="13.5">
      <c r="B375"/>
    </row>
    <row r="376" spans="2:2" ht="13.5">
      <c r="B376"/>
    </row>
    <row r="377" spans="2:2" ht="13.5">
      <c r="B377"/>
    </row>
    <row r="378" spans="2:2" ht="13.5">
      <c r="B378"/>
    </row>
    <row r="379" spans="2:2" ht="13.5">
      <c r="B379"/>
    </row>
    <row r="380" spans="2:2" ht="13.5">
      <c r="B380"/>
    </row>
    <row r="381" spans="2:2" ht="13.5">
      <c r="B381"/>
    </row>
    <row r="382" spans="2:2" ht="13.5">
      <c r="B382"/>
    </row>
    <row r="383" spans="2:2" ht="13.5">
      <c r="B383"/>
    </row>
    <row r="384" spans="2:2" ht="13.5">
      <c r="B384"/>
    </row>
    <row r="385" spans="2:2" ht="13.5">
      <c r="B385"/>
    </row>
    <row r="386" spans="2:2" ht="13.5">
      <c r="B386"/>
    </row>
    <row r="387" spans="2:2" ht="13.5">
      <c r="B387"/>
    </row>
    <row r="388" spans="2:2" ht="13.5">
      <c r="B388"/>
    </row>
    <row r="389" spans="2:2" ht="13.5">
      <c r="B389"/>
    </row>
    <row r="390" spans="2:2" ht="13.5">
      <c r="B390"/>
    </row>
    <row r="391" spans="2:2" ht="13.5">
      <c r="B391"/>
    </row>
    <row r="392" spans="2:2" ht="13.5">
      <c r="B392"/>
    </row>
    <row r="393" spans="2:2" ht="13.5">
      <c r="B393"/>
    </row>
    <row r="394" spans="2:2" ht="13.5">
      <c r="B394"/>
    </row>
    <row r="395" spans="2:2" ht="13.5">
      <c r="B395"/>
    </row>
    <row r="396" spans="2:2" ht="13.5">
      <c r="B396"/>
    </row>
    <row r="397" spans="2:2" ht="13.5">
      <c r="B397"/>
    </row>
    <row r="398" spans="2:2" ht="13.5">
      <c r="B398"/>
    </row>
    <row r="399" spans="2:2" ht="13.5">
      <c r="B399"/>
    </row>
    <row r="400" spans="2:2" ht="13.5">
      <c r="B400"/>
    </row>
    <row r="401" spans="2:2" ht="13.5">
      <c r="B401"/>
    </row>
    <row r="402" spans="2:2" ht="13.5">
      <c r="B402"/>
    </row>
    <row r="403" spans="2:2" ht="13.5">
      <c r="B403"/>
    </row>
    <row r="404" spans="2:2" ht="13.5">
      <c r="B404"/>
    </row>
    <row r="405" spans="2:2" ht="13.5">
      <c r="B405"/>
    </row>
    <row r="406" spans="2:2" ht="13.5">
      <c r="B406"/>
    </row>
    <row r="407" spans="2:2" ht="13.5">
      <c r="B407"/>
    </row>
    <row r="408" spans="2:2" ht="13.5">
      <c r="B408"/>
    </row>
    <row r="409" spans="2:2" ht="13.5">
      <c r="B409"/>
    </row>
    <row r="410" spans="2:2" ht="13.5">
      <c r="B410"/>
    </row>
    <row r="411" spans="2:2" ht="13.5">
      <c r="B411"/>
    </row>
    <row r="412" spans="2:2" ht="13.5">
      <c r="B412"/>
    </row>
    <row r="413" spans="2:2" ht="13.5">
      <c r="B413"/>
    </row>
    <row r="414" spans="2:2" ht="13.5">
      <c r="B414"/>
    </row>
    <row r="415" spans="2:2" ht="13.5">
      <c r="B415"/>
    </row>
    <row r="416" spans="2:2" ht="13.5">
      <c r="B416"/>
    </row>
    <row r="417" spans="2:2" ht="13.5">
      <c r="B417"/>
    </row>
    <row r="418" spans="2:2" ht="13.5">
      <c r="B418"/>
    </row>
    <row r="419" spans="2:2" ht="13.5">
      <c r="B419"/>
    </row>
    <row r="420" spans="2:2" ht="13.5">
      <c r="B420"/>
    </row>
    <row r="421" spans="2:2" ht="13.5">
      <c r="B421"/>
    </row>
    <row r="422" spans="2:2" ht="13.5">
      <c r="B422"/>
    </row>
    <row r="423" spans="2:2" ht="13.5">
      <c r="B423"/>
    </row>
    <row r="424" spans="2:2" ht="13.5">
      <c r="B424"/>
    </row>
    <row r="425" spans="2:2" ht="13.5">
      <c r="B425"/>
    </row>
    <row r="426" spans="2:2" ht="13.5">
      <c r="B426"/>
    </row>
    <row r="427" spans="2:2" ht="13.5">
      <c r="B427"/>
    </row>
    <row r="428" spans="2:2" ht="13.5">
      <c r="B428"/>
    </row>
    <row r="429" spans="2:2" ht="13.5">
      <c r="B429"/>
    </row>
    <row r="430" spans="2:2" ht="13.5">
      <c r="B430"/>
    </row>
    <row r="431" spans="2:2" ht="13.5">
      <c r="B431"/>
    </row>
    <row r="432" spans="2:2" ht="13.5">
      <c r="B432"/>
    </row>
    <row r="433" spans="2:2" ht="13.5">
      <c r="B433"/>
    </row>
    <row r="434" spans="2:2" ht="13.5">
      <c r="B434"/>
    </row>
    <row r="435" spans="2:2" ht="13.5">
      <c r="B435"/>
    </row>
    <row r="436" spans="2:2" ht="13.5">
      <c r="B436"/>
    </row>
    <row r="437" spans="2:2" ht="13.5">
      <c r="B437"/>
    </row>
    <row r="438" spans="2:2" ht="13.5">
      <c r="B438"/>
    </row>
    <row r="439" spans="2:2" ht="13.5">
      <c r="B439"/>
    </row>
    <row r="440" spans="2:2" ht="13.5">
      <c r="B440"/>
    </row>
    <row r="441" spans="2:2" ht="13.5">
      <c r="B441"/>
    </row>
    <row r="442" spans="2:2" ht="13.5">
      <c r="B442"/>
    </row>
    <row r="443" spans="2:2" ht="13.5">
      <c r="B443"/>
    </row>
    <row r="444" spans="2:2" ht="13.5">
      <c r="B444"/>
    </row>
    <row r="445" spans="2:2" ht="13.5">
      <c r="B445"/>
    </row>
    <row r="446" spans="2:2" ht="13.5">
      <c r="B446"/>
    </row>
    <row r="447" spans="2:2" ht="13.5">
      <c r="B447"/>
    </row>
    <row r="448" spans="2:2" ht="13.5">
      <c r="B448"/>
    </row>
    <row r="449" spans="2:2" ht="13.5">
      <c r="B449"/>
    </row>
    <row r="450" spans="2:2" ht="13.5">
      <c r="B450"/>
    </row>
    <row r="451" spans="2:2" ht="13.5">
      <c r="B451"/>
    </row>
    <row r="452" spans="2:2" ht="13.5">
      <c r="B452"/>
    </row>
    <row r="453" spans="2:2" ht="13.5">
      <c r="B453"/>
    </row>
    <row r="454" spans="2:2" ht="13.5">
      <c r="B454"/>
    </row>
    <row r="455" spans="2:2" ht="13.5">
      <c r="B455"/>
    </row>
    <row r="456" spans="2:2" ht="13.5">
      <c r="B456"/>
    </row>
    <row r="457" spans="2:2" ht="13.5">
      <c r="B457"/>
    </row>
    <row r="458" spans="2:2" ht="13.5">
      <c r="B458"/>
    </row>
    <row r="459" spans="2:2" ht="13.5">
      <c r="B459"/>
    </row>
    <row r="460" spans="2:2" ht="13.5">
      <c r="B460"/>
    </row>
    <row r="461" spans="2:2" ht="13.5">
      <c r="B461"/>
    </row>
    <row r="462" spans="2:2" ht="13.5">
      <c r="B462"/>
    </row>
    <row r="463" spans="2:2" ht="13.5">
      <c r="B463"/>
    </row>
    <row r="464" spans="2:2" ht="13.5">
      <c r="B464"/>
    </row>
    <row r="465" spans="2:2" ht="13.5">
      <c r="B465"/>
    </row>
    <row r="466" spans="2:2" ht="13.5">
      <c r="B466"/>
    </row>
    <row r="467" spans="2:2" ht="13.5">
      <c r="B467"/>
    </row>
    <row r="468" spans="2:2" ht="13.5">
      <c r="B468"/>
    </row>
    <row r="469" spans="2:2" ht="13.5">
      <c r="B469"/>
    </row>
    <row r="470" spans="2:2" ht="13.5">
      <c r="B470"/>
    </row>
    <row r="471" spans="2:2" ht="13.5">
      <c r="B471"/>
    </row>
    <row r="472" spans="2:2" ht="13.5">
      <c r="B472"/>
    </row>
    <row r="473" spans="2:2" ht="13.5">
      <c r="B473"/>
    </row>
    <row r="474" spans="2:2" ht="13.5">
      <c r="B474"/>
    </row>
    <row r="475" spans="2:2" ht="13.5">
      <c r="B475"/>
    </row>
    <row r="476" spans="2:2" ht="13.5">
      <c r="B476"/>
    </row>
    <row r="477" spans="2:2" ht="13.5">
      <c r="B477"/>
    </row>
    <row r="478" spans="2:2" ht="13.5">
      <c r="B478"/>
    </row>
    <row r="479" spans="2:2" ht="13.5">
      <c r="B479"/>
    </row>
    <row r="480" spans="2:2" ht="13.5">
      <c r="B480"/>
    </row>
    <row r="481" spans="2:2" ht="13.5">
      <c r="B481"/>
    </row>
    <row r="482" spans="2:2" ht="13.5">
      <c r="B482"/>
    </row>
    <row r="483" spans="2:2" ht="13.5">
      <c r="B483"/>
    </row>
    <row r="484" spans="2:2" ht="13.5">
      <c r="B484"/>
    </row>
    <row r="485" spans="2:2" ht="13.5">
      <c r="B485"/>
    </row>
    <row r="486" spans="2:2" ht="13.5">
      <c r="B486"/>
    </row>
    <row r="487" spans="2:2" ht="13.5">
      <c r="B487"/>
    </row>
    <row r="488" spans="2:2" ht="13.5">
      <c r="B488"/>
    </row>
    <row r="489" spans="2:2" ht="13.5">
      <c r="B489"/>
    </row>
    <row r="490" spans="2:2" ht="13.5">
      <c r="B490"/>
    </row>
    <row r="491" spans="2:2" ht="13.5">
      <c r="B491"/>
    </row>
    <row r="492" spans="2:2" ht="13.5">
      <c r="B492"/>
    </row>
    <row r="493" spans="2:2" ht="13.5">
      <c r="B493"/>
    </row>
    <row r="494" spans="2:2" ht="13.5">
      <c r="B494"/>
    </row>
    <row r="495" spans="2:2" ht="13.5">
      <c r="B495"/>
    </row>
    <row r="496" spans="2:2" ht="13.5">
      <c r="B496"/>
    </row>
    <row r="497" spans="2:2" ht="13.5">
      <c r="B497"/>
    </row>
    <row r="498" spans="2:2" ht="13.5">
      <c r="B498"/>
    </row>
    <row r="499" spans="2:2" ht="13.5">
      <c r="B499"/>
    </row>
    <row r="500" spans="2:2" ht="13.5">
      <c r="B500"/>
    </row>
    <row r="501" spans="2:2" ht="13.5">
      <c r="B501"/>
    </row>
    <row r="502" spans="2:2" ht="13.5">
      <c r="B502"/>
    </row>
    <row r="503" spans="2:2" ht="13.5">
      <c r="B503"/>
    </row>
    <row r="504" spans="2:2" ht="13.5">
      <c r="B504"/>
    </row>
    <row r="505" spans="2:2" ht="13.5">
      <c r="B505"/>
    </row>
    <row r="506" spans="2:2" ht="13.5">
      <c r="B506"/>
    </row>
    <row r="507" spans="2:2" ht="13.5">
      <c r="B507"/>
    </row>
    <row r="508" spans="2:2" ht="13.5">
      <c r="B508"/>
    </row>
    <row r="509" spans="2:2" ht="13.5">
      <c r="B509"/>
    </row>
    <row r="510" spans="2:2" ht="13.5">
      <c r="B510"/>
    </row>
    <row r="511" spans="2:2" ht="13.5">
      <c r="B511"/>
    </row>
    <row r="512" spans="2:2" ht="13.5">
      <c r="B512"/>
    </row>
    <row r="513" spans="2:2" ht="13.5">
      <c r="B513"/>
    </row>
    <row r="514" spans="2:2" ht="13.5">
      <c r="B514"/>
    </row>
    <row r="515" spans="2:2" ht="13.5">
      <c r="B515"/>
    </row>
    <row r="516" spans="2:2" ht="13.5">
      <c r="B516"/>
    </row>
    <row r="517" spans="2:2" ht="13.5">
      <c r="B517"/>
    </row>
    <row r="518" spans="2:2" ht="13.5">
      <c r="B518"/>
    </row>
    <row r="519" spans="2:2" ht="13.5">
      <c r="B519"/>
    </row>
    <row r="520" spans="2:2" ht="13.5">
      <c r="B520"/>
    </row>
    <row r="521" spans="2:2" ht="13.5">
      <c r="B521"/>
    </row>
    <row r="522" spans="2:2" ht="13.5">
      <c r="B522"/>
    </row>
    <row r="523" spans="2:2" ht="13.5">
      <c r="B523"/>
    </row>
    <row r="524" spans="2:2" ht="13.5">
      <c r="B524"/>
    </row>
    <row r="525" spans="2:2" ht="13.5">
      <c r="B525"/>
    </row>
    <row r="526" spans="2:2" ht="13.5">
      <c r="B526"/>
    </row>
    <row r="527" spans="2:2" ht="13.5">
      <c r="B527"/>
    </row>
    <row r="528" spans="2:2" ht="13.5">
      <c r="B528"/>
    </row>
    <row r="529" spans="2:2" ht="13.5">
      <c r="B529"/>
    </row>
    <row r="530" spans="2:2" ht="13.5">
      <c r="B530"/>
    </row>
    <row r="531" spans="2:2" ht="13.5">
      <c r="B531"/>
    </row>
    <row r="532" spans="2:2" ht="13.5">
      <c r="B532"/>
    </row>
    <row r="533" spans="2:2" ht="13.5">
      <c r="B533"/>
    </row>
    <row r="534" spans="2:2" ht="13.5">
      <c r="B534"/>
    </row>
    <row r="535" spans="2:2" ht="13.5">
      <c r="B535"/>
    </row>
    <row r="536" spans="2:2" ht="13.5">
      <c r="B536"/>
    </row>
    <row r="537" spans="2:2" ht="13.5">
      <c r="B537"/>
    </row>
    <row r="538" spans="2:2" ht="13.5">
      <c r="B538"/>
    </row>
    <row r="539" spans="2:2" ht="13.5">
      <c r="B539"/>
    </row>
    <row r="540" spans="2:2" ht="13.5">
      <c r="B540"/>
    </row>
    <row r="541" spans="2:2" ht="13.5">
      <c r="B541"/>
    </row>
    <row r="542" spans="2:2" ht="13.5">
      <c r="B542"/>
    </row>
    <row r="543" spans="2:2" ht="13.5">
      <c r="B543"/>
    </row>
    <row r="544" spans="2:2" ht="13.5">
      <c r="B544"/>
    </row>
    <row r="545" spans="2:2" ht="13.5">
      <c r="B545"/>
    </row>
    <row r="546" spans="2:2" ht="13.5">
      <c r="B546"/>
    </row>
    <row r="547" spans="2:2" ht="13.5">
      <c r="B547"/>
    </row>
    <row r="548" spans="2:2" ht="13.5">
      <c r="B548"/>
    </row>
    <row r="549" spans="2:2" ht="13.5">
      <c r="B549"/>
    </row>
    <row r="550" spans="2:2" ht="13.5">
      <c r="B550"/>
    </row>
    <row r="551" spans="2:2" ht="13.5">
      <c r="B551"/>
    </row>
    <row r="552" spans="2:2" ht="13.5">
      <c r="B552"/>
    </row>
    <row r="553" spans="2:2" ht="13.5">
      <c r="B553"/>
    </row>
    <row r="554" spans="2:2" ht="13.5">
      <c r="B554"/>
    </row>
    <row r="555" spans="2:2" ht="13.5">
      <c r="B555"/>
    </row>
    <row r="556" spans="2:2" ht="13.5">
      <c r="B556"/>
    </row>
    <row r="557" spans="2:2" ht="13.5">
      <c r="B557"/>
    </row>
    <row r="558" spans="2:2" ht="13.5">
      <c r="B558"/>
    </row>
    <row r="559" spans="2:2" ht="13.5">
      <c r="B559"/>
    </row>
    <row r="560" spans="2:2" ht="13.5">
      <c r="B560"/>
    </row>
    <row r="561" spans="2:2" ht="13.5">
      <c r="B561"/>
    </row>
    <row r="562" spans="2:2" ht="13.5">
      <c r="B562"/>
    </row>
    <row r="563" spans="2:2" ht="13.5">
      <c r="B563"/>
    </row>
    <row r="564" spans="2:2" ht="13.5">
      <c r="B564"/>
    </row>
    <row r="565" spans="2:2" ht="13.5">
      <c r="B565"/>
    </row>
    <row r="566" spans="2:2" ht="13.5">
      <c r="B566"/>
    </row>
    <row r="567" spans="2:2" ht="13.5">
      <c r="B567"/>
    </row>
    <row r="568" spans="2:2" ht="13.5">
      <c r="B568"/>
    </row>
    <row r="569" spans="2:2" ht="13.5">
      <c r="B569"/>
    </row>
    <row r="570" spans="2:2" ht="13.5">
      <c r="B570"/>
    </row>
    <row r="571" spans="2:2" ht="13.5">
      <c r="B571"/>
    </row>
    <row r="572" spans="2:2" ht="13.5">
      <c r="B572"/>
    </row>
    <row r="573" spans="2:2" ht="13.5">
      <c r="B573"/>
    </row>
    <row r="574" spans="2:2" ht="13.5">
      <c r="B574"/>
    </row>
    <row r="575" spans="2:2" ht="13.5">
      <c r="B575"/>
    </row>
    <row r="576" spans="2:2" ht="13.5">
      <c r="B576"/>
    </row>
    <row r="577" spans="2:2" ht="13.5">
      <c r="B577"/>
    </row>
    <row r="578" spans="2:2" ht="13.5">
      <c r="B578"/>
    </row>
    <row r="579" spans="2:2" ht="13.5">
      <c r="B579"/>
    </row>
    <row r="580" spans="2:2" ht="13.5">
      <c r="B580"/>
    </row>
    <row r="581" spans="2:2" ht="13.5">
      <c r="B581"/>
    </row>
    <row r="582" spans="2:2" ht="13.5">
      <c r="B582"/>
    </row>
    <row r="583" spans="2:2" ht="13.5">
      <c r="B583"/>
    </row>
    <row r="584" spans="2:2" ht="13.5">
      <c r="B584"/>
    </row>
    <row r="585" spans="2:2" ht="13.5">
      <c r="B585"/>
    </row>
    <row r="586" spans="2:2" ht="13.5">
      <c r="B586"/>
    </row>
    <row r="587" spans="2:2" ht="13.5">
      <c r="B587"/>
    </row>
    <row r="588" spans="2:2" ht="13.5">
      <c r="B588"/>
    </row>
    <row r="589" spans="2:2" ht="13.5">
      <c r="B589"/>
    </row>
    <row r="590" spans="2:2" ht="13.5">
      <c r="B590"/>
    </row>
    <row r="591" spans="2:2" ht="13.5">
      <c r="B591"/>
    </row>
    <row r="592" spans="2:2" ht="13.5">
      <c r="B592"/>
    </row>
    <row r="593" spans="2:2" ht="13.5">
      <c r="B593"/>
    </row>
    <row r="594" spans="2:2" ht="13.5">
      <c r="B594"/>
    </row>
    <row r="595" spans="2:2" ht="13.5">
      <c r="B595"/>
    </row>
    <row r="596" spans="2:2" ht="13.5">
      <c r="B596"/>
    </row>
    <row r="597" spans="2:2" ht="13.5">
      <c r="B597"/>
    </row>
    <row r="598" spans="2:2" ht="13.5">
      <c r="B598"/>
    </row>
    <row r="599" spans="2:2" ht="13.5">
      <c r="B599"/>
    </row>
    <row r="600" spans="2:2" ht="13.5">
      <c r="B600"/>
    </row>
    <row r="601" spans="2:2" ht="13.5">
      <c r="B601"/>
    </row>
    <row r="602" spans="2:2" ht="13.5">
      <c r="B602"/>
    </row>
    <row r="603" spans="2:2" ht="13.5">
      <c r="B603"/>
    </row>
    <row r="604" spans="2:2" ht="13.5">
      <c r="B604"/>
    </row>
    <row r="605" spans="2:2" ht="13.5">
      <c r="B605"/>
    </row>
    <row r="606" spans="2:2" ht="13.5">
      <c r="B606"/>
    </row>
    <row r="607" spans="2:2" ht="13.5">
      <c r="B607"/>
    </row>
    <row r="608" spans="2:2" ht="13.5">
      <c r="B608"/>
    </row>
    <row r="609" spans="2:2" ht="13.5">
      <c r="B609"/>
    </row>
    <row r="610" spans="2:2" ht="13.5">
      <c r="B610"/>
    </row>
    <row r="611" spans="2:2" ht="13.5">
      <c r="B611"/>
    </row>
    <row r="612" spans="2:2" ht="13.5">
      <c r="B612"/>
    </row>
    <row r="613" spans="2:2" ht="13.5">
      <c r="B613"/>
    </row>
    <row r="614" spans="2:2" ht="13.5">
      <c r="B614"/>
    </row>
    <row r="615" spans="2:2" ht="13.5">
      <c r="B615"/>
    </row>
    <row r="616" spans="2:2" ht="13.5">
      <c r="B616"/>
    </row>
    <row r="617" spans="2:2" ht="13.5">
      <c r="B617"/>
    </row>
    <row r="618" spans="2:2" ht="13.5">
      <c r="B618"/>
    </row>
    <row r="619" spans="2:2" ht="13.5">
      <c r="B619"/>
    </row>
    <row r="620" spans="2:2" ht="13.5">
      <c r="B620"/>
    </row>
    <row r="621" spans="2:2" ht="13.5">
      <c r="B621"/>
    </row>
    <row r="622" spans="2:2" ht="13.5">
      <c r="B622"/>
    </row>
    <row r="623" spans="2:2" ht="13.5">
      <c r="B623"/>
    </row>
    <row r="624" spans="2:2" ht="13.5">
      <c r="B624"/>
    </row>
    <row r="625" spans="2:2" ht="13.5">
      <c r="B625"/>
    </row>
    <row r="626" spans="2:2" ht="13.5">
      <c r="B626"/>
    </row>
    <row r="627" spans="2:2" ht="13.5">
      <c r="B627"/>
    </row>
    <row r="628" spans="2:2" ht="13.5">
      <c r="B628"/>
    </row>
    <row r="629" spans="2:2" ht="13.5">
      <c r="B629"/>
    </row>
    <row r="630" spans="2:2" ht="13.5">
      <c r="B630"/>
    </row>
    <row r="631" spans="2:2" ht="13.5">
      <c r="B631"/>
    </row>
    <row r="632" spans="2:2" ht="13.5">
      <c r="B632"/>
    </row>
    <row r="633" spans="2:2" ht="13.5">
      <c r="B633"/>
    </row>
    <row r="634" spans="2:2" ht="13.5">
      <c r="B634"/>
    </row>
    <row r="635" spans="2:2" ht="13.5">
      <c r="B635"/>
    </row>
    <row r="636" spans="2:2" ht="13.5">
      <c r="B636"/>
    </row>
    <row r="637" spans="2:2" ht="13.5">
      <c r="B637"/>
    </row>
    <row r="638" spans="2:2" ht="13.5">
      <c r="B638"/>
    </row>
    <row r="639" spans="2:2" ht="13.5">
      <c r="B639"/>
    </row>
    <row r="640" spans="2:2" ht="13.5">
      <c r="B640"/>
    </row>
    <row r="641" spans="2:2" ht="13.5">
      <c r="B641"/>
    </row>
    <row r="642" spans="2:2" ht="13.5">
      <c r="B642"/>
    </row>
    <row r="643" spans="2:2" ht="13.5">
      <c r="B643"/>
    </row>
    <row r="644" spans="2:2" ht="13.5">
      <c r="B644"/>
    </row>
    <row r="645" spans="2:2" ht="13.5">
      <c r="B645"/>
    </row>
    <row r="646" spans="2:2" ht="13.5">
      <c r="B646"/>
    </row>
    <row r="647" spans="2:2" ht="13.5">
      <c r="B647"/>
    </row>
    <row r="648" spans="2:2" ht="13.5">
      <c r="B648"/>
    </row>
    <row r="649" spans="2:2" ht="13.5">
      <c r="B649"/>
    </row>
    <row r="650" spans="2:2" ht="13.5">
      <c r="B650"/>
    </row>
    <row r="651" spans="2:2" ht="13.5">
      <c r="B651"/>
    </row>
    <row r="652" spans="2:2" ht="13.5">
      <c r="B652"/>
    </row>
    <row r="653" spans="2:2" ht="13.5">
      <c r="B653"/>
    </row>
    <row r="654" spans="2:2" ht="13.5">
      <c r="B654"/>
    </row>
    <row r="655" spans="2:2" ht="13.5">
      <c r="B655"/>
    </row>
    <row r="656" spans="2:2" ht="13.5">
      <c r="B656"/>
    </row>
    <row r="657" spans="2:2" ht="13.5">
      <c r="B657"/>
    </row>
    <row r="658" spans="2:2" ht="13.5">
      <c r="B658"/>
    </row>
    <row r="659" spans="2:2" ht="13.5">
      <c r="B659"/>
    </row>
    <row r="660" spans="2:2" ht="13.5">
      <c r="B660"/>
    </row>
    <row r="661" spans="2:2" ht="13.5">
      <c r="B661"/>
    </row>
    <row r="662" spans="2:2" ht="13.5">
      <c r="B662"/>
    </row>
    <row r="663" spans="2:2" ht="13.5">
      <c r="B663"/>
    </row>
    <row r="664" spans="2:2" ht="13.5">
      <c r="B664"/>
    </row>
    <row r="665" spans="2:2" ht="13.5">
      <c r="B665"/>
    </row>
    <row r="666" spans="2:2" ht="13.5">
      <c r="B666"/>
    </row>
    <row r="667" spans="2:2" ht="13.5">
      <c r="B667"/>
    </row>
    <row r="668" spans="2:2" ht="13.5">
      <c r="B668"/>
    </row>
    <row r="669" spans="2:2" ht="13.5">
      <c r="B669"/>
    </row>
    <row r="670" spans="2:2" ht="13.5">
      <c r="B670"/>
    </row>
    <row r="671" spans="2:2" ht="13.5">
      <c r="B671"/>
    </row>
    <row r="672" spans="2:2" ht="13.5">
      <c r="B672"/>
    </row>
    <row r="673" spans="2:2" ht="13.5">
      <c r="B673"/>
    </row>
    <row r="674" spans="2:2" ht="13.5">
      <c r="B674"/>
    </row>
    <row r="675" spans="2:2" ht="13.5">
      <c r="B675"/>
    </row>
    <row r="676" spans="2:2" ht="13.5">
      <c r="B676"/>
    </row>
    <row r="677" spans="2:2" ht="13.5">
      <c r="B677"/>
    </row>
    <row r="678" spans="2:2" ht="13.5">
      <c r="B678"/>
    </row>
    <row r="679" spans="2:2" ht="13.5">
      <c r="B679"/>
    </row>
    <row r="680" spans="2:2" ht="13.5">
      <c r="B680"/>
    </row>
    <row r="681" spans="2:2" ht="13.5">
      <c r="B681"/>
    </row>
    <row r="682" spans="2:2" ht="13.5">
      <c r="B682"/>
    </row>
    <row r="683" spans="2:2" ht="13.5">
      <c r="B683"/>
    </row>
    <row r="684" spans="2:2" ht="13.5">
      <c r="B684"/>
    </row>
    <row r="685" spans="2:2" ht="13.5">
      <c r="B685"/>
    </row>
    <row r="686" spans="2:2" ht="13.5">
      <c r="B686"/>
    </row>
    <row r="687" spans="2:2" ht="13.5">
      <c r="B687"/>
    </row>
    <row r="688" spans="2:2" ht="13.5">
      <c r="B688"/>
    </row>
    <row r="689" spans="2:2" ht="13.5">
      <c r="B689"/>
    </row>
    <row r="690" spans="2:2" ht="13.5">
      <c r="B690"/>
    </row>
    <row r="691" spans="2:2" ht="13.5">
      <c r="B691"/>
    </row>
    <row r="692" spans="2:2" ht="13.5">
      <c r="B692"/>
    </row>
    <row r="693" spans="2:2" ht="13.5">
      <c r="B693"/>
    </row>
    <row r="694" spans="2:2" ht="13.5">
      <c r="B694"/>
    </row>
    <row r="695" spans="2:2" ht="13.5">
      <c r="B695"/>
    </row>
    <row r="696" spans="2:2" ht="13.5">
      <c r="B696"/>
    </row>
    <row r="697" spans="2:2" ht="13.5">
      <c r="B697"/>
    </row>
    <row r="698" spans="2:2" ht="13.5">
      <c r="B698"/>
    </row>
    <row r="699" spans="2:2" ht="13.5">
      <c r="B699"/>
    </row>
    <row r="700" spans="2:2" ht="13.5">
      <c r="B700"/>
    </row>
    <row r="701" spans="2:2" ht="13.5">
      <c r="B701"/>
    </row>
    <row r="702" spans="2:2" ht="13.5">
      <c r="B702"/>
    </row>
    <row r="703" spans="2:2" ht="13.5">
      <c r="B703"/>
    </row>
    <row r="704" spans="2:2" ht="13.5">
      <c r="B704"/>
    </row>
    <row r="705" spans="2:2" ht="13.5">
      <c r="B705"/>
    </row>
    <row r="706" spans="2:2" ht="13.5">
      <c r="B706"/>
    </row>
    <row r="707" spans="2:2" ht="13.5">
      <c r="B707"/>
    </row>
    <row r="708" spans="2:2" ht="13.5">
      <c r="B708"/>
    </row>
    <row r="709" spans="2:2" ht="13.5">
      <c r="B709"/>
    </row>
    <row r="710" spans="2:2" ht="13.5">
      <c r="B710"/>
    </row>
    <row r="711" spans="2:2" ht="13.5">
      <c r="B711"/>
    </row>
    <row r="712" spans="2:2" ht="13.5">
      <c r="B712"/>
    </row>
    <row r="713" spans="2:2" ht="13.5">
      <c r="B713"/>
    </row>
    <row r="714" spans="2:2" ht="13.5">
      <c r="B714"/>
    </row>
    <row r="715" spans="2:2" ht="13.5">
      <c r="B715"/>
    </row>
    <row r="716" spans="2:2" ht="13.5">
      <c r="B716"/>
    </row>
    <row r="717" spans="2:2" ht="13.5">
      <c r="B717"/>
    </row>
    <row r="718" spans="2:2" ht="13.5">
      <c r="B718"/>
    </row>
    <row r="719" spans="2:2" ht="13.5">
      <c r="B719"/>
    </row>
    <row r="720" spans="2:2" ht="13.5">
      <c r="B720"/>
    </row>
    <row r="721" spans="2:2" ht="13.5">
      <c r="B721"/>
    </row>
    <row r="722" spans="2:2" ht="13.5">
      <c r="B722"/>
    </row>
    <row r="723" spans="2:2" ht="13.5">
      <c r="B723"/>
    </row>
    <row r="724" spans="2:2" ht="13.5">
      <c r="B724"/>
    </row>
    <row r="725" spans="2:2" ht="13.5">
      <c r="B725"/>
    </row>
    <row r="726" spans="2:2" ht="13.5">
      <c r="B726"/>
    </row>
    <row r="727" spans="2:2" ht="13.5">
      <c r="B727"/>
    </row>
    <row r="728" spans="2:2" ht="13.5">
      <c r="B728"/>
    </row>
    <row r="729" spans="2:2" ht="13.5">
      <c r="B729"/>
    </row>
    <row r="730" spans="2:2" ht="13.5">
      <c r="B730"/>
    </row>
    <row r="731" spans="2:2" ht="13.5">
      <c r="B731"/>
    </row>
    <row r="732" spans="2:2" ht="13.5">
      <c r="B732"/>
    </row>
    <row r="733" spans="2:2" ht="13.5">
      <c r="B733"/>
    </row>
    <row r="734" spans="2:2" ht="13.5">
      <c r="B734"/>
    </row>
    <row r="735" spans="2:2" ht="13.5">
      <c r="B735"/>
    </row>
    <row r="736" spans="2:2" ht="13.5">
      <c r="B736"/>
    </row>
    <row r="737" spans="2:2" ht="13.5">
      <c r="B737"/>
    </row>
    <row r="738" spans="2:2" ht="13.5">
      <c r="B738"/>
    </row>
    <row r="739" spans="2:2" ht="13.5">
      <c r="B739"/>
    </row>
    <row r="740" spans="2:2" ht="13.5">
      <c r="B740"/>
    </row>
    <row r="741" spans="2:2" ht="13.5">
      <c r="B741"/>
    </row>
    <row r="742" spans="2:2" ht="13.5">
      <c r="B742"/>
    </row>
    <row r="743" spans="2:2" ht="13.5">
      <c r="B743"/>
    </row>
    <row r="744" spans="2:2" ht="13.5">
      <c r="B744"/>
    </row>
    <row r="745" spans="2:2" ht="13.5">
      <c r="B745"/>
    </row>
    <row r="746" spans="2:2" ht="13.5">
      <c r="B746"/>
    </row>
    <row r="747" spans="2:2" ht="13.5">
      <c r="B747"/>
    </row>
    <row r="748" spans="2:2" ht="13.5">
      <c r="B748"/>
    </row>
    <row r="749" spans="2:2" ht="13.5">
      <c r="B749"/>
    </row>
    <row r="750" spans="2:2" ht="13.5">
      <c r="B750"/>
    </row>
    <row r="751" spans="2:2" ht="13.5">
      <c r="B751"/>
    </row>
    <row r="752" spans="2:2" ht="13.5">
      <c r="B752"/>
    </row>
    <row r="753" spans="2:2" ht="13.5">
      <c r="B753"/>
    </row>
    <row r="754" spans="2:2" ht="13.5">
      <c r="B754"/>
    </row>
    <row r="755" spans="2:2" ht="13.5">
      <c r="B755"/>
    </row>
    <row r="756" spans="2:2" ht="13.5">
      <c r="B756"/>
    </row>
    <row r="757" spans="2:2" ht="13.5">
      <c r="B757"/>
    </row>
    <row r="758" spans="2:2" ht="13.5">
      <c r="B758"/>
    </row>
    <row r="759" spans="2:2" ht="13.5">
      <c r="B759"/>
    </row>
    <row r="760" spans="2:2" ht="13.5">
      <c r="B760"/>
    </row>
    <row r="761" spans="2:2" ht="13.5">
      <c r="B761"/>
    </row>
    <row r="762" spans="2:2" ht="13.5">
      <c r="B762"/>
    </row>
    <row r="763" spans="2:2" ht="13.5">
      <c r="B763"/>
    </row>
    <row r="764" spans="2:2" ht="13.5">
      <c r="B764"/>
    </row>
    <row r="765" spans="2:2" ht="13.5">
      <c r="B765"/>
    </row>
    <row r="766" spans="2:2" ht="13.5">
      <c r="B766"/>
    </row>
    <row r="767" spans="2:2" ht="13.5">
      <c r="B767"/>
    </row>
    <row r="768" spans="2:2" ht="13.5">
      <c r="B768"/>
    </row>
    <row r="769" spans="2:2" ht="13.5">
      <c r="B769"/>
    </row>
    <row r="770" spans="2:2" ht="13.5">
      <c r="B770"/>
    </row>
    <row r="771" spans="2:2" ht="13.5">
      <c r="B771"/>
    </row>
    <row r="772" spans="2:2" ht="13.5">
      <c r="B772"/>
    </row>
    <row r="773" spans="2:2" ht="13.5">
      <c r="B773"/>
    </row>
    <row r="774" spans="2:2" ht="13.5">
      <c r="B774"/>
    </row>
    <row r="775" spans="2:2" ht="13.5">
      <c r="B775"/>
    </row>
    <row r="776" spans="2:2" ht="13.5">
      <c r="B776"/>
    </row>
    <row r="777" spans="2:2" ht="13.5">
      <c r="B777"/>
    </row>
    <row r="778" spans="2:2" ht="13.5">
      <c r="B778"/>
    </row>
    <row r="779" spans="2:2" ht="13.5">
      <c r="B779"/>
    </row>
    <row r="780" spans="2:2" ht="13.5">
      <c r="B780"/>
    </row>
    <row r="781" spans="2:2" ht="13.5">
      <c r="B781"/>
    </row>
    <row r="782" spans="2:2" ht="13.5">
      <c r="B782"/>
    </row>
    <row r="783" spans="2:2" ht="13.5">
      <c r="B783"/>
    </row>
    <row r="784" spans="2:2" ht="13.5">
      <c r="B784"/>
    </row>
    <row r="785" spans="2:2" ht="13.5">
      <c r="B785"/>
    </row>
    <row r="786" spans="2:2" ht="13.5">
      <c r="B786"/>
    </row>
    <row r="787" spans="2:2" ht="13.5">
      <c r="B787"/>
    </row>
    <row r="788" spans="2:2" ht="13.5">
      <c r="B788"/>
    </row>
    <row r="789" spans="2:2" ht="13.5">
      <c r="B789"/>
    </row>
    <row r="790" spans="2:2" ht="13.5">
      <c r="B790"/>
    </row>
    <row r="791" spans="2:2" ht="13.5">
      <c r="B791"/>
    </row>
    <row r="792" spans="2:2" ht="13.5">
      <c r="B792"/>
    </row>
    <row r="793" spans="2:2" ht="13.5">
      <c r="B793"/>
    </row>
    <row r="794" spans="2:2" ht="13.5">
      <c r="B794"/>
    </row>
    <row r="795" spans="2:2" ht="13.5">
      <c r="B795"/>
    </row>
    <row r="796" spans="2:2" ht="13.5">
      <c r="B796"/>
    </row>
    <row r="797" spans="2:2" ht="13.5">
      <c r="B797"/>
    </row>
    <row r="798" spans="2:2" ht="13.5">
      <c r="B798"/>
    </row>
    <row r="799" spans="2:2" ht="13.5">
      <c r="B799"/>
    </row>
    <row r="800" spans="2:2" ht="13.5">
      <c r="B800"/>
    </row>
    <row r="801" spans="2:2" ht="13.5">
      <c r="B801"/>
    </row>
    <row r="802" spans="2:2" ht="13.5">
      <c r="B802"/>
    </row>
    <row r="803" spans="2:2" ht="13.5">
      <c r="B803"/>
    </row>
    <row r="804" spans="2:2" ht="13.5">
      <c r="B804"/>
    </row>
    <row r="805" spans="2:2" ht="13.5">
      <c r="B805"/>
    </row>
    <row r="806" spans="2:2" ht="13.5">
      <c r="B806"/>
    </row>
    <row r="807" spans="2:2" ht="13.5">
      <c r="B807"/>
    </row>
    <row r="808" spans="2:2" ht="13.5">
      <c r="B808"/>
    </row>
    <row r="809" spans="2:2" ht="13.5">
      <c r="B809"/>
    </row>
    <row r="810" spans="2:2" ht="13.5">
      <c r="B810"/>
    </row>
    <row r="811" spans="2:2" ht="13.5">
      <c r="B811"/>
    </row>
    <row r="812" spans="2:2" ht="13.5">
      <c r="B812"/>
    </row>
    <row r="813" spans="2:2" ht="13.5">
      <c r="B813"/>
    </row>
    <row r="814" spans="2:2" ht="13.5">
      <c r="B814"/>
    </row>
    <row r="815" spans="2:2" ht="13.5">
      <c r="B815"/>
    </row>
    <row r="816" spans="2:2" ht="13.5">
      <c r="B816"/>
    </row>
    <row r="817" spans="2:2" ht="13.5">
      <c r="B817"/>
    </row>
    <row r="818" spans="2:2" ht="13.5">
      <c r="B818"/>
    </row>
    <row r="819" spans="2:2" ht="13.5">
      <c r="B819"/>
    </row>
    <row r="820" spans="2:2" ht="13.5">
      <c r="B820"/>
    </row>
    <row r="821" spans="2:2" ht="13.5">
      <c r="B821"/>
    </row>
    <row r="822" spans="2:2" ht="13.5">
      <c r="B822"/>
    </row>
    <row r="823" spans="2:2" ht="13.5">
      <c r="B823"/>
    </row>
    <row r="824" spans="2:2" ht="13.5">
      <c r="B824"/>
    </row>
    <row r="825" spans="2:2" ht="13.5">
      <c r="B825"/>
    </row>
    <row r="826" spans="2:2" ht="13.5">
      <c r="B826"/>
    </row>
    <row r="827" spans="2:2" ht="13.5">
      <c r="B827"/>
    </row>
    <row r="828" spans="2:2" ht="13.5">
      <c r="B828"/>
    </row>
    <row r="829" spans="2:2" ht="13.5">
      <c r="B829"/>
    </row>
    <row r="830" spans="2:2" ht="13.5">
      <c r="B830"/>
    </row>
    <row r="831" spans="2:2" ht="13.5">
      <c r="B831"/>
    </row>
    <row r="832" spans="2:2" ht="13.5">
      <c r="B832"/>
    </row>
    <row r="833" spans="2:2" ht="13.5">
      <c r="B833"/>
    </row>
    <row r="834" spans="2:2" ht="13.5">
      <c r="B834"/>
    </row>
    <row r="835" spans="2:2" ht="13.5">
      <c r="B835"/>
    </row>
    <row r="836" spans="2:2" ht="13.5">
      <c r="B836"/>
    </row>
    <row r="837" spans="2:2" ht="13.5">
      <c r="B837"/>
    </row>
    <row r="838" spans="2:2" ht="13.5">
      <c r="B838"/>
    </row>
    <row r="839" spans="2:2" ht="13.5">
      <c r="B839"/>
    </row>
    <row r="840" spans="2:2" ht="13.5">
      <c r="B840"/>
    </row>
    <row r="841" spans="2:2" ht="13.5">
      <c r="B841"/>
    </row>
    <row r="842" spans="2:2" ht="13.5">
      <c r="B842"/>
    </row>
    <row r="843" spans="2:2" ht="13.5">
      <c r="B843"/>
    </row>
    <row r="844" spans="2:2" ht="13.5">
      <c r="B844"/>
    </row>
    <row r="845" spans="2:2" ht="13.5">
      <c r="B845"/>
    </row>
    <row r="846" spans="2:2" ht="13.5">
      <c r="B846"/>
    </row>
    <row r="847" spans="2:2" ht="13.5">
      <c r="B847"/>
    </row>
    <row r="848" spans="2:2" ht="13.5">
      <c r="B848"/>
    </row>
    <row r="849" spans="2:2" ht="13.5">
      <c r="B849"/>
    </row>
    <row r="850" spans="2:2" ht="13.5">
      <c r="B850"/>
    </row>
    <row r="851" spans="2:2" ht="13.5">
      <c r="B851"/>
    </row>
    <row r="852" spans="2:2" ht="13.5">
      <c r="B852"/>
    </row>
    <row r="853" spans="2:2" ht="13.5">
      <c r="B853"/>
    </row>
    <row r="854" spans="2:2" ht="13.5">
      <c r="B854"/>
    </row>
    <row r="855" spans="2:2" ht="13.5">
      <c r="B855"/>
    </row>
    <row r="856" spans="2:2" ht="13.5">
      <c r="B856"/>
    </row>
    <row r="857" spans="2:2" ht="13.5">
      <c r="B857"/>
    </row>
    <row r="858" spans="2:2" ht="13.5">
      <c r="B858"/>
    </row>
    <row r="859" spans="2:2" ht="13.5">
      <c r="B859"/>
    </row>
    <row r="860" spans="2:2" ht="13.5">
      <c r="B860"/>
    </row>
    <row r="861" spans="2:2" ht="13.5">
      <c r="B861"/>
    </row>
    <row r="862" spans="2:2" ht="13.5">
      <c r="B862"/>
    </row>
    <row r="863" spans="2:2" ht="13.5">
      <c r="B863"/>
    </row>
    <row r="864" spans="2:2" ht="13.5">
      <c r="B864"/>
    </row>
    <row r="865" spans="2:2" ht="13.5">
      <c r="B865"/>
    </row>
    <row r="866" spans="2:2" ht="13.5">
      <c r="B866"/>
    </row>
    <row r="867" spans="2:2" ht="13.5">
      <c r="B867"/>
    </row>
    <row r="868" spans="2:2" ht="13.5">
      <c r="B868"/>
    </row>
    <row r="869" spans="2:2" ht="13.5">
      <c r="B869"/>
    </row>
    <row r="870" spans="2:2" ht="13.5">
      <c r="B870"/>
    </row>
    <row r="871" spans="2:2" ht="13.5">
      <c r="B871"/>
    </row>
    <row r="872" spans="2:2" ht="13.5">
      <c r="B872"/>
    </row>
    <row r="873" spans="2:2" ht="13.5">
      <c r="B873"/>
    </row>
    <row r="874" spans="2:2" ht="13.5">
      <c r="B874"/>
    </row>
    <row r="875" spans="2:2" ht="13.5">
      <c r="B875"/>
    </row>
    <row r="876" spans="2:2" ht="13.5">
      <c r="B876"/>
    </row>
    <row r="877" spans="2:2" ht="13.5">
      <c r="B877"/>
    </row>
    <row r="878" spans="2:2" ht="13.5">
      <c r="B878"/>
    </row>
    <row r="879" spans="2:2" ht="13.5">
      <c r="B879"/>
    </row>
    <row r="880" spans="2:2" ht="13.5">
      <c r="B880"/>
    </row>
    <row r="881" spans="2:2" ht="13.5">
      <c r="B881"/>
    </row>
    <row r="882" spans="2:2" ht="13.5">
      <c r="B882"/>
    </row>
    <row r="883" spans="2:2" ht="13.5">
      <c r="B883"/>
    </row>
    <row r="884" spans="2:2" ht="13.5">
      <c r="B884"/>
    </row>
    <row r="885" spans="2:2" ht="13.5">
      <c r="B885"/>
    </row>
    <row r="886" spans="2:2" ht="13.5">
      <c r="B886"/>
    </row>
    <row r="887" spans="2:2" ht="13.5">
      <c r="B887"/>
    </row>
    <row r="888" spans="2:2" ht="13.5">
      <c r="B888"/>
    </row>
    <row r="889" spans="2:2" ht="13.5">
      <c r="B889"/>
    </row>
    <row r="890" spans="2:2" ht="13.5">
      <c r="B890"/>
    </row>
    <row r="891" spans="2:2" ht="13.5">
      <c r="B891"/>
    </row>
    <row r="892" spans="2:2" ht="13.5">
      <c r="B892"/>
    </row>
    <row r="893" spans="2:2" ht="13.5">
      <c r="B893"/>
    </row>
    <row r="894" spans="2:2" ht="13.5">
      <c r="B894"/>
    </row>
    <row r="895" spans="2:2" ht="13.5">
      <c r="B895"/>
    </row>
    <row r="896" spans="2:2" ht="13.5">
      <c r="B896"/>
    </row>
    <row r="897" spans="2:2" ht="13.5">
      <c r="B897"/>
    </row>
    <row r="898" spans="2:2" ht="13.5">
      <c r="B898"/>
    </row>
    <row r="899" spans="2:2" ht="13.5">
      <c r="B899"/>
    </row>
    <row r="900" spans="2:2" ht="13.5">
      <c r="B900"/>
    </row>
    <row r="901" spans="2:2" ht="13.5">
      <c r="B901"/>
    </row>
    <row r="902" spans="2:2" ht="13.5">
      <c r="B902"/>
    </row>
    <row r="903" spans="2:2" ht="13.5">
      <c r="B903"/>
    </row>
    <row r="904" spans="2:2" ht="13.5">
      <c r="B904"/>
    </row>
    <row r="905" spans="2:2" ht="13.5">
      <c r="B905"/>
    </row>
    <row r="906" spans="2:2" ht="13.5">
      <c r="B906"/>
    </row>
    <row r="907" spans="2:2" ht="13.5">
      <c r="B907"/>
    </row>
    <row r="908" spans="2:2" ht="13.5">
      <c r="B908"/>
    </row>
    <row r="909" spans="2:2" ht="13.5">
      <c r="B909"/>
    </row>
    <row r="910" spans="2:2" ht="13.5">
      <c r="B910"/>
    </row>
    <row r="911" spans="2:2" ht="13.5">
      <c r="B911"/>
    </row>
    <row r="912" spans="2:2" ht="13.5">
      <c r="B912"/>
    </row>
    <row r="913" spans="2:2" ht="13.5">
      <c r="B913"/>
    </row>
    <row r="914" spans="2:2" ht="13.5">
      <c r="B914"/>
    </row>
    <row r="915" spans="2:2" ht="13.5">
      <c r="B915"/>
    </row>
    <row r="916" spans="2:2" ht="13.5">
      <c r="B916"/>
    </row>
    <row r="917" spans="2:2" ht="13.5">
      <c r="B917"/>
    </row>
    <row r="918" spans="2:2" ht="13.5">
      <c r="B918"/>
    </row>
    <row r="919" spans="2:2" ht="13.5">
      <c r="B919"/>
    </row>
    <row r="920" spans="2:2" ht="13.5">
      <c r="B920"/>
    </row>
    <row r="921" spans="2:2" ht="13.5">
      <c r="B921"/>
    </row>
    <row r="922" spans="2:2" ht="13.5">
      <c r="B922"/>
    </row>
    <row r="923" spans="2:2" ht="13.5">
      <c r="B923"/>
    </row>
    <row r="924" spans="2:2" ht="13.5">
      <c r="B924"/>
    </row>
    <row r="925" spans="2:2" ht="13.5">
      <c r="B925"/>
    </row>
    <row r="926" spans="2:2" ht="13.5">
      <c r="B926"/>
    </row>
    <row r="927" spans="2:2" ht="13.5">
      <c r="B927"/>
    </row>
    <row r="928" spans="2:2" ht="13.5">
      <c r="B928"/>
    </row>
    <row r="929" spans="2:2" ht="13.5">
      <c r="B929"/>
    </row>
    <row r="930" spans="2:2" ht="13.5">
      <c r="B930"/>
    </row>
    <row r="931" spans="2:2" ht="13.5">
      <c r="B931"/>
    </row>
    <row r="932" spans="2:2" ht="13.5">
      <c r="B932"/>
    </row>
    <row r="933" spans="2:2" ht="13.5">
      <c r="B933"/>
    </row>
    <row r="934" spans="2:2" ht="13.5">
      <c r="B934"/>
    </row>
    <row r="935" spans="2:2" ht="13.5">
      <c r="B935"/>
    </row>
    <row r="936" spans="2:2" ht="13.5">
      <c r="B936"/>
    </row>
    <row r="937" spans="2:2" ht="13.5">
      <c r="B937"/>
    </row>
    <row r="938" spans="2:2" ht="13.5">
      <c r="B938"/>
    </row>
    <row r="939" spans="2:2" ht="13.5">
      <c r="B939"/>
    </row>
    <row r="940" spans="2:2" ht="13.5">
      <c r="B940"/>
    </row>
    <row r="941" spans="2:2" ht="13.5">
      <c r="B941"/>
    </row>
    <row r="942" spans="2:2" ht="13.5">
      <c r="B942"/>
    </row>
    <row r="943" spans="2:2" ht="13.5">
      <c r="B943"/>
    </row>
    <row r="944" spans="2:2" ht="13.5">
      <c r="B944"/>
    </row>
    <row r="945" spans="2:2" ht="13.5">
      <c r="B945"/>
    </row>
    <row r="946" spans="2:2" ht="13.5">
      <c r="B946"/>
    </row>
    <row r="947" spans="2:2" ht="13.5">
      <c r="B947"/>
    </row>
    <row r="948" spans="2:2" ht="13.5">
      <c r="B948"/>
    </row>
    <row r="949" spans="2:2" ht="13.5">
      <c r="B949"/>
    </row>
    <row r="950" spans="2:2" ht="13.5">
      <c r="B950"/>
    </row>
    <row r="951" spans="2:2" ht="13.5">
      <c r="B951"/>
    </row>
    <row r="952" spans="2:2" ht="13.5">
      <c r="B952"/>
    </row>
    <row r="953" spans="2:2" ht="13.5">
      <c r="B953"/>
    </row>
    <row r="954" spans="2:2" ht="13.5">
      <c r="B954"/>
    </row>
    <row r="955" spans="2:2" ht="13.5">
      <c r="B955"/>
    </row>
    <row r="956" spans="2:2" ht="13.5">
      <c r="B956"/>
    </row>
    <row r="957" spans="2:2" ht="13.5">
      <c r="B957"/>
    </row>
    <row r="958" spans="2:2" ht="13.5">
      <c r="B958"/>
    </row>
    <row r="959" spans="2:2" ht="13.5">
      <c r="B959"/>
    </row>
    <row r="960" spans="2:2" ht="13.5">
      <c r="B960"/>
    </row>
    <row r="961" spans="2:2" ht="13.5">
      <c r="B961"/>
    </row>
    <row r="962" spans="2:2" ht="13.5">
      <c r="B962"/>
    </row>
    <row r="963" spans="2:2" ht="13.5">
      <c r="B963"/>
    </row>
    <row r="964" spans="2:2" ht="13.5">
      <c r="B964"/>
    </row>
    <row r="965" spans="2:2" ht="13.5">
      <c r="B965"/>
    </row>
    <row r="966" spans="2:2" ht="13.5">
      <c r="B966"/>
    </row>
    <row r="967" spans="2:2" ht="13.5">
      <c r="B967"/>
    </row>
    <row r="968" spans="2:2" ht="13.5">
      <c r="B968"/>
    </row>
    <row r="969" spans="2:2" ht="13.5">
      <c r="B969"/>
    </row>
    <row r="970" spans="2:2" ht="13.5">
      <c r="B970"/>
    </row>
    <row r="971" spans="2:2" ht="13.5">
      <c r="B971"/>
    </row>
    <row r="972" spans="2:2" ht="13.5">
      <c r="B972"/>
    </row>
    <row r="973" spans="2:2" ht="13.5">
      <c r="B973"/>
    </row>
    <row r="974" spans="2:2" ht="13.5">
      <c r="B974"/>
    </row>
    <row r="975" spans="2:2" ht="13.5">
      <c r="B975"/>
    </row>
    <row r="976" spans="2:2" ht="13.5">
      <c r="B976"/>
    </row>
    <row r="977" spans="2:2" ht="13.5">
      <c r="B977"/>
    </row>
    <row r="978" spans="2:2" ht="13.5">
      <c r="B978"/>
    </row>
    <row r="979" spans="2:2" ht="13.5">
      <c r="B979"/>
    </row>
    <row r="980" spans="2:2" ht="13.5">
      <c r="B980"/>
    </row>
    <row r="981" spans="2:2" ht="13.5">
      <c r="B981"/>
    </row>
    <row r="982" spans="2:2" ht="13.5">
      <c r="B982"/>
    </row>
    <row r="983" spans="2:2" ht="13.5">
      <c r="B983"/>
    </row>
    <row r="984" spans="2:2" ht="13.5">
      <c r="B984"/>
    </row>
    <row r="985" spans="2:2" ht="13.5">
      <c r="B985"/>
    </row>
    <row r="986" spans="2:2" ht="13.5">
      <c r="B986"/>
    </row>
    <row r="987" spans="2:2" ht="13.5">
      <c r="B987"/>
    </row>
    <row r="988" spans="2:2" ht="13.5">
      <c r="B988"/>
    </row>
    <row r="989" spans="2:2" ht="13.5">
      <c r="B989"/>
    </row>
    <row r="990" spans="2:2" ht="13.5">
      <c r="B990"/>
    </row>
    <row r="991" spans="2:2" ht="13.5">
      <c r="B991"/>
    </row>
    <row r="992" spans="2:2" ht="13.5">
      <c r="B992"/>
    </row>
    <row r="993" spans="2:2" ht="13.5">
      <c r="B993"/>
    </row>
    <row r="994" spans="2:2" ht="13.5">
      <c r="B994"/>
    </row>
    <row r="995" spans="2:2" ht="13.5">
      <c r="B995"/>
    </row>
    <row r="996" spans="2:2" ht="13.5">
      <c r="B996"/>
    </row>
    <row r="997" spans="2:2" ht="13.5">
      <c r="B997"/>
    </row>
    <row r="998" spans="2:2" ht="13.5">
      <c r="B998"/>
    </row>
    <row r="999" spans="2:2" ht="13.5">
      <c r="B999"/>
    </row>
    <row r="1000" spans="2:2" ht="13.5">
      <c r="B1000"/>
    </row>
    <row r="1001" spans="2:2" ht="13.5">
      <c r="B1001"/>
    </row>
    <row r="1002" spans="2:2" ht="13.5">
      <c r="B1002"/>
    </row>
    <row r="1003" spans="2:2" ht="13.5">
      <c r="B1003"/>
    </row>
    <row r="1004" spans="2:2" ht="13.5">
      <c r="B1004"/>
    </row>
    <row r="1005" spans="2:2" ht="13.5">
      <c r="B1005"/>
    </row>
    <row r="1006" spans="2:2" ht="13.5">
      <c r="B1006"/>
    </row>
    <row r="1007" spans="2:2" ht="13.5">
      <c r="B1007"/>
    </row>
    <row r="1008" spans="2:2" ht="13.5">
      <c r="B1008"/>
    </row>
    <row r="1009" spans="2:2" ht="13.5">
      <c r="B1009"/>
    </row>
    <row r="1010" spans="2:2" ht="13.5">
      <c r="B1010"/>
    </row>
    <row r="1011" spans="2:2" ht="13.5">
      <c r="B1011"/>
    </row>
    <row r="1012" spans="2:2" ht="13.5">
      <c r="B1012"/>
    </row>
    <row r="1013" spans="2:2" ht="13.5">
      <c r="B1013"/>
    </row>
    <row r="1014" spans="2:2" ht="13.5">
      <c r="B1014"/>
    </row>
    <row r="1015" spans="2:2" ht="13.5">
      <c r="B1015"/>
    </row>
    <row r="1016" spans="2:2" ht="13.5">
      <c r="B1016"/>
    </row>
    <row r="1017" spans="2:2" ht="13.5">
      <c r="B1017"/>
    </row>
    <row r="1018" spans="2:2" ht="13.5">
      <c r="B1018"/>
    </row>
    <row r="1019" spans="2:2" ht="13.5">
      <c r="B1019"/>
    </row>
    <row r="1020" spans="2:2" ht="13.5">
      <c r="B1020"/>
    </row>
    <row r="1021" spans="2:2" ht="13.5">
      <c r="B1021"/>
    </row>
    <row r="1022" spans="2:2" ht="13.5">
      <c r="B1022"/>
    </row>
    <row r="1023" spans="2:2" ht="13.5">
      <c r="B1023"/>
    </row>
    <row r="1024" spans="2:2" ht="13.5">
      <c r="B1024"/>
    </row>
    <row r="1025" spans="2:2" ht="13.5">
      <c r="B1025"/>
    </row>
    <row r="1026" spans="2:2" ht="13.5">
      <c r="B1026"/>
    </row>
    <row r="1027" spans="2:2" ht="13.5">
      <c r="B1027"/>
    </row>
    <row r="1028" spans="2:2" ht="13.5">
      <c r="B1028"/>
    </row>
    <row r="1029" spans="2:2" ht="13.5">
      <c r="B1029"/>
    </row>
    <row r="1030" spans="2:2" ht="13.5">
      <c r="B1030"/>
    </row>
    <row r="1031" spans="2:2" ht="13.5">
      <c r="B1031"/>
    </row>
    <row r="1032" spans="2:2" ht="13.5">
      <c r="B1032"/>
    </row>
    <row r="1033" spans="2:2" ht="13.5">
      <c r="B1033"/>
    </row>
    <row r="1034" spans="2:2" ht="13.5">
      <c r="B1034"/>
    </row>
    <row r="1035" spans="2:2" ht="13.5">
      <c r="B1035"/>
    </row>
    <row r="1036" spans="2:2" ht="13.5">
      <c r="B1036"/>
    </row>
    <row r="1037" spans="2:2" ht="13.5">
      <c r="B1037"/>
    </row>
    <row r="1038" spans="2:2" ht="13.5">
      <c r="B1038"/>
    </row>
    <row r="1039" spans="2:2" ht="13.5">
      <c r="B1039"/>
    </row>
    <row r="1040" spans="2:2" ht="13.5">
      <c r="B1040"/>
    </row>
    <row r="1041" spans="2:2" ht="13.5">
      <c r="B1041"/>
    </row>
    <row r="1042" spans="2:2" ht="13.5">
      <c r="B1042"/>
    </row>
    <row r="1043" spans="2:2" ht="13.5">
      <c r="B1043"/>
    </row>
    <row r="1044" spans="2:2" ht="13.5">
      <c r="B1044"/>
    </row>
    <row r="1045" spans="2:2" ht="13.5">
      <c r="B1045"/>
    </row>
    <row r="1046" spans="2:2" ht="13.5">
      <c r="B1046"/>
    </row>
    <row r="1047" spans="2:2" ht="13.5">
      <c r="B1047"/>
    </row>
    <row r="1048" spans="2:2" ht="13.5">
      <c r="B1048"/>
    </row>
    <row r="1049" spans="2:2" ht="13.5">
      <c r="B1049"/>
    </row>
    <row r="1050" spans="2:2" ht="13.5">
      <c r="B1050"/>
    </row>
    <row r="1051" spans="2:2" ht="13.5">
      <c r="B1051"/>
    </row>
    <row r="1052" spans="2:2" ht="13.5">
      <c r="B1052"/>
    </row>
    <row r="1053" spans="2:2" ht="13.5">
      <c r="B1053"/>
    </row>
    <row r="1054" spans="2:2" ht="13.5">
      <c r="B1054"/>
    </row>
    <row r="1055" spans="2:2" ht="13.5">
      <c r="B1055"/>
    </row>
    <row r="1056" spans="2:2" ht="13.5">
      <c r="B1056"/>
    </row>
    <row r="1057" spans="2:2" ht="13.5">
      <c r="B1057"/>
    </row>
    <row r="1058" spans="2:2" ht="13.5">
      <c r="B1058"/>
    </row>
    <row r="1059" spans="2:2" ht="13.5">
      <c r="B1059"/>
    </row>
    <row r="1060" spans="2:2" ht="13.5">
      <c r="B1060"/>
    </row>
    <row r="1061" spans="2:2" ht="13.5">
      <c r="B1061"/>
    </row>
    <row r="1062" spans="2:2" ht="13.5">
      <c r="B1062"/>
    </row>
    <row r="1063" spans="2:2" ht="13.5">
      <c r="B1063"/>
    </row>
    <row r="1064" spans="2:2" ht="13.5">
      <c r="B1064"/>
    </row>
    <row r="1065" spans="2:2" ht="13.5">
      <c r="B1065"/>
    </row>
    <row r="1066" spans="2:2" ht="13.5">
      <c r="B1066"/>
    </row>
    <row r="1067" spans="2:2" ht="13.5">
      <c r="B1067"/>
    </row>
    <row r="1068" spans="2:2" ht="13.5">
      <c r="B1068"/>
    </row>
    <row r="1069" spans="2:2" ht="13.5">
      <c r="B1069"/>
    </row>
    <row r="1070" spans="2:2" ht="13.5">
      <c r="B1070"/>
    </row>
    <row r="1071" spans="2:2" ht="13.5">
      <c r="B1071"/>
    </row>
    <row r="1072" spans="2:2" ht="13.5">
      <c r="B1072"/>
    </row>
    <row r="1073" spans="2:2" ht="13.5">
      <c r="B1073"/>
    </row>
    <row r="1074" spans="2:2" ht="13.5">
      <c r="B1074"/>
    </row>
    <row r="1075" spans="2:2" ht="13.5">
      <c r="B1075"/>
    </row>
    <row r="1076" spans="2:2" ht="13.5">
      <c r="B1076"/>
    </row>
    <row r="1077" spans="2:2" ht="13.5">
      <c r="B1077"/>
    </row>
    <row r="1078" spans="2:2" ht="13.5">
      <c r="B1078"/>
    </row>
    <row r="1079" spans="2:2" ht="13.5">
      <c r="B1079"/>
    </row>
    <row r="1080" spans="2:2" ht="13.5">
      <c r="B1080"/>
    </row>
    <row r="1081" spans="2:2" ht="13.5">
      <c r="B1081"/>
    </row>
    <row r="1082" spans="2:2" ht="13.5">
      <c r="B1082"/>
    </row>
    <row r="1083" spans="2:2" ht="13.5">
      <c r="B1083"/>
    </row>
    <row r="1084" spans="2:2" ht="13.5">
      <c r="B1084"/>
    </row>
    <row r="1085" spans="2:2" ht="13.5">
      <c r="B1085"/>
    </row>
    <row r="1086" spans="2:2" ht="13.5">
      <c r="B1086"/>
    </row>
    <row r="1087" spans="2:2" ht="13.5">
      <c r="B1087"/>
    </row>
    <row r="1088" spans="2:2" ht="13.5">
      <c r="B1088"/>
    </row>
    <row r="1089" spans="2:2" ht="13.5">
      <c r="B1089"/>
    </row>
    <row r="1090" spans="2:2" ht="13.5">
      <c r="B1090"/>
    </row>
    <row r="1091" spans="2:2" ht="13.5">
      <c r="B1091"/>
    </row>
    <row r="1092" spans="2:2" ht="13.5">
      <c r="B1092"/>
    </row>
    <row r="1093" spans="2:2" ht="13.5">
      <c r="B1093"/>
    </row>
    <row r="1094" spans="2:2" ht="13.5">
      <c r="B1094"/>
    </row>
    <row r="1095" spans="2:2" ht="13.5">
      <c r="B1095"/>
    </row>
    <row r="1096" spans="2:2" ht="13.5">
      <c r="B1096"/>
    </row>
    <row r="1097" spans="2:2" ht="13.5">
      <c r="B1097"/>
    </row>
    <row r="1098" spans="2:2" ht="13.5">
      <c r="B1098"/>
    </row>
    <row r="1099" spans="2:2" ht="13.5">
      <c r="B1099"/>
    </row>
    <row r="1100" spans="2:2" ht="13.5">
      <c r="B1100"/>
    </row>
    <row r="1101" spans="2:2" ht="13.5">
      <c r="B1101"/>
    </row>
    <row r="1102" spans="2:2" ht="13.5">
      <c r="B1102"/>
    </row>
    <row r="1103" spans="2:2" ht="13.5">
      <c r="B1103"/>
    </row>
    <row r="1104" spans="2:2" ht="13.5">
      <c r="B1104"/>
    </row>
    <row r="1105" spans="2:2" ht="13.5">
      <c r="B1105"/>
    </row>
    <row r="1106" spans="2:2" ht="13.5">
      <c r="B1106"/>
    </row>
    <row r="1107" spans="2:2" ht="13.5">
      <c r="B1107"/>
    </row>
    <row r="1108" spans="2:2" ht="13.5">
      <c r="B1108"/>
    </row>
    <row r="1109" spans="2:2" ht="13.5">
      <c r="B1109"/>
    </row>
    <row r="1110" spans="2:2" ht="13.5">
      <c r="B1110"/>
    </row>
    <row r="1111" spans="2:2" ht="13.5">
      <c r="B1111"/>
    </row>
    <row r="1112" spans="2:2" ht="13.5">
      <c r="B1112"/>
    </row>
    <row r="1113" spans="2:2" ht="13.5">
      <c r="B1113"/>
    </row>
    <row r="1114" spans="2:2" ht="13.5">
      <c r="B1114"/>
    </row>
    <row r="1115" spans="2:2" ht="13.5">
      <c r="B1115"/>
    </row>
    <row r="1116" spans="2:2" ht="13.5">
      <c r="B1116"/>
    </row>
    <row r="1117" spans="2:2" ht="13.5">
      <c r="B1117"/>
    </row>
    <row r="1118" spans="2:2" ht="13.5">
      <c r="B1118"/>
    </row>
    <row r="1119" spans="2:2" ht="13.5">
      <c r="B1119"/>
    </row>
    <row r="1120" spans="2:2" ht="13.5">
      <c r="B1120"/>
    </row>
    <row r="1121" spans="2:2" ht="13.5">
      <c r="B1121"/>
    </row>
    <row r="1122" spans="2:2" ht="13.5">
      <c r="B1122"/>
    </row>
    <row r="1123" spans="2:2" ht="13.5">
      <c r="B1123"/>
    </row>
    <row r="1124" spans="2:2" ht="13.5">
      <c r="B1124"/>
    </row>
    <row r="1125" spans="2:2" ht="13.5">
      <c r="B1125"/>
    </row>
    <row r="1126" spans="2:2" ht="13.5">
      <c r="B1126"/>
    </row>
    <row r="1127" spans="2:2" ht="13.5">
      <c r="B1127"/>
    </row>
    <row r="1128" spans="2:2" ht="13.5">
      <c r="B1128"/>
    </row>
    <row r="1129" spans="2:2" ht="13.5">
      <c r="B1129"/>
    </row>
    <row r="1130" spans="2:2" ht="13.5">
      <c r="B1130"/>
    </row>
    <row r="1131" spans="2:2" ht="13.5">
      <c r="B1131"/>
    </row>
    <row r="1132" spans="2:2" ht="13.5">
      <c r="B1132"/>
    </row>
    <row r="1133" spans="2:2" ht="13.5">
      <c r="B1133"/>
    </row>
    <row r="1134" spans="2:2" ht="13.5">
      <c r="B1134"/>
    </row>
    <row r="1135" spans="2:2" ht="13.5">
      <c r="B1135"/>
    </row>
    <row r="1136" spans="2:2" ht="13.5">
      <c r="B1136"/>
    </row>
    <row r="1137" spans="2:2" ht="13.5">
      <c r="B1137"/>
    </row>
    <row r="1138" spans="2:2" ht="13.5">
      <c r="B1138"/>
    </row>
    <row r="1139" spans="2:2" ht="13.5">
      <c r="B1139"/>
    </row>
    <row r="1140" spans="2:2" ht="13.5">
      <c r="B1140"/>
    </row>
    <row r="1141" spans="2:2" ht="13.5">
      <c r="B1141"/>
    </row>
    <row r="1142" spans="2:2" ht="13.5">
      <c r="B1142"/>
    </row>
    <row r="1143" spans="2:2" ht="13.5">
      <c r="B1143"/>
    </row>
    <row r="1144" spans="2:2" ht="13.5">
      <c r="B1144"/>
    </row>
    <row r="1145" spans="2:2" ht="13.5">
      <c r="B1145"/>
    </row>
    <row r="1146" spans="2:2" ht="13.5">
      <c r="B1146"/>
    </row>
    <row r="1147" spans="2:2" ht="13.5">
      <c r="B1147"/>
    </row>
    <row r="1148" spans="2:2" ht="13.5">
      <c r="B1148"/>
    </row>
    <row r="1149" spans="2:2" ht="13.5">
      <c r="B1149"/>
    </row>
    <row r="1150" spans="2:2" ht="13.5">
      <c r="B1150"/>
    </row>
    <row r="1151" spans="2:2" ht="13.5">
      <c r="B1151"/>
    </row>
    <row r="1152" spans="2:2" ht="13.5">
      <c r="B1152"/>
    </row>
    <row r="1153" spans="2:2" ht="13.5">
      <c r="B1153"/>
    </row>
    <row r="1154" spans="2:2" ht="13.5">
      <c r="B1154"/>
    </row>
    <row r="1155" spans="2:2" ht="13.5">
      <c r="B1155"/>
    </row>
    <row r="1156" spans="2:2" ht="13.5">
      <c r="B1156"/>
    </row>
    <row r="1157" spans="2:2" ht="13.5">
      <c r="B1157"/>
    </row>
    <row r="1158" spans="2:2" ht="13.5">
      <c r="B1158"/>
    </row>
    <row r="1159" spans="2:2" ht="13.5">
      <c r="B1159"/>
    </row>
    <row r="1160" spans="2:2" ht="13.5">
      <c r="B1160"/>
    </row>
    <row r="1161" spans="2:2" ht="13.5">
      <c r="B1161"/>
    </row>
    <row r="1162" spans="2:2" ht="13.5">
      <c r="B1162"/>
    </row>
    <row r="1163" spans="2:2" ht="13.5">
      <c r="B1163"/>
    </row>
    <row r="1164" spans="2:2" ht="13.5">
      <c r="B1164"/>
    </row>
    <row r="1165" spans="2:2" ht="13.5">
      <c r="B1165"/>
    </row>
    <row r="1166" spans="2:2" ht="13.5">
      <c r="B1166"/>
    </row>
    <row r="1167" spans="2:2" ht="13.5">
      <c r="B1167"/>
    </row>
    <row r="1168" spans="2:2" ht="13.5">
      <c r="B1168"/>
    </row>
    <row r="1169" spans="2:2" ht="13.5">
      <c r="B1169"/>
    </row>
    <row r="1170" spans="2:2" ht="13.5">
      <c r="B1170"/>
    </row>
    <row r="1171" spans="2:2" ht="13.5">
      <c r="B1171"/>
    </row>
    <row r="1172" spans="2:2" ht="13.5">
      <c r="B1172"/>
    </row>
    <row r="1173" spans="2:2" ht="13.5">
      <c r="B1173"/>
    </row>
    <row r="1174" spans="2:2" ht="13.5">
      <c r="B1174"/>
    </row>
    <row r="1175" spans="2:2" ht="13.5">
      <c r="B1175"/>
    </row>
    <row r="1176" spans="2:2" ht="13.5">
      <c r="B1176"/>
    </row>
    <row r="1177" spans="2:2" ht="13.5">
      <c r="B1177"/>
    </row>
    <row r="1178" spans="2:2" ht="13.5">
      <c r="B1178"/>
    </row>
    <row r="1179" spans="2:2" ht="13.5">
      <c r="B1179"/>
    </row>
    <row r="1180" spans="2:2" ht="13.5">
      <c r="B1180"/>
    </row>
    <row r="1181" spans="2:2" ht="13.5">
      <c r="B1181"/>
    </row>
    <row r="1182" spans="2:2" ht="13.5">
      <c r="B1182"/>
    </row>
    <row r="1183" spans="2:2" ht="13.5">
      <c r="B1183"/>
    </row>
    <row r="1184" spans="2:2" ht="13.5">
      <c r="B1184"/>
    </row>
    <row r="1185" spans="2:2" ht="13.5">
      <c r="B1185"/>
    </row>
    <row r="1186" spans="2:2" ht="13.5">
      <c r="B1186"/>
    </row>
    <row r="1187" spans="2:2" ht="13.5">
      <c r="B1187"/>
    </row>
    <row r="1188" spans="2:2" ht="13.5">
      <c r="B1188"/>
    </row>
    <row r="1189" spans="2:2" ht="13.5">
      <c r="B1189"/>
    </row>
    <row r="1190" spans="2:2" ht="13.5">
      <c r="B1190"/>
    </row>
    <row r="1191" spans="2:2" ht="13.5">
      <c r="B1191"/>
    </row>
    <row r="1192" spans="2:2" ht="13.5">
      <c r="B1192"/>
    </row>
    <row r="1193" spans="2:2" ht="13.5">
      <c r="B1193"/>
    </row>
    <row r="1194" spans="2:2" ht="13.5">
      <c r="B1194"/>
    </row>
    <row r="1195" spans="2:2" ht="13.5">
      <c r="B1195"/>
    </row>
    <row r="1196" spans="2:2" ht="13.5">
      <c r="B1196"/>
    </row>
    <row r="1197" spans="2:2" ht="13.5">
      <c r="B1197"/>
    </row>
    <row r="1198" spans="2:2" ht="13.5">
      <c r="B1198"/>
    </row>
    <row r="1199" spans="2:2" ht="13.5">
      <c r="B1199"/>
    </row>
    <row r="1200" spans="2:2" ht="13.5">
      <c r="B1200"/>
    </row>
    <row r="1201" spans="2:2" ht="13.5">
      <c r="B1201"/>
    </row>
    <row r="1202" spans="2:2" ht="13.5">
      <c r="B1202"/>
    </row>
    <row r="1203" spans="2:2" ht="13.5">
      <c r="B1203"/>
    </row>
    <row r="1204" spans="2:2" ht="13.5">
      <c r="B1204"/>
    </row>
    <row r="1205" spans="2:2" ht="13.5">
      <c r="B1205"/>
    </row>
    <row r="1206" spans="2:2" ht="13.5">
      <c r="B1206"/>
    </row>
    <row r="1207" spans="2:2" ht="13.5">
      <c r="B1207"/>
    </row>
    <row r="1208" spans="2:2" ht="13.5">
      <c r="B1208"/>
    </row>
    <row r="1209" spans="2:2" ht="13.5">
      <c r="B1209"/>
    </row>
    <row r="1210" spans="2:2" ht="13.5">
      <c r="B1210"/>
    </row>
    <row r="1211" spans="2:2" ht="13.5">
      <c r="B1211"/>
    </row>
    <row r="1212" spans="2:2" ht="13.5">
      <c r="B1212"/>
    </row>
    <row r="1213" spans="2:2" ht="13.5">
      <c r="B1213"/>
    </row>
    <row r="1214" spans="2:2" ht="13.5">
      <c r="B1214"/>
    </row>
    <row r="1215" spans="2:2" ht="13.5">
      <c r="B1215"/>
    </row>
    <row r="1216" spans="2:2" ht="13.5">
      <c r="B1216"/>
    </row>
    <row r="1217" spans="2:2" ht="13.5">
      <c r="B1217"/>
    </row>
    <row r="1218" spans="2:2" ht="13.5">
      <c r="B1218"/>
    </row>
    <row r="1219" spans="2:2" ht="13.5">
      <c r="B1219"/>
    </row>
    <row r="1220" spans="2:2" ht="13.5">
      <c r="B1220"/>
    </row>
    <row r="1221" spans="2:2" ht="13.5">
      <c r="B1221"/>
    </row>
    <row r="1222" spans="2:2" ht="13.5">
      <c r="B1222"/>
    </row>
    <row r="1223" spans="2:2" ht="13.5">
      <c r="B1223"/>
    </row>
    <row r="1224" spans="2:2" ht="13.5">
      <c r="B1224"/>
    </row>
    <row r="1225" spans="2:2" ht="13.5">
      <c r="B1225"/>
    </row>
    <row r="1226" spans="2:2" ht="13.5">
      <c r="B1226"/>
    </row>
    <row r="1227" spans="2:2" ht="13.5">
      <c r="B1227"/>
    </row>
    <row r="1228" spans="2:2" ht="13.5">
      <c r="B1228"/>
    </row>
    <row r="1229" spans="2:2" ht="13.5">
      <c r="B1229"/>
    </row>
    <row r="1230" spans="2:2" ht="13.5">
      <c r="B1230"/>
    </row>
    <row r="1231" spans="2:2" ht="13.5">
      <c r="B1231"/>
    </row>
    <row r="1232" spans="2:2" ht="13.5">
      <c r="B1232"/>
    </row>
    <row r="1233" spans="2:2" ht="13.5">
      <c r="B1233"/>
    </row>
    <row r="1234" spans="2:2" ht="13.5">
      <c r="B1234"/>
    </row>
    <row r="1235" spans="2:2" ht="13.5">
      <c r="B1235"/>
    </row>
    <row r="1236" spans="2:2" ht="13.5">
      <c r="B1236"/>
    </row>
    <row r="1237" spans="2:2" ht="13.5">
      <c r="B1237"/>
    </row>
    <row r="1238" spans="2:2" ht="13.5">
      <c r="B1238"/>
    </row>
    <row r="1239" spans="2:2" ht="13.5">
      <c r="B1239"/>
    </row>
    <row r="1240" spans="2:2" ht="13.5">
      <c r="B1240"/>
    </row>
    <row r="1241" spans="2:2" ht="13.5">
      <c r="B1241"/>
    </row>
    <row r="1242" spans="2:2" ht="13.5">
      <c r="B1242"/>
    </row>
    <row r="1243" spans="2:2" ht="13.5">
      <c r="B1243"/>
    </row>
    <row r="1244" spans="2:2" ht="13.5">
      <c r="B1244"/>
    </row>
    <row r="1245" spans="2:2" ht="13.5">
      <c r="B1245"/>
    </row>
    <row r="1246" spans="2:2" ht="13.5">
      <c r="B1246"/>
    </row>
    <row r="1247" spans="2:2" ht="13.5">
      <c r="B1247"/>
    </row>
    <row r="1248" spans="2:2" ht="13.5">
      <c r="B1248"/>
    </row>
    <row r="1249" spans="2:2" ht="13.5">
      <c r="B1249"/>
    </row>
    <row r="1250" spans="2:2" ht="13.5">
      <c r="B1250"/>
    </row>
    <row r="1251" spans="2:2" ht="13.5">
      <c r="B1251"/>
    </row>
    <row r="1252" spans="2:2" ht="13.5">
      <c r="B1252"/>
    </row>
    <row r="1253" spans="2:2" ht="13.5">
      <c r="B1253"/>
    </row>
    <row r="1254" spans="2:2" ht="13.5">
      <c r="B1254"/>
    </row>
    <row r="1255" spans="2:2" ht="13.5">
      <c r="B1255"/>
    </row>
    <row r="1256" spans="2:2" ht="13.5">
      <c r="B1256"/>
    </row>
    <row r="1257" spans="2:2" ht="13.5">
      <c r="B1257"/>
    </row>
    <row r="1258" spans="2:2" ht="13.5">
      <c r="B1258"/>
    </row>
    <row r="1259" spans="2:2" ht="13.5">
      <c r="B1259"/>
    </row>
    <row r="1260" spans="2:2" ht="13.5">
      <c r="B1260"/>
    </row>
    <row r="1261" spans="2:2" ht="13.5">
      <c r="B1261"/>
    </row>
    <row r="1262" spans="2:2" ht="13.5">
      <c r="B1262"/>
    </row>
    <row r="1263" spans="2:2" ht="13.5">
      <c r="B1263"/>
    </row>
    <row r="1264" spans="2:2" ht="13.5">
      <c r="B1264"/>
    </row>
    <row r="1265" spans="2:2" ht="13.5">
      <c r="B1265"/>
    </row>
    <row r="1266" spans="2:2" ht="13.5">
      <c r="B1266"/>
    </row>
    <row r="1267" spans="2:2" ht="13.5">
      <c r="B1267"/>
    </row>
    <row r="1268" spans="2:2" ht="13.5">
      <c r="B1268"/>
    </row>
    <row r="1269" spans="2:2" ht="13.5">
      <c r="B1269"/>
    </row>
    <row r="1270" spans="2:2" ht="13.5">
      <c r="B1270"/>
    </row>
    <row r="1271" spans="2:2" ht="13.5">
      <c r="B1271"/>
    </row>
    <row r="1272" spans="2:2" ht="13.5">
      <c r="B1272"/>
    </row>
    <row r="1273" spans="2:2" ht="13.5">
      <c r="B1273"/>
    </row>
    <row r="1274" spans="2:2" ht="13.5">
      <c r="B1274"/>
    </row>
    <row r="1275" spans="2:2" ht="13.5">
      <c r="B1275"/>
    </row>
    <row r="1276" spans="2:2" ht="13.5">
      <c r="B1276"/>
    </row>
    <row r="1277" spans="2:2" ht="13.5">
      <c r="B1277"/>
    </row>
    <row r="1278" spans="2:2" ht="13.5">
      <c r="B1278"/>
    </row>
    <row r="1279" spans="2:2" ht="13.5">
      <c r="B1279"/>
    </row>
    <row r="1280" spans="2:2" ht="13.5">
      <c r="B1280"/>
    </row>
    <row r="1281" spans="2:2" ht="13.5">
      <c r="B1281"/>
    </row>
    <row r="1282" spans="2:2" ht="13.5">
      <c r="B1282"/>
    </row>
    <row r="1283" spans="2:2" ht="13.5">
      <c r="B1283"/>
    </row>
    <row r="1284" spans="2:2" ht="13.5">
      <c r="B1284"/>
    </row>
    <row r="1285" spans="2:2" ht="13.5">
      <c r="B1285"/>
    </row>
    <row r="1286" spans="2:2" ht="13.5">
      <c r="B1286"/>
    </row>
    <row r="1287" spans="2:2" ht="13.5">
      <c r="B1287"/>
    </row>
    <row r="1288" spans="2:2" ht="13.5">
      <c r="B1288"/>
    </row>
    <row r="1289" spans="2:2" ht="13.5">
      <c r="B1289"/>
    </row>
    <row r="1290" spans="2:2" ht="13.5">
      <c r="B1290"/>
    </row>
    <row r="1291" spans="2:2" ht="13.5">
      <c r="B1291"/>
    </row>
    <row r="1292" spans="2:2" ht="13.5">
      <c r="B1292"/>
    </row>
    <row r="1293" spans="2:2" ht="13.5">
      <c r="B1293"/>
    </row>
    <row r="1294" spans="2:2" ht="13.5">
      <c r="B1294"/>
    </row>
    <row r="1295" spans="2:2" ht="13.5">
      <c r="B1295"/>
    </row>
    <row r="1296" spans="2:2" ht="13.5">
      <c r="B1296"/>
    </row>
    <row r="1297" spans="2:2" ht="13.5">
      <c r="B1297"/>
    </row>
    <row r="1298" spans="2:2" ht="13.5">
      <c r="B1298"/>
    </row>
    <row r="1299" spans="2:2" ht="13.5">
      <c r="B1299"/>
    </row>
    <row r="1300" spans="2:2" ht="13.5">
      <c r="B1300"/>
    </row>
    <row r="1301" spans="2:2" ht="13.5">
      <c r="B1301"/>
    </row>
    <row r="1302" spans="2:2" ht="13.5">
      <c r="B1302"/>
    </row>
    <row r="1303" spans="2:2" ht="13.5">
      <c r="B1303"/>
    </row>
    <row r="1304" spans="2:2" ht="13.5">
      <c r="B1304"/>
    </row>
    <row r="1305" spans="2:2" ht="13.5">
      <c r="B1305"/>
    </row>
    <row r="1306" spans="2:2" ht="13.5">
      <c r="B1306"/>
    </row>
    <row r="1307" spans="2:2" ht="13.5">
      <c r="B1307"/>
    </row>
    <row r="1308" spans="2:2" ht="13.5">
      <c r="B1308"/>
    </row>
    <row r="1309" spans="2:2" ht="13.5">
      <c r="B1309"/>
    </row>
    <row r="1310" spans="2:2" ht="13.5">
      <c r="B1310"/>
    </row>
    <row r="1311" spans="2:2" ht="13.5">
      <c r="B1311"/>
    </row>
    <row r="1312" spans="2:2" ht="13.5">
      <c r="B1312"/>
    </row>
    <row r="1313" spans="2:2" ht="13.5">
      <c r="B1313"/>
    </row>
    <row r="1314" spans="2:2" ht="13.5">
      <c r="B1314"/>
    </row>
    <row r="1315" spans="2:2" ht="13.5">
      <c r="B1315"/>
    </row>
    <row r="1316" spans="2:2" ht="13.5">
      <c r="B1316"/>
    </row>
    <row r="1317" spans="2:2" ht="13.5">
      <c r="B1317"/>
    </row>
    <row r="1318" spans="2:2" ht="13.5">
      <c r="B1318"/>
    </row>
    <row r="1319" spans="2:2" ht="13.5">
      <c r="B1319"/>
    </row>
    <row r="1320" spans="2:2" ht="13.5">
      <c r="B1320"/>
    </row>
    <row r="1321" spans="2:2" ht="13.5">
      <c r="B1321"/>
    </row>
    <row r="1322" spans="2:2" ht="13.5">
      <c r="B1322"/>
    </row>
    <row r="1323" spans="2:2" ht="13.5">
      <c r="B1323"/>
    </row>
    <row r="1324" spans="2:2" ht="13.5">
      <c r="B1324"/>
    </row>
    <row r="1325" spans="2:2" ht="13.5">
      <c r="B1325"/>
    </row>
    <row r="1326" spans="2:2" ht="13.5">
      <c r="B1326"/>
    </row>
    <row r="1327" spans="2:2" ht="13.5">
      <c r="B1327"/>
    </row>
    <row r="1328" spans="2:2" ht="13.5">
      <c r="B1328"/>
    </row>
    <row r="1329" spans="2:2" ht="13.5">
      <c r="B1329"/>
    </row>
    <row r="1330" spans="2:2" ht="13.5">
      <c r="B1330"/>
    </row>
    <row r="1331" spans="2:2" ht="13.5">
      <c r="B1331"/>
    </row>
    <row r="1332" spans="2:2" ht="13.5">
      <c r="B1332"/>
    </row>
    <row r="1333" spans="2:2" ht="13.5">
      <c r="B1333"/>
    </row>
    <row r="1334" spans="2:2" ht="13.5">
      <c r="B1334"/>
    </row>
    <row r="1335" spans="2:2" ht="13.5">
      <c r="B1335"/>
    </row>
    <row r="1336" spans="2:2" ht="13.5">
      <c r="B1336"/>
    </row>
    <row r="1337" spans="2:2" ht="13.5">
      <c r="B1337"/>
    </row>
    <row r="1338" spans="2:2" ht="13.5">
      <c r="B1338"/>
    </row>
    <row r="1339" spans="2:2" ht="13.5">
      <c r="B1339"/>
    </row>
    <row r="1340" spans="2:2" ht="13.5">
      <c r="B1340"/>
    </row>
    <row r="1341" spans="2:2" ht="13.5">
      <c r="B1341"/>
    </row>
    <row r="1342" spans="2:2" ht="13.5">
      <c r="B1342"/>
    </row>
    <row r="1343" spans="2:2" ht="13.5">
      <c r="B1343"/>
    </row>
    <row r="1344" spans="2:2" ht="13.5">
      <c r="B1344"/>
    </row>
    <row r="1345" spans="2:2" ht="13.5">
      <c r="B1345"/>
    </row>
    <row r="1346" spans="2:2" ht="13.5">
      <c r="B1346"/>
    </row>
    <row r="1347" spans="2:2" ht="13.5">
      <c r="B1347"/>
    </row>
    <row r="1348" spans="2:2" ht="13.5">
      <c r="B1348"/>
    </row>
    <row r="1349" spans="2:2" ht="13.5">
      <c r="B1349"/>
    </row>
    <row r="1350" spans="2:2" ht="13.5">
      <c r="B1350"/>
    </row>
    <row r="1351" spans="2:2" ht="13.5">
      <c r="B1351"/>
    </row>
    <row r="1352" spans="2:2" ht="13.5">
      <c r="B1352"/>
    </row>
    <row r="1353" spans="2:2" ht="13.5">
      <c r="B1353"/>
    </row>
    <row r="1354" spans="2:2" ht="13.5">
      <c r="B1354"/>
    </row>
    <row r="1355" spans="2:2" ht="13.5">
      <c r="B1355"/>
    </row>
    <row r="1356" spans="2:2" ht="13.5">
      <c r="B1356"/>
    </row>
    <row r="1357" spans="2:2" ht="13.5">
      <c r="B1357"/>
    </row>
    <row r="1358" spans="2:2" ht="13.5">
      <c r="B1358"/>
    </row>
    <row r="1359" spans="2:2" ht="13.5">
      <c r="B1359"/>
    </row>
    <row r="1360" spans="2:2" ht="13.5">
      <c r="B1360"/>
    </row>
    <row r="1361" spans="2:2" ht="13.5">
      <c r="B1361"/>
    </row>
    <row r="1362" spans="2:2" ht="13.5">
      <c r="B1362"/>
    </row>
    <row r="1363" spans="2:2" ht="13.5">
      <c r="B1363"/>
    </row>
    <row r="1364" spans="2:2" ht="13.5">
      <c r="B1364"/>
    </row>
    <row r="1365" spans="2:2" ht="13.5">
      <c r="B1365"/>
    </row>
    <row r="1366" spans="2:2" ht="13.5">
      <c r="B1366"/>
    </row>
    <row r="1367" spans="2:2" ht="13.5">
      <c r="B1367"/>
    </row>
    <row r="1368" spans="2:2" ht="13.5">
      <c r="B1368"/>
    </row>
    <row r="1369" spans="2:2" ht="13.5">
      <c r="B1369"/>
    </row>
    <row r="1370" spans="2:2" ht="13.5">
      <c r="B1370"/>
    </row>
    <row r="1371" spans="2:2" ht="13.5">
      <c r="B1371"/>
    </row>
    <row r="1372" spans="2:2" ht="13.5">
      <c r="B1372"/>
    </row>
    <row r="1373" spans="2:2" ht="13.5">
      <c r="B1373"/>
    </row>
    <row r="1374" spans="2:2" ht="13.5">
      <c r="B1374"/>
    </row>
    <row r="1375" spans="2:2" ht="13.5">
      <c r="B1375"/>
    </row>
    <row r="1376" spans="2:2" ht="13.5">
      <c r="B1376"/>
    </row>
    <row r="1377" spans="2:2" ht="13.5">
      <c r="B1377"/>
    </row>
    <row r="1378" spans="2:2" ht="13.5">
      <c r="B1378"/>
    </row>
    <row r="1379" spans="2:2" ht="13.5">
      <c r="B1379"/>
    </row>
    <row r="1380" spans="2:2" ht="13.5">
      <c r="B1380"/>
    </row>
    <row r="1381" spans="2:2" ht="13.5">
      <c r="B1381"/>
    </row>
    <row r="1382" spans="2:2" ht="13.5">
      <c r="B1382"/>
    </row>
    <row r="1383" spans="2:2" ht="13.5">
      <c r="B1383"/>
    </row>
    <row r="1384" spans="2:2" ht="13.5">
      <c r="B1384"/>
    </row>
    <row r="1385" spans="2:2" ht="13.5">
      <c r="B1385"/>
    </row>
    <row r="1386" spans="2:2" ht="13.5">
      <c r="B1386"/>
    </row>
    <row r="1387" spans="2:2" ht="13.5">
      <c r="B1387"/>
    </row>
    <row r="1388" spans="2:2" ht="13.5">
      <c r="B1388"/>
    </row>
    <row r="1389" spans="2:2" ht="13.5">
      <c r="B1389"/>
    </row>
    <row r="1390" spans="2:2" ht="13.5">
      <c r="B1390"/>
    </row>
    <row r="1391" spans="2:2" ht="13.5">
      <c r="B1391"/>
    </row>
    <row r="1392" spans="2:2" ht="13.5">
      <c r="B1392"/>
    </row>
    <row r="1393" spans="2:2" ht="13.5">
      <c r="B1393"/>
    </row>
    <row r="1394" spans="2:2" ht="13.5">
      <c r="B1394"/>
    </row>
    <row r="1395" spans="2:2" ht="13.5">
      <c r="B1395"/>
    </row>
    <row r="1396" spans="2:2" ht="13.5">
      <c r="B1396"/>
    </row>
    <row r="1397" spans="2:2" ht="13.5">
      <c r="B1397"/>
    </row>
    <row r="1398" spans="2:2" ht="13.5">
      <c r="B1398"/>
    </row>
    <row r="1399" spans="2:2" ht="13.5">
      <c r="B1399"/>
    </row>
    <row r="1400" spans="2:2" ht="13.5">
      <c r="B1400"/>
    </row>
    <row r="1401" spans="2:2" ht="13.5">
      <c r="B1401"/>
    </row>
    <row r="1402" spans="2:2" ht="13.5">
      <c r="B1402"/>
    </row>
    <row r="1403" spans="2:2" ht="13.5">
      <c r="B1403"/>
    </row>
    <row r="1404" spans="2:2" ht="13.5">
      <c r="B1404"/>
    </row>
    <row r="1405" spans="2:2" ht="13.5">
      <c r="B1405"/>
    </row>
    <row r="1406" spans="2:2" ht="13.5">
      <c r="B1406"/>
    </row>
    <row r="1407" spans="2:2" ht="13.5">
      <c r="B1407"/>
    </row>
    <row r="1408" spans="2:2" ht="13.5">
      <c r="B1408"/>
    </row>
    <row r="1409" spans="2:2" ht="13.5">
      <c r="B1409"/>
    </row>
    <row r="1410" spans="2:2" ht="13.5">
      <c r="B1410"/>
    </row>
    <row r="1411" spans="2:2" ht="13.5">
      <c r="B1411"/>
    </row>
    <row r="1412" spans="2:2" ht="13.5">
      <c r="B1412"/>
    </row>
    <row r="1413" spans="2:2" ht="13.5">
      <c r="B1413"/>
    </row>
    <row r="1414" spans="2:2" ht="13.5">
      <c r="B1414"/>
    </row>
    <row r="1415" spans="2:2" ht="13.5">
      <c r="B1415"/>
    </row>
    <row r="1416" spans="2:2" ht="13.5">
      <c r="B1416"/>
    </row>
    <row r="1417" spans="2:2" ht="13.5">
      <c r="B1417"/>
    </row>
    <row r="1418" spans="2:2" ht="13.5">
      <c r="B1418"/>
    </row>
    <row r="1419" spans="2:2" ht="13.5">
      <c r="B1419"/>
    </row>
    <row r="1420" spans="2:2" ht="13.5">
      <c r="B1420"/>
    </row>
    <row r="1421" spans="2:2" ht="13.5">
      <c r="B1421"/>
    </row>
    <row r="1422" spans="2:2" ht="13.5">
      <c r="B1422"/>
    </row>
    <row r="1423" spans="2:2" ht="13.5">
      <c r="B1423"/>
    </row>
    <row r="1424" spans="2:2" ht="13.5">
      <c r="B1424"/>
    </row>
    <row r="1425" spans="2:2" ht="13.5">
      <c r="B1425"/>
    </row>
    <row r="1426" spans="2:2" ht="13.5">
      <c r="B1426"/>
    </row>
    <row r="1427" spans="2:2" ht="13.5">
      <c r="B1427"/>
    </row>
    <row r="1428" spans="2:2" ht="13.5">
      <c r="B1428"/>
    </row>
    <row r="1429" spans="2:2" ht="13.5">
      <c r="B1429"/>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N30"/>
  <sheetViews>
    <sheetView workbookViewId="0">
      <selection activeCell="C6" sqref="C6"/>
    </sheetView>
  </sheetViews>
  <sheetFormatPr defaultColWidth="9" defaultRowHeight="12.6"/>
  <cols>
    <col min="1" max="1" width="9" style="19"/>
    <col min="2" max="2" width="11.875" style="19" bestFit="1" customWidth="1"/>
    <col min="3" max="3" width="32.5" style="19" customWidth="1"/>
    <col min="4" max="4" width="11.125" style="19" bestFit="1" customWidth="1"/>
    <col min="5" max="5" width="7.5" style="19" bestFit="1" customWidth="1"/>
    <col min="6" max="6" width="13.625" style="19" customWidth="1"/>
    <col min="7" max="7" width="9.375" style="19" bestFit="1" customWidth="1"/>
    <col min="8" max="8" width="16.875" style="19" bestFit="1" customWidth="1"/>
    <col min="9" max="9" width="9.125" style="19" bestFit="1" customWidth="1"/>
    <col min="10" max="10" width="11" style="19" bestFit="1" customWidth="1"/>
    <col min="11" max="11" width="7.875" style="19" bestFit="1" customWidth="1"/>
    <col min="12" max="12" width="8.875" style="19" bestFit="1" customWidth="1"/>
    <col min="13" max="13" width="7.875" style="19" bestFit="1" customWidth="1"/>
    <col min="14" max="16384" width="9" style="19"/>
  </cols>
  <sheetData>
    <row r="1" spans="2:14" ht="12.95">
      <c r="C1" s="20" t="s">
        <v>338</v>
      </c>
    </row>
    <row r="2" spans="2:14" ht="12.95">
      <c r="B2" s="20"/>
      <c r="C2" s="21" t="s">
        <v>339</v>
      </c>
    </row>
    <row r="3" spans="2:14">
      <c r="C3" s="21" t="s">
        <v>340</v>
      </c>
    </row>
    <row r="4" spans="2:14">
      <c r="C4" s="21" t="s">
        <v>341</v>
      </c>
    </row>
    <row r="6" spans="2:14" ht="12.95">
      <c r="B6" s="16" t="s">
        <v>358</v>
      </c>
      <c r="C6" s="16" t="s">
        <v>343</v>
      </c>
      <c r="D6" s="16" t="s">
        <v>359</v>
      </c>
      <c r="E6" s="16" t="s">
        <v>354</v>
      </c>
      <c r="F6" s="16" t="s">
        <v>345</v>
      </c>
      <c r="G6" s="16" t="s">
        <v>346</v>
      </c>
      <c r="H6" s="16" t="s">
        <v>347</v>
      </c>
      <c r="I6" s="16" t="s">
        <v>360</v>
      </c>
      <c r="J6" s="16" t="s">
        <v>349</v>
      </c>
      <c r="K6" s="16" t="s">
        <v>351</v>
      </c>
      <c r="L6" s="16" t="s">
        <v>352</v>
      </c>
      <c r="M6" s="16" t="s">
        <v>353</v>
      </c>
      <c r="N6" s="16" t="s">
        <v>361</v>
      </c>
    </row>
    <row r="7" spans="2:14">
      <c r="B7" s="21"/>
      <c r="C7" s="21"/>
      <c r="D7" s="21"/>
      <c r="E7" s="21"/>
      <c r="F7" s="21"/>
      <c r="G7" s="21"/>
      <c r="H7" s="21"/>
      <c r="I7" s="21"/>
      <c r="J7" s="21"/>
      <c r="K7" s="21"/>
      <c r="L7" s="21"/>
      <c r="M7" s="21"/>
      <c r="N7" s="21"/>
    </row>
    <row r="8" spans="2:14">
      <c r="B8" s="21"/>
      <c r="C8" s="21"/>
      <c r="D8" s="21"/>
      <c r="E8" s="21"/>
      <c r="F8" s="21"/>
      <c r="G8" s="21"/>
      <c r="H8" s="21"/>
      <c r="I8" s="21"/>
      <c r="J8" s="21"/>
      <c r="K8" s="21"/>
      <c r="L8" s="21"/>
      <c r="M8" s="21"/>
      <c r="N8" s="21"/>
    </row>
    <row r="9" spans="2:14">
      <c r="B9" s="21"/>
      <c r="C9" s="21"/>
      <c r="D9" s="21"/>
      <c r="E9" s="21"/>
      <c r="F9" s="21"/>
      <c r="G9" s="21"/>
      <c r="H9" s="21"/>
      <c r="I9" s="21"/>
      <c r="J9" s="21"/>
      <c r="K9" s="21"/>
      <c r="L9" s="21"/>
      <c r="M9" s="21"/>
      <c r="N9" s="21"/>
    </row>
    <row r="10" spans="2:14">
      <c r="B10" s="21"/>
      <c r="C10" s="21"/>
      <c r="D10" s="21"/>
      <c r="E10" s="21"/>
      <c r="F10" s="21"/>
      <c r="G10" s="21"/>
      <c r="H10" s="21"/>
      <c r="I10" s="21"/>
      <c r="J10" s="21"/>
      <c r="K10" s="21"/>
      <c r="L10" s="21"/>
      <c r="M10" s="21"/>
      <c r="N10" s="21"/>
    </row>
    <row r="11" spans="2:14">
      <c r="B11" s="21"/>
      <c r="C11" s="21"/>
      <c r="D11" s="21"/>
      <c r="E11" s="21"/>
      <c r="F11" s="21"/>
      <c r="G11" s="21"/>
      <c r="H11" s="21"/>
      <c r="I11" s="21"/>
      <c r="J11" s="21"/>
      <c r="K11" s="21"/>
      <c r="L11" s="21"/>
      <c r="M11" s="21"/>
      <c r="N11" s="21"/>
    </row>
    <row r="12" spans="2:14">
      <c r="B12" s="21"/>
      <c r="C12" s="21"/>
      <c r="D12" s="21"/>
      <c r="E12" s="21"/>
      <c r="F12" s="21"/>
      <c r="G12" s="21"/>
      <c r="H12" s="21"/>
      <c r="I12" s="21"/>
      <c r="J12" s="21"/>
      <c r="K12" s="21"/>
      <c r="L12" s="21"/>
      <c r="M12" s="21"/>
      <c r="N12" s="21"/>
    </row>
    <row r="13" spans="2:14">
      <c r="B13" s="21"/>
      <c r="C13" s="21"/>
      <c r="D13" s="21"/>
      <c r="E13" s="21"/>
      <c r="F13" s="21"/>
      <c r="G13" s="21"/>
      <c r="H13" s="21"/>
      <c r="I13" s="21"/>
      <c r="J13" s="21"/>
      <c r="K13" s="21"/>
      <c r="L13" s="21"/>
      <c r="M13" s="21"/>
      <c r="N13" s="21"/>
    </row>
    <row r="14" spans="2:14">
      <c r="B14" s="21"/>
      <c r="C14" s="21"/>
      <c r="D14" s="21"/>
      <c r="E14" s="21"/>
      <c r="F14" s="21"/>
      <c r="G14" s="21"/>
      <c r="H14" s="21"/>
      <c r="I14" s="21"/>
      <c r="J14" s="21"/>
      <c r="K14" s="21"/>
      <c r="L14" s="21"/>
      <c r="M14" s="21"/>
      <c r="N14" s="21"/>
    </row>
    <row r="15" spans="2:14">
      <c r="B15" s="21"/>
      <c r="C15" s="21"/>
      <c r="D15" s="21"/>
      <c r="E15" s="21"/>
      <c r="F15" s="21"/>
      <c r="G15" s="21"/>
      <c r="H15" s="21"/>
      <c r="I15" s="21"/>
      <c r="J15" s="21"/>
      <c r="K15" s="21"/>
      <c r="L15" s="21"/>
      <c r="M15" s="21"/>
      <c r="N15" s="21"/>
    </row>
    <row r="16" spans="2:14">
      <c r="B16" s="21"/>
      <c r="C16" s="21"/>
      <c r="D16" s="21"/>
      <c r="E16" s="21"/>
      <c r="F16" s="21"/>
      <c r="G16" s="21"/>
      <c r="H16" s="21"/>
      <c r="I16" s="21"/>
      <c r="J16" s="21"/>
      <c r="K16" s="21"/>
      <c r="L16" s="21"/>
      <c r="M16" s="21"/>
      <c r="N16" s="21"/>
    </row>
    <row r="17" spans="2:14">
      <c r="B17" s="21"/>
      <c r="C17" s="21"/>
      <c r="D17" s="21"/>
      <c r="E17" s="21"/>
      <c r="F17" s="21"/>
      <c r="G17" s="21"/>
      <c r="H17" s="21"/>
      <c r="I17" s="21"/>
      <c r="J17" s="21"/>
      <c r="K17" s="21"/>
      <c r="L17" s="21"/>
      <c r="M17" s="21"/>
      <c r="N17" s="21"/>
    </row>
    <row r="18" spans="2:14">
      <c r="B18" s="21"/>
      <c r="C18" s="21"/>
      <c r="D18" s="21"/>
      <c r="E18" s="21"/>
      <c r="F18" s="21"/>
      <c r="G18" s="21"/>
      <c r="H18" s="21"/>
      <c r="I18" s="21"/>
      <c r="J18" s="21"/>
      <c r="K18" s="21"/>
      <c r="L18" s="21"/>
      <c r="M18" s="21"/>
      <c r="N18" s="21"/>
    </row>
    <row r="19" spans="2:14">
      <c r="B19" s="21"/>
      <c r="C19" s="21"/>
      <c r="D19" s="21"/>
      <c r="E19" s="21"/>
      <c r="F19" s="21"/>
      <c r="G19" s="21"/>
      <c r="H19" s="21"/>
      <c r="I19" s="21"/>
      <c r="J19" s="21"/>
      <c r="K19" s="21"/>
      <c r="L19" s="21"/>
      <c r="M19" s="21"/>
      <c r="N19" s="21"/>
    </row>
    <row r="20" spans="2:14">
      <c r="B20" s="21"/>
      <c r="C20" s="21"/>
      <c r="D20" s="21"/>
      <c r="E20" s="21"/>
      <c r="F20" s="21"/>
      <c r="G20" s="21"/>
      <c r="H20" s="21"/>
      <c r="I20" s="21"/>
      <c r="J20" s="21"/>
      <c r="K20" s="21"/>
      <c r="L20" s="21"/>
      <c r="M20" s="21"/>
      <c r="N20" s="21"/>
    </row>
    <row r="21" spans="2:14">
      <c r="B21" s="21"/>
      <c r="C21" s="21"/>
      <c r="D21" s="21"/>
      <c r="E21" s="21"/>
      <c r="F21" s="21"/>
      <c r="G21" s="21"/>
      <c r="H21" s="21"/>
      <c r="I21" s="21"/>
      <c r="J21" s="21"/>
      <c r="K21" s="21"/>
      <c r="L21" s="21"/>
      <c r="M21" s="21"/>
      <c r="N21" s="21"/>
    </row>
    <row r="22" spans="2:14">
      <c r="B22" s="21"/>
      <c r="C22" s="21"/>
      <c r="D22" s="21"/>
      <c r="E22" s="21"/>
      <c r="F22" s="21"/>
      <c r="G22" s="21"/>
      <c r="H22" s="21"/>
      <c r="I22" s="21"/>
      <c r="J22" s="21"/>
      <c r="K22" s="21"/>
      <c r="L22" s="21"/>
      <c r="M22" s="21"/>
      <c r="N22" s="21"/>
    </row>
    <row r="23" spans="2:14">
      <c r="B23" s="21"/>
      <c r="C23" s="21"/>
      <c r="D23" s="21"/>
      <c r="E23" s="21"/>
      <c r="F23" s="21"/>
      <c r="G23" s="21"/>
      <c r="H23" s="21"/>
      <c r="I23" s="21"/>
      <c r="J23" s="21"/>
      <c r="K23" s="21"/>
      <c r="L23" s="21"/>
      <c r="M23" s="21"/>
      <c r="N23" s="21"/>
    </row>
    <row r="24" spans="2:14">
      <c r="B24" s="21"/>
      <c r="C24" s="21"/>
      <c r="D24" s="21"/>
      <c r="E24" s="21"/>
      <c r="F24" s="21"/>
      <c r="G24" s="21"/>
      <c r="H24" s="21"/>
      <c r="I24" s="21"/>
      <c r="J24" s="21"/>
      <c r="K24" s="21"/>
      <c r="L24" s="21"/>
      <c r="M24" s="21"/>
      <c r="N24" s="21"/>
    </row>
    <row r="25" spans="2:14">
      <c r="B25" s="21"/>
      <c r="C25" s="21"/>
      <c r="D25" s="21"/>
      <c r="E25" s="21"/>
      <c r="F25" s="21"/>
      <c r="G25" s="21"/>
      <c r="H25" s="21"/>
      <c r="I25" s="21"/>
      <c r="J25" s="21"/>
      <c r="K25" s="21"/>
      <c r="L25" s="21"/>
      <c r="M25" s="21"/>
      <c r="N25" s="21"/>
    </row>
    <row r="26" spans="2:14">
      <c r="B26" s="21"/>
      <c r="C26" s="21"/>
      <c r="D26" s="21"/>
      <c r="E26" s="21"/>
      <c r="F26" s="21"/>
      <c r="G26" s="21"/>
      <c r="H26" s="21"/>
      <c r="I26" s="21"/>
      <c r="J26" s="21"/>
      <c r="K26" s="21"/>
      <c r="L26" s="21"/>
      <c r="M26" s="21"/>
      <c r="N26" s="21"/>
    </row>
    <row r="27" spans="2:14">
      <c r="B27" s="21"/>
      <c r="C27" s="21"/>
      <c r="D27" s="21"/>
      <c r="E27" s="21"/>
      <c r="F27" s="21"/>
      <c r="G27" s="21"/>
      <c r="H27" s="21"/>
      <c r="I27" s="21"/>
      <c r="J27" s="21"/>
      <c r="K27" s="21"/>
      <c r="L27" s="21"/>
      <c r="M27" s="21"/>
      <c r="N27" s="21"/>
    </row>
    <row r="28" spans="2:14">
      <c r="B28" s="21"/>
      <c r="C28" s="21"/>
      <c r="D28" s="21"/>
      <c r="E28" s="21"/>
      <c r="F28" s="21"/>
      <c r="G28" s="21"/>
      <c r="H28" s="21"/>
      <c r="I28" s="21"/>
      <c r="J28" s="21"/>
      <c r="K28" s="21"/>
      <c r="L28" s="21"/>
      <c r="M28" s="21"/>
      <c r="N28" s="21"/>
    </row>
    <row r="29" spans="2:14">
      <c r="B29" s="21"/>
      <c r="C29" s="21"/>
      <c r="D29" s="21"/>
      <c r="E29" s="21"/>
      <c r="F29" s="21"/>
      <c r="G29" s="21"/>
      <c r="H29" s="21"/>
      <c r="I29" s="21"/>
      <c r="J29" s="21"/>
      <c r="K29" s="21"/>
      <c r="L29" s="21"/>
      <c r="M29" s="21"/>
      <c r="N29" s="21"/>
    </row>
    <row r="30" spans="2:14">
      <c r="B30" s="21"/>
      <c r="C30" s="21"/>
      <c r="D30" s="21"/>
      <c r="E30" s="21"/>
      <c r="F30" s="21"/>
      <c r="G30" s="21"/>
      <c r="H30" s="21"/>
      <c r="I30" s="21"/>
      <c r="J30" s="21"/>
      <c r="K30" s="21"/>
      <c r="L30" s="21"/>
      <c r="M30" s="21"/>
      <c r="N30" s="21"/>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1:P25"/>
  <sheetViews>
    <sheetView topLeftCell="B1" workbookViewId="0">
      <selection activeCell="B6" sqref="B6"/>
    </sheetView>
  </sheetViews>
  <sheetFormatPr defaultColWidth="8.875" defaultRowHeight="13.5"/>
  <cols>
    <col min="2" max="2" width="7.625" bestFit="1" customWidth="1"/>
    <col min="3" max="3" width="38.5" bestFit="1" customWidth="1"/>
    <col min="4" max="4" width="11.875" bestFit="1" customWidth="1"/>
    <col min="5" max="5" width="13" bestFit="1" customWidth="1"/>
    <col min="6" max="6" width="11.875" bestFit="1" customWidth="1"/>
    <col min="7" max="7" width="7.5" bestFit="1" customWidth="1"/>
    <col min="8" max="8" width="15.125" bestFit="1" customWidth="1"/>
    <col min="9" max="9" width="9.125" bestFit="1" customWidth="1"/>
    <col min="10" max="10" width="11" bestFit="1" customWidth="1"/>
    <col min="14" max="14" width="15.125" bestFit="1" customWidth="1"/>
    <col min="15" max="15" width="12.125" bestFit="1" customWidth="1"/>
    <col min="16" max="16" width="7.625" bestFit="1" customWidth="1"/>
  </cols>
  <sheetData>
    <row r="1" spans="2:16">
      <c r="C1" s="11" t="s">
        <v>338</v>
      </c>
    </row>
    <row r="2" spans="2:16">
      <c r="B2" s="11"/>
      <c r="C2" s="5" t="s">
        <v>339</v>
      </c>
    </row>
    <row r="3" spans="2:16">
      <c r="C3" s="5" t="s">
        <v>340</v>
      </c>
    </row>
    <row r="4" spans="2:16">
      <c r="C4" s="5" t="s">
        <v>341</v>
      </c>
    </row>
    <row r="6" spans="2:16">
      <c r="B6" s="16" t="s">
        <v>362</v>
      </c>
      <c r="C6" s="16" t="s">
        <v>343</v>
      </c>
      <c r="D6" s="16" t="s">
        <v>344</v>
      </c>
      <c r="E6" s="16" t="s">
        <v>363</v>
      </c>
      <c r="F6" s="16" t="s">
        <v>364</v>
      </c>
      <c r="G6" s="16" t="s">
        <v>354</v>
      </c>
      <c r="H6" s="16" t="s">
        <v>347</v>
      </c>
      <c r="I6" s="16" t="s">
        <v>348</v>
      </c>
      <c r="J6" s="16" t="s">
        <v>349</v>
      </c>
      <c r="K6" s="16" t="s">
        <v>351</v>
      </c>
      <c r="L6" s="16" t="s">
        <v>352</v>
      </c>
      <c r="M6" s="16" t="s">
        <v>353</v>
      </c>
      <c r="N6" s="16" t="s">
        <v>365</v>
      </c>
      <c r="O6" s="16" t="s">
        <v>366</v>
      </c>
      <c r="P6" s="16" t="s">
        <v>50</v>
      </c>
    </row>
    <row r="7" spans="2:16">
      <c r="B7" s="5"/>
      <c r="C7" s="5"/>
      <c r="D7" s="5"/>
      <c r="E7" s="5"/>
      <c r="F7" s="5"/>
      <c r="G7" s="5"/>
      <c r="H7" s="5"/>
      <c r="I7" s="5"/>
      <c r="J7" s="5"/>
      <c r="K7" s="5"/>
      <c r="L7" s="5"/>
      <c r="M7" s="5"/>
      <c r="N7" s="5"/>
      <c r="O7" s="5"/>
      <c r="P7" s="5"/>
    </row>
    <row r="8" spans="2:16">
      <c r="B8" s="5"/>
      <c r="C8" s="5"/>
      <c r="D8" s="5"/>
      <c r="E8" s="5"/>
      <c r="F8" s="5"/>
      <c r="G8" s="5"/>
      <c r="H8" s="5"/>
      <c r="I8" s="5"/>
      <c r="J8" s="5"/>
      <c r="K8" s="5"/>
      <c r="L8" s="5"/>
      <c r="M8" s="5"/>
      <c r="N8" s="5"/>
      <c r="O8" s="5"/>
      <c r="P8" s="5"/>
    </row>
    <row r="9" spans="2:16">
      <c r="B9" s="5"/>
      <c r="C9" s="5"/>
      <c r="D9" s="5"/>
      <c r="E9" s="5"/>
      <c r="F9" s="5"/>
      <c r="G9" s="5"/>
      <c r="H9" s="5"/>
      <c r="I9" s="5"/>
      <c r="J9" s="5"/>
      <c r="K9" s="5"/>
      <c r="L9" s="5"/>
      <c r="M9" s="5"/>
      <c r="N9" s="5"/>
      <c r="O9" s="5"/>
      <c r="P9" s="5"/>
    </row>
    <row r="10" spans="2:16">
      <c r="B10" s="5"/>
      <c r="C10" s="5"/>
      <c r="D10" s="5"/>
      <c r="E10" s="5"/>
      <c r="F10" s="5"/>
      <c r="G10" s="5"/>
      <c r="H10" s="5"/>
      <c r="I10" s="5"/>
      <c r="J10" s="5"/>
      <c r="K10" s="5"/>
      <c r="L10" s="5"/>
      <c r="M10" s="5"/>
      <c r="N10" s="5"/>
      <c r="O10" s="5"/>
      <c r="P10" s="5"/>
    </row>
    <row r="11" spans="2:16">
      <c r="B11" s="5"/>
      <c r="C11" s="5"/>
      <c r="D11" s="5"/>
      <c r="E11" s="5"/>
      <c r="F11" s="5"/>
      <c r="G11" s="5"/>
      <c r="H11" s="5"/>
      <c r="I11" s="5"/>
      <c r="J11" s="5"/>
      <c r="K11" s="5"/>
      <c r="L11" s="5"/>
      <c r="M11" s="5"/>
      <c r="N11" s="5"/>
      <c r="O11" s="5"/>
      <c r="P11" s="5"/>
    </row>
    <row r="12" spans="2:16">
      <c r="B12" s="5"/>
      <c r="C12" s="5"/>
      <c r="D12" s="5"/>
      <c r="E12" s="5"/>
      <c r="F12" s="5"/>
      <c r="G12" s="5"/>
      <c r="H12" s="5"/>
      <c r="I12" s="5"/>
      <c r="J12" s="5"/>
      <c r="K12" s="5"/>
      <c r="L12" s="5"/>
      <c r="M12" s="5"/>
      <c r="N12" s="5"/>
      <c r="O12" s="5"/>
      <c r="P12" s="5"/>
    </row>
    <row r="13" spans="2:16">
      <c r="B13" s="5"/>
      <c r="C13" s="5"/>
      <c r="D13" s="5"/>
      <c r="E13" s="5"/>
      <c r="F13" s="5"/>
      <c r="G13" s="5"/>
      <c r="H13" s="5"/>
      <c r="I13" s="5"/>
      <c r="J13" s="5"/>
      <c r="K13" s="5"/>
      <c r="L13" s="5"/>
      <c r="M13" s="5"/>
      <c r="N13" s="5"/>
      <c r="O13" s="5"/>
      <c r="P13" s="5"/>
    </row>
    <row r="14" spans="2:16">
      <c r="B14" s="5"/>
      <c r="C14" s="5"/>
      <c r="D14" s="5"/>
      <c r="E14" s="5"/>
      <c r="F14" s="5"/>
      <c r="G14" s="5"/>
      <c r="H14" s="5"/>
      <c r="I14" s="5"/>
      <c r="J14" s="5"/>
      <c r="K14" s="5"/>
      <c r="L14" s="5"/>
      <c r="M14" s="5"/>
      <c r="N14" s="5"/>
      <c r="O14" s="5"/>
      <c r="P14" s="5"/>
    </row>
    <row r="15" spans="2:16">
      <c r="B15" s="5"/>
      <c r="C15" s="5"/>
      <c r="D15" s="5"/>
      <c r="E15" s="5"/>
      <c r="F15" s="5"/>
      <c r="G15" s="5"/>
      <c r="H15" s="5"/>
      <c r="I15" s="5"/>
      <c r="J15" s="5"/>
      <c r="K15" s="5"/>
      <c r="L15" s="5"/>
      <c r="M15" s="5"/>
      <c r="N15" s="5"/>
      <c r="O15" s="5"/>
      <c r="P15" s="5"/>
    </row>
    <row r="16" spans="2:16">
      <c r="B16" s="5"/>
      <c r="C16" s="5"/>
      <c r="D16" s="5"/>
      <c r="E16" s="5"/>
      <c r="F16" s="5"/>
      <c r="G16" s="5"/>
      <c r="H16" s="5"/>
      <c r="I16" s="5"/>
      <c r="J16" s="5"/>
      <c r="K16" s="5"/>
      <c r="L16" s="5"/>
      <c r="M16" s="5"/>
      <c r="N16" s="5"/>
      <c r="O16" s="5"/>
      <c r="P16" s="5"/>
    </row>
    <row r="17" spans="2:16">
      <c r="B17" s="5"/>
      <c r="C17" s="5"/>
      <c r="D17" s="5"/>
      <c r="E17" s="5"/>
      <c r="F17" s="5"/>
      <c r="G17" s="5"/>
      <c r="H17" s="5"/>
      <c r="I17" s="5"/>
      <c r="J17" s="5"/>
      <c r="K17" s="5"/>
      <c r="L17" s="5"/>
      <c r="M17" s="5"/>
      <c r="N17" s="5"/>
      <c r="O17" s="5"/>
      <c r="P17" s="5"/>
    </row>
    <row r="18" spans="2:16">
      <c r="B18" s="5"/>
      <c r="C18" s="5"/>
      <c r="D18" s="5"/>
      <c r="E18" s="5"/>
      <c r="F18" s="5"/>
      <c r="G18" s="5"/>
      <c r="H18" s="5"/>
      <c r="I18" s="5"/>
      <c r="J18" s="5"/>
      <c r="K18" s="5"/>
      <c r="L18" s="5"/>
      <c r="M18" s="5"/>
      <c r="N18" s="5"/>
      <c r="O18" s="5"/>
      <c r="P18" s="5"/>
    </row>
    <row r="19" spans="2:16">
      <c r="B19" s="5"/>
      <c r="C19" s="5"/>
      <c r="D19" s="5"/>
      <c r="E19" s="5"/>
      <c r="F19" s="5"/>
      <c r="G19" s="5"/>
      <c r="H19" s="5"/>
      <c r="I19" s="5"/>
      <c r="J19" s="5"/>
      <c r="K19" s="5"/>
      <c r="L19" s="5"/>
      <c r="M19" s="5"/>
      <c r="N19" s="5"/>
      <c r="O19" s="5"/>
      <c r="P19" s="5"/>
    </row>
    <row r="20" spans="2:16">
      <c r="B20" s="5"/>
      <c r="C20" s="5"/>
      <c r="D20" s="5"/>
      <c r="E20" s="5"/>
      <c r="F20" s="5"/>
      <c r="G20" s="5"/>
      <c r="H20" s="5"/>
      <c r="I20" s="5"/>
      <c r="J20" s="5"/>
      <c r="K20" s="5"/>
      <c r="L20" s="5"/>
      <c r="M20" s="5"/>
      <c r="N20" s="5"/>
      <c r="O20" s="5"/>
      <c r="P20" s="5"/>
    </row>
    <row r="21" spans="2:16">
      <c r="B21" s="5"/>
      <c r="C21" s="5"/>
      <c r="D21" s="5"/>
      <c r="E21" s="5"/>
      <c r="F21" s="5"/>
      <c r="G21" s="5"/>
      <c r="H21" s="5"/>
      <c r="I21" s="5"/>
      <c r="J21" s="5"/>
      <c r="K21" s="5"/>
      <c r="L21" s="5"/>
      <c r="M21" s="5"/>
      <c r="N21" s="5"/>
      <c r="O21" s="5"/>
      <c r="P21" s="5"/>
    </row>
    <row r="22" spans="2:16">
      <c r="B22" s="5"/>
      <c r="C22" s="5"/>
      <c r="D22" s="5"/>
      <c r="E22" s="5"/>
      <c r="F22" s="5"/>
      <c r="G22" s="5"/>
      <c r="H22" s="5"/>
      <c r="I22" s="5"/>
      <c r="J22" s="5"/>
      <c r="K22" s="5"/>
      <c r="L22" s="5"/>
      <c r="M22" s="5"/>
      <c r="N22" s="5"/>
      <c r="O22" s="5"/>
      <c r="P22" s="5"/>
    </row>
    <row r="23" spans="2:16">
      <c r="B23" s="5"/>
      <c r="C23" s="5"/>
      <c r="D23" s="5"/>
      <c r="E23" s="5"/>
      <c r="F23" s="5"/>
      <c r="G23" s="5"/>
      <c r="H23" s="5"/>
      <c r="I23" s="5"/>
      <c r="J23" s="5"/>
      <c r="K23" s="5"/>
      <c r="L23" s="5"/>
      <c r="M23" s="5"/>
      <c r="N23" s="5"/>
      <c r="O23" s="5"/>
      <c r="P23" s="5"/>
    </row>
    <row r="24" spans="2:16">
      <c r="B24" s="5"/>
      <c r="C24" s="5"/>
      <c r="D24" s="5"/>
      <c r="E24" s="5"/>
      <c r="F24" s="5"/>
      <c r="G24" s="5"/>
      <c r="H24" s="5"/>
      <c r="I24" s="5"/>
      <c r="J24" s="5"/>
      <c r="K24" s="5"/>
      <c r="L24" s="5"/>
      <c r="M24" s="5"/>
      <c r="N24" s="5"/>
      <c r="O24" s="5"/>
      <c r="P24" s="5"/>
    </row>
    <row r="25" spans="2:16">
      <c r="B25" s="5"/>
      <c r="C25" s="5"/>
      <c r="D25" s="5"/>
      <c r="E25" s="5"/>
      <c r="F25" s="5"/>
      <c r="G25" s="5"/>
      <c r="H25" s="5"/>
      <c r="I25" s="5"/>
      <c r="J25" s="5"/>
      <c r="K25" s="5"/>
      <c r="L25" s="5"/>
      <c r="M25" s="5"/>
      <c r="N25" s="5"/>
      <c r="O25" s="5"/>
      <c r="P25" s="5"/>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N23"/>
  <sheetViews>
    <sheetView workbookViewId="0">
      <selection activeCell="B7" sqref="B7"/>
    </sheetView>
  </sheetViews>
  <sheetFormatPr defaultColWidth="8.875" defaultRowHeight="13.5"/>
  <cols>
    <col min="2" max="2" width="6.5" bestFit="1" customWidth="1"/>
    <col min="3" max="3" width="38.5" bestFit="1" customWidth="1"/>
    <col min="4" max="4" width="11.125" bestFit="1" customWidth="1"/>
    <col min="5" max="5" width="16.125" bestFit="1" customWidth="1"/>
    <col min="6" max="6" width="9.125" bestFit="1" customWidth="1"/>
    <col min="7" max="7" width="11" bestFit="1" customWidth="1"/>
    <col min="8" max="8" width="7.875" bestFit="1" customWidth="1"/>
    <col min="9" max="9" width="8.875" bestFit="1" customWidth="1"/>
    <col min="10" max="10" width="7.875" bestFit="1" customWidth="1"/>
    <col min="11" max="11" width="7.5" bestFit="1" customWidth="1"/>
    <col min="12" max="12" width="15" bestFit="1" customWidth="1"/>
    <col min="13" max="13" width="15.875" bestFit="1" customWidth="1"/>
    <col min="14" max="14" width="14.125" bestFit="1" customWidth="1"/>
  </cols>
  <sheetData>
    <row r="1" spans="2:14">
      <c r="C1" s="11" t="s">
        <v>338</v>
      </c>
    </row>
    <row r="2" spans="2:14">
      <c r="B2" s="11"/>
      <c r="C2" s="5" t="s">
        <v>339</v>
      </c>
    </row>
    <row r="3" spans="2:14">
      <c r="C3" s="5" t="s">
        <v>340</v>
      </c>
    </row>
    <row r="4" spans="2:14">
      <c r="C4" s="5" t="s">
        <v>341</v>
      </c>
    </row>
    <row r="6" spans="2:14">
      <c r="B6" s="16" t="s">
        <v>367</v>
      </c>
      <c r="C6" s="16" t="s">
        <v>343</v>
      </c>
      <c r="D6" s="16" t="s">
        <v>359</v>
      </c>
      <c r="E6" s="16" t="s">
        <v>368</v>
      </c>
      <c r="F6" s="16" t="s">
        <v>360</v>
      </c>
      <c r="G6" s="16" t="s">
        <v>369</v>
      </c>
      <c r="H6" s="16" t="s">
        <v>351</v>
      </c>
      <c r="I6" s="16" t="s">
        <v>352</v>
      </c>
      <c r="J6" s="16" t="s">
        <v>353</v>
      </c>
      <c r="K6" s="16" t="s">
        <v>354</v>
      </c>
      <c r="L6" s="16" t="s">
        <v>355</v>
      </c>
      <c r="M6" s="16" t="s">
        <v>370</v>
      </c>
      <c r="N6" s="16" t="s">
        <v>371</v>
      </c>
    </row>
    <row r="7" spans="2:14">
      <c r="B7" s="5"/>
      <c r="C7" s="5"/>
      <c r="D7" s="5"/>
      <c r="E7" s="5"/>
      <c r="F7" s="5"/>
      <c r="G7" s="5"/>
      <c r="H7" s="5"/>
      <c r="I7" s="5"/>
      <c r="J7" s="5"/>
      <c r="K7" s="5"/>
      <c r="L7" s="5"/>
      <c r="M7" s="5"/>
      <c r="N7" s="5"/>
    </row>
    <row r="8" spans="2:14">
      <c r="B8" s="5"/>
      <c r="C8" s="5"/>
      <c r="D8" s="5"/>
      <c r="E8" s="5"/>
      <c r="F8" s="5"/>
      <c r="G8" s="5"/>
      <c r="H8" s="5"/>
      <c r="I8" s="5"/>
      <c r="J8" s="5"/>
      <c r="K8" s="5"/>
      <c r="L8" s="5"/>
      <c r="M8" s="5"/>
      <c r="N8" s="5"/>
    </row>
    <row r="9" spans="2:14">
      <c r="B9" s="5"/>
      <c r="C9" s="5"/>
      <c r="D9" s="5"/>
      <c r="E9" s="5"/>
      <c r="F9" s="5"/>
      <c r="G9" s="5"/>
      <c r="H9" s="5"/>
      <c r="I9" s="5"/>
      <c r="J9" s="5"/>
      <c r="K9" s="5"/>
      <c r="L9" s="5"/>
      <c r="M9" s="5"/>
      <c r="N9" s="5"/>
    </row>
    <row r="10" spans="2:14">
      <c r="B10" s="5"/>
      <c r="C10" s="5"/>
      <c r="D10" s="5"/>
      <c r="E10" s="5"/>
      <c r="F10" s="5"/>
      <c r="G10" s="5"/>
      <c r="H10" s="5"/>
      <c r="I10" s="5"/>
      <c r="J10" s="5"/>
      <c r="K10" s="5"/>
      <c r="L10" s="5"/>
      <c r="M10" s="5"/>
      <c r="N10" s="5"/>
    </row>
    <row r="11" spans="2:14">
      <c r="B11" s="5"/>
      <c r="C11" s="5"/>
      <c r="D11" s="5"/>
      <c r="E11" s="5"/>
      <c r="F11" s="5"/>
      <c r="G11" s="5"/>
      <c r="H11" s="5"/>
      <c r="I11" s="5"/>
      <c r="J11" s="5"/>
      <c r="K11" s="5"/>
      <c r="L11" s="5"/>
      <c r="M11" s="5"/>
      <c r="N11" s="5"/>
    </row>
    <row r="12" spans="2:14">
      <c r="B12" s="5"/>
      <c r="C12" s="5"/>
      <c r="D12" s="5"/>
      <c r="E12" s="5"/>
      <c r="F12" s="5"/>
      <c r="G12" s="5"/>
      <c r="H12" s="5"/>
      <c r="I12" s="5"/>
      <c r="J12" s="5"/>
      <c r="K12" s="5"/>
      <c r="L12" s="5"/>
      <c r="M12" s="5"/>
      <c r="N12" s="5"/>
    </row>
    <row r="13" spans="2:14">
      <c r="B13" s="5"/>
      <c r="C13" s="5"/>
      <c r="D13" s="5"/>
      <c r="E13" s="5"/>
      <c r="F13" s="5"/>
      <c r="G13" s="5"/>
      <c r="H13" s="5"/>
      <c r="I13" s="5"/>
      <c r="J13" s="5"/>
      <c r="K13" s="5"/>
      <c r="L13" s="5"/>
      <c r="M13" s="5"/>
      <c r="N13" s="5"/>
    </row>
    <row r="14" spans="2:14">
      <c r="B14" s="5"/>
      <c r="C14" s="5"/>
      <c r="D14" s="5"/>
      <c r="E14" s="5"/>
      <c r="F14" s="5"/>
      <c r="G14" s="5"/>
      <c r="H14" s="5"/>
      <c r="I14" s="5"/>
      <c r="J14" s="5"/>
      <c r="K14" s="5"/>
      <c r="L14" s="5"/>
      <c r="M14" s="5"/>
      <c r="N14" s="5"/>
    </row>
    <row r="15" spans="2:14">
      <c r="B15" s="5"/>
      <c r="C15" s="5"/>
      <c r="D15" s="5"/>
      <c r="E15" s="5"/>
      <c r="F15" s="5"/>
      <c r="G15" s="5"/>
      <c r="H15" s="5"/>
      <c r="I15" s="5"/>
      <c r="J15" s="5"/>
      <c r="K15" s="5"/>
      <c r="L15" s="5"/>
      <c r="M15" s="5"/>
      <c r="N15" s="5"/>
    </row>
    <row r="16" spans="2:14">
      <c r="B16" s="5"/>
      <c r="C16" s="5"/>
      <c r="D16" s="5"/>
      <c r="E16" s="5"/>
      <c r="F16" s="5"/>
      <c r="G16" s="5"/>
      <c r="H16" s="5"/>
      <c r="I16" s="5"/>
      <c r="J16" s="5"/>
      <c r="K16" s="5"/>
      <c r="L16" s="5"/>
      <c r="M16" s="5"/>
      <c r="N16" s="5"/>
    </row>
    <row r="17" spans="2:14">
      <c r="B17" s="5"/>
      <c r="C17" s="5"/>
      <c r="D17" s="5"/>
      <c r="E17" s="5"/>
      <c r="F17" s="5"/>
      <c r="G17" s="5"/>
      <c r="H17" s="5"/>
      <c r="I17" s="5"/>
      <c r="J17" s="5"/>
      <c r="K17" s="5"/>
      <c r="L17" s="5"/>
      <c r="M17" s="5"/>
      <c r="N17" s="5"/>
    </row>
    <row r="18" spans="2:14">
      <c r="B18" s="5"/>
      <c r="C18" s="5"/>
      <c r="D18" s="5"/>
      <c r="E18" s="5"/>
      <c r="F18" s="5"/>
      <c r="G18" s="5"/>
      <c r="H18" s="5"/>
      <c r="I18" s="5"/>
      <c r="J18" s="5"/>
      <c r="K18" s="5"/>
      <c r="L18" s="5"/>
      <c r="M18" s="5"/>
      <c r="N18" s="5"/>
    </row>
    <row r="19" spans="2:14">
      <c r="B19" s="5"/>
      <c r="C19" s="5"/>
      <c r="D19" s="5"/>
      <c r="E19" s="5"/>
      <c r="F19" s="5"/>
      <c r="G19" s="5"/>
      <c r="H19" s="5"/>
      <c r="I19" s="5"/>
      <c r="J19" s="5"/>
      <c r="K19" s="5"/>
      <c r="L19" s="5"/>
      <c r="M19" s="5"/>
      <c r="N19" s="5"/>
    </row>
    <row r="20" spans="2:14">
      <c r="B20" s="5"/>
      <c r="C20" s="5"/>
      <c r="D20" s="5"/>
      <c r="E20" s="5"/>
      <c r="F20" s="5"/>
      <c r="G20" s="5"/>
      <c r="H20" s="5"/>
      <c r="I20" s="5"/>
      <c r="J20" s="5"/>
      <c r="K20" s="5"/>
      <c r="L20" s="5"/>
      <c r="M20" s="5"/>
      <c r="N20" s="5"/>
    </row>
    <row r="21" spans="2:14">
      <c r="B21" s="5"/>
      <c r="C21" s="5"/>
      <c r="D21" s="5"/>
      <c r="E21" s="5"/>
      <c r="F21" s="5"/>
      <c r="G21" s="5"/>
      <c r="H21" s="5"/>
      <c r="I21" s="5"/>
      <c r="J21" s="5"/>
      <c r="K21" s="5"/>
      <c r="L21" s="5"/>
      <c r="M21" s="5"/>
      <c r="N21" s="5"/>
    </row>
    <row r="22" spans="2:14">
      <c r="B22" s="5"/>
      <c r="C22" s="5"/>
      <c r="D22" s="5"/>
      <c r="E22" s="5"/>
      <c r="F22" s="5"/>
      <c r="G22" s="5"/>
      <c r="H22" s="5"/>
      <c r="I22" s="5"/>
      <c r="J22" s="5"/>
      <c r="K22" s="5"/>
      <c r="L22" s="5"/>
      <c r="M22" s="5"/>
      <c r="N22" s="5"/>
    </row>
    <row r="23" spans="2:14">
      <c r="B23" s="5"/>
      <c r="C23" s="5"/>
      <c r="D23" s="5"/>
      <c r="E23" s="5"/>
      <c r="F23" s="5"/>
      <c r="G23" s="5"/>
      <c r="H23" s="5"/>
      <c r="I23" s="5"/>
      <c r="J23" s="5"/>
      <c r="K23" s="5"/>
      <c r="L23" s="5"/>
      <c r="M23" s="5"/>
      <c r="N23" s="5"/>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8"/>
  <sheetViews>
    <sheetView workbookViewId="0">
      <selection activeCell="B4" sqref="B4"/>
    </sheetView>
  </sheetViews>
  <sheetFormatPr defaultColWidth="8.875" defaultRowHeight="13.5"/>
  <cols>
    <col min="2" max="2" width="13.625" bestFit="1" customWidth="1"/>
    <col min="3" max="3" width="15.125" bestFit="1" customWidth="1"/>
    <col min="4" max="4" width="13.125" bestFit="1" customWidth="1"/>
    <col min="5" max="5" width="13.375" bestFit="1" customWidth="1"/>
    <col min="6" max="6" width="12.375" bestFit="1" customWidth="1"/>
    <col min="7" max="7" width="15.125" bestFit="1" customWidth="1"/>
    <col min="8" max="8" width="18.125" bestFit="1" customWidth="1"/>
  </cols>
  <sheetData>
    <row r="1" spans="1:8">
      <c r="A1" s="19"/>
      <c r="B1" s="19"/>
      <c r="C1" s="19"/>
      <c r="D1" s="19"/>
      <c r="E1" s="19"/>
      <c r="F1" s="19"/>
      <c r="G1" s="19"/>
      <c r="H1" s="19"/>
    </row>
    <row r="2" spans="1:8">
      <c r="A2" s="19"/>
      <c r="B2" s="256" t="s">
        <v>372</v>
      </c>
      <c r="C2" s="257"/>
      <c r="D2" s="257"/>
      <c r="E2" s="257"/>
      <c r="F2" s="257"/>
      <c r="G2" s="257"/>
      <c r="H2" s="258"/>
    </row>
    <row r="3" spans="1:8">
      <c r="A3" s="19"/>
      <c r="B3" s="16" t="s">
        <v>373</v>
      </c>
      <c r="C3" s="16" t="s">
        <v>19</v>
      </c>
      <c r="D3" s="16" t="s">
        <v>374</v>
      </c>
      <c r="E3" s="16" t="s">
        <v>375</v>
      </c>
      <c r="F3" s="16" t="s">
        <v>376</v>
      </c>
      <c r="G3" s="16" t="s">
        <v>377</v>
      </c>
      <c r="H3" s="16" t="s">
        <v>378</v>
      </c>
    </row>
    <row r="4" spans="1:8">
      <c r="A4" s="19"/>
      <c r="B4" s="21"/>
      <c r="C4" s="21"/>
      <c r="D4" s="21"/>
      <c r="E4" s="21"/>
      <c r="F4" s="21" t="s">
        <v>379</v>
      </c>
      <c r="G4" s="21"/>
      <c r="H4" s="21"/>
    </row>
    <row r="5" spans="1:8">
      <c r="B5" s="5"/>
      <c r="C5" s="5"/>
      <c r="D5" s="5"/>
      <c r="E5" s="5"/>
      <c r="F5" s="5"/>
      <c r="G5" s="5"/>
      <c r="H5" s="5"/>
    </row>
    <row r="6" spans="1:8">
      <c r="B6" s="5"/>
      <c r="C6" s="5"/>
      <c r="D6" s="5"/>
      <c r="E6" s="5"/>
      <c r="F6" s="5"/>
      <c r="G6" s="5"/>
      <c r="H6" s="5"/>
    </row>
    <row r="7" spans="1:8">
      <c r="B7" s="5"/>
      <c r="C7" s="5"/>
      <c r="D7" s="5"/>
      <c r="E7" s="5"/>
      <c r="F7" s="5"/>
      <c r="G7" s="5"/>
      <c r="H7" s="5"/>
    </row>
    <row r="8" spans="1:8">
      <c r="B8" s="5"/>
      <c r="C8" s="5"/>
      <c r="D8" s="5"/>
      <c r="E8" s="5"/>
      <c r="F8" s="5"/>
      <c r="G8" s="5"/>
      <c r="H8" s="5"/>
    </row>
    <row r="9" spans="1:8">
      <c r="B9" s="5"/>
      <c r="C9" s="5"/>
      <c r="D9" s="5"/>
      <c r="E9" s="5"/>
      <c r="F9" s="5"/>
      <c r="G9" s="5"/>
      <c r="H9" s="5"/>
    </row>
    <row r="10" spans="1:8">
      <c r="B10" s="5"/>
      <c r="C10" s="5"/>
      <c r="D10" s="5"/>
      <c r="E10" s="5"/>
      <c r="F10" s="5"/>
      <c r="G10" s="5"/>
      <c r="H10" s="5"/>
    </row>
    <row r="11" spans="1:8">
      <c r="B11" s="5"/>
      <c r="C11" s="5"/>
      <c r="D11" s="5"/>
      <c r="E11" s="5"/>
      <c r="F11" s="5"/>
      <c r="G11" s="5"/>
      <c r="H11" s="5"/>
    </row>
    <row r="12" spans="1:8">
      <c r="B12" s="5"/>
      <c r="C12" s="5"/>
      <c r="D12" s="5"/>
      <c r="E12" s="5"/>
      <c r="F12" s="5"/>
      <c r="G12" s="5"/>
      <c r="H12" s="5"/>
    </row>
    <row r="13" spans="1:8">
      <c r="B13" s="5"/>
      <c r="C13" s="5"/>
      <c r="D13" s="5"/>
      <c r="E13" s="5"/>
      <c r="F13" s="5"/>
      <c r="G13" s="5"/>
      <c r="H13" s="5"/>
    </row>
    <row r="14" spans="1:8">
      <c r="B14" s="5"/>
      <c r="C14" s="5"/>
      <c r="D14" s="5"/>
      <c r="E14" s="5"/>
      <c r="F14" s="5"/>
      <c r="G14" s="5"/>
      <c r="H14" s="5"/>
    </row>
    <row r="15" spans="1:8">
      <c r="B15" s="5"/>
      <c r="C15" s="5"/>
      <c r="D15" s="5"/>
      <c r="E15" s="5"/>
      <c r="F15" s="5"/>
      <c r="G15" s="5"/>
      <c r="H15" s="5"/>
    </row>
    <row r="16" spans="1:8">
      <c r="B16" s="5"/>
      <c r="C16" s="5"/>
      <c r="D16" s="5"/>
      <c r="E16" s="5"/>
      <c r="F16" s="5"/>
      <c r="G16" s="5"/>
      <c r="H16" s="5"/>
    </row>
    <row r="17" spans="2:8">
      <c r="B17" s="5"/>
      <c r="C17" s="5"/>
      <c r="D17" s="5"/>
      <c r="E17" s="5"/>
      <c r="F17" s="5"/>
      <c r="G17" s="5"/>
      <c r="H17" s="5"/>
    </row>
    <row r="18" spans="2:8">
      <c r="B18" s="5"/>
      <c r="C18" s="5"/>
      <c r="D18" s="5"/>
      <c r="E18" s="5"/>
      <c r="F18" s="5"/>
      <c r="G18" s="5"/>
      <c r="H18" s="5"/>
    </row>
    <row r="19" spans="2:8">
      <c r="B19" s="5"/>
      <c r="C19" s="5"/>
      <c r="D19" s="5"/>
      <c r="E19" s="5"/>
      <c r="F19" s="5"/>
      <c r="G19" s="5"/>
      <c r="H19" s="5"/>
    </row>
    <row r="20" spans="2:8">
      <c r="B20" s="5"/>
      <c r="C20" s="5"/>
      <c r="D20" s="5"/>
      <c r="E20" s="5"/>
      <c r="F20" s="5"/>
      <c r="G20" s="5"/>
      <c r="H20" s="5"/>
    </row>
    <row r="21" spans="2:8">
      <c r="B21" s="5"/>
      <c r="C21" s="5"/>
      <c r="D21" s="5"/>
      <c r="E21" s="5"/>
      <c r="F21" s="5"/>
      <c r="G21" s="5"/>
      <c r="H21" s="5"/>
    </row>
    <row r="22" spans="2:8">
      <c r="B22" s="5"/>
      <c r="C22" s="5"/>
      <c r="D22" s="5"/>
      <c r="E22" s="5"/>
      <c r="F22" s="5"/>
      <c r="G22" s="5"/>
      <c r="H22" s="5"/>
    </row>
    <row r="23" spans="2:8">
      <c r="B23" s="5"/>
      <c r="C23" s="5"/>
      <c r="D23" s="5"/>
      <c r="E23" s="5"/>
      <c r="F23" s="5"/>
      <c r="G23" s="5"/>
      <c r="H23" s="5"/>
    </row>
    <row r="24" spans="2:8">
      <c r="B24" s="5"/>
      <c r="C24" s="5"/>
      <c r="D24" s="5"/>
      <c r="E24" s="5"/>
      <c r="F24" s="5"/>
      <c r="G24" s="5"/>
      <c r="H24" s="5"/>
    </row>
    <row r="25" spans="2:8">
      <c r="B25" s="5"/>
      <c r="C25" s="5"/>
      <c r="D25" s="5"/>
      <c r="E25" s="5"/>
      <c r="F25" s="5"/>
      <c r="G25" s="5"/>
      <c r="H25" s="5"/>
    </row>
    <row r="26" spans="2:8">
      <c r="B26" s="5"/>
      <c r="C26" s="5"/>
      <c r="D26" s="5"/>
      <c r="E26" s="5"/>
      <c r="F26" s="5"/>
      <c r="G26" s="5"/>
      <c r="H26" s="5"/>
    </row>
    <row r="27" spans="2:8">
      <c r="B27" s="5"/>
      <c r="C27" s="5"/>
      <c r="D27" s="5"/>
      <c r="E27" s="5"/>
      <c r="F27" s="5"/>
      <c r="G27" s="5"/>
      <c r="H27" s="5"/>
    </row>
    <row r="28" spans="2:8">
      <c r="B28" s="5"/>
      <c r="C28" s="5"/>
      <c r="D28" s="5"/>
      <c r="E28" s="5"/>
      <c r="F28" s="5"/>
      <c r="G28" s="5"/>
      <c r="H28" s="5"/>
    </row>
  </sheetData>
  <mergeCells count="1">
    <mergeCell ref="B2:H2"/>
  </mergeCells>
  <dataValidations count="1">
    <dataValidation type="list" allowBlank="1" showInputMessage="1" showErrorMessage="1" sqref="F4:F28" xr:uid="{00000000-0002-0000-0600-000000000000}">
      <formula1>"Project Leader, Module Lead, Developer, Snr. Developer, Architect"</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
  <sheetViews>
    <sheetView zoomScale="70" zoomScaleNormal="70" workbookViewId="0"/>
  </sheetViews>
  <sheetFormatPr defaultColWidth="27.625" defaultRowHeight="52.5" customHeight="1"/>
  <cols>
    <col min="1" max="1" width="27.625" style="12"/>
    <col min="2" max="2" width="27.625" style="13"/>
    <col min="3" max="16384" width="27.625" style="12"/>
  </cols>
  <sheetData>
    <row r="1" spans="1:9" s="39" customFormat="1" ht="52.5" customHeight="1">
      <c r="A1" s="38" t="s">
        <v>380</v>
      </c>
      <c r="B1" s="38" t="s">
        <v>381</v>
      </c>
      <c r="C1" s="38" t="s">
        <v>382</v>
      </c>
      <c r="D1" s="38" t="s">
        <v>383</v>
      </c>
      <c r="E1" s="38" t="s">
        <v>384</v>
      </c>
      <c r="F1" s="38" t="s">
        <v>385</v>
      </c>
      <c r="G1" s="38" t="s">
        <v>386</v>
      </c>
      <c r="H1" s="38" t="s">
        <v>387</v>
      </c>
      <c r="I1" s="38" t="s">
        <v>388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552B-08FA-4C3E-B99D-E77E2E496A9D}">
  <dimension ref="A1:N15"/>
  <sheetViews>
    <sheetView workbookViewId="0">
      <selection activeCell="A2" sqref="A2"/>
    </sheetView>
  </sheetViews>
  <sheetFormatPr defaultColWidth="64.5" defaultRowHeight="13.5"/>
  <cols>
    <col min="1" max="1" width="4.875" bestFit="1" customWidth="1"/>
    <col min="2" max="2" width="63.125" bestFit="1" customWidth="1"/>
    <col min="3" max="3" width="60" customWidth="1"/>
  </cols>
  <sheetData>
    <row r="1" spans="1:14" ht="18.75" customHeight="1">
      <c r="A1" s="29" t="s">
        <v>389</v>
      </c>
      <c r="B1" s="29" t="s">
        <v>390</v>
      </c>
      <c r="C1" s="29" t="s">
        <v>391</v>
      </c>
    </row>
    <row r="2" spans="1:14" s="27" customFormat="1" ht="27">
      <c r="A2" s="5">
        <v>1</v>
      </c>
      <c r="B2" s="31" t="s">
        <v>392</v>
      </c>
      <c r="C2" s="5"/>
      <c r="D2"/>
      <c r="E2"/>
      <c r="F2"/>
      <c r="G2"/>
      <c r="H2"/>
      <c r="I2"/>
      <c r="J2"/>
      <c r="K2"/>
      <c r="L2"/>
      <c r="M2"/>
      <c r="N2"/>
    </row>
    <row r="3" spans="1:14" s="28" customFormat="1" ht="27">
      <c r="A3" s="5">
        <v>2</v>
      </c>
      <c r="B3" s="31" t="s">
        <v>393</v>
      </c>
      <c r="C3" s="5"/>
      <c r="D3"/>
      <c r="E3"/>
      <c r="F3"/>
      <c r="G3"/>
      <c r="H3"/>
      <c r="I3"/>
      <c r="J3"/>
      <c r="K3"/>
      <c r="L3"/>
      <c r="M3"/>
      <c r="N3"/>
    </row>
    <row r="4" spans="1:14" ht="27">
      <c r="A4" s="5">
        <v>3</v>
      </c>
      <c r="B4" s="31" t="s">
        <v>394</v>
      </c>
      <c r="C4" s="5"/>
    </row>
    <row r="5" spans="1:14" ht="27">
      <c r="A5" s="5">
        <v>4</v>
      </c>
      <c r="B5" s="31" t="s">
        <v>395</v>
      </c>
      <c r="C5" s="5"/>
    </row>
    <row r="6" spans="1:14" ht="27">
      <c r="A6" s="5">
        <v>5</v>
      </c>
      <c r="B6" s="31" t="s">
        <v>396</v>
      </c>
      <c r="C6" s="5"/>
    </row>
    <row r="7" spans="1:14" ht="14.45">
      <c r="A7" s="5">
        <v>6</v>
      </c>
      <c r="B7" s="41" t="s">
        <v>397</v>
      </c>
      <c r="C7" s="5"/>
    </row>
    <row r="8" spans="1:14" ht="14.45">
      <c r="A8" s="5"/>
      <c r="B8" s="42" t="s">
        <v>398</v>
      </c>
      <c r="C8" s="5"/>
    </row>
    <row r="9" spans="1:14" ht="14.45">
      <c r="A9" s="5"/>
      <c r="B9" s="42" t="s">
        <v>399</v>
      </c>
      <c r="C9" s="5"/>
    </row>
    <row r="10" spans="1:14" ht="14.45">
      <c r="A10" s="5"/>
      <c r="B10" s="42" t="s">
        <v>400</v>
      </c>
      <c r="C10" s="5"/>
    </row>
    <row r="11" spans="1:14" ht="14.45">
      <c r="A11" s="5"/>
      <c r="B11" s="42" t="s">
        <v>401</v>
      </c>
      <c r="C11" s="5"/>
    </row>
    <row r="12" spans="1:14" ht="14.45">
      <c r="A12" s="5"/>
      <c r="B12" s="42" t="s">
        <v>402</v>
      </c>
      <c r="C12" s="5"/>
    </row>
    <row r="13" spans="1:14" ht="14.45">
      <c r="A13" s="5"/>
      <c r="B13" s="42" t="s">
        <v>403</v>
      </c>
      <c r="C13" s="5"/>
    </row>
    <row r="14" spans="1:14" ht="14.45">
      <c r="A14" s="5"/>
      <c r="B14" s="42" t="s">
        <v>404</v>
      </c>
      <c r="C14" s="5"/>
    </row>
    <row r="15" spans="1:14" ht="14.45">
      <c r="A15" s="5"/>
      <c r="B15" s="42" t="s">
        <v>405</v>
      </c>
      <c r="C15"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B472-618F-4EE9-A7E3-3066C755F126}">
  <dimension ref="B2:D13"/>
  <sheetViews>
    <sheetView workbookViewId="0">
      <selection activeCell="D2" sqref="D2"/>
    </sheetView>
  </sheetViews>
  <sheetFormatPr defaultColWidth="8.875" defaultRowHeight="13.5"/>
  <cols>
    <col min="1" max="1" width="2.875" customWidth="1"/>
    <col min="2" max="2" width="3.125" bestFit="1" customWidth="1"/>
    <col min="3" max="3" width="69.875" bestFit="1" customWidth="1"/>
    <col min="4" max="4" width="62.125" customWidth="1"/>
  </cols>
  <sheetData>
    <row r="2" spans="2:4">
      <c r="B2" s="29" t="s">
        <v>406</v>
      </c>
      <c r="C2" s="29" t="s">
        <v>390</v>
      </c>
      <c r="D2" s="29" t="s">
        <v>391</v>
      </c>
    </row>
    <row r="3" spans="2:4" ht="27">
      <c r="B3" s="30">
        <v>1</v>
      </c>
      <c r="C3" s="31" t="s">
        <v>407</v>
      </c>
      <c r="D3" s="5"/>
    </row>
    <row r="4" spans="2:4" ht="27">
      <c r="B4" s="30">
        <v>2</v>
      </c>
      <c r="C4" s="31" t="s">
        <v>408</v>
      </c>
      <c r="D4" s="5"/>
    </row>
    <row r="5" spans="2:4">
      <c r="B5" s="30">
        <v>3</v>
      </c>
      <c r="C5" s="31" t="s">
        <v>409</v>
      </c>
      <c r="D5" s="5"/>
    </row>
    <row r="6" spans="2:4">
      <c r="B6" s="30">
        <v>4</v>
      </c>
      <c r="C6" s="31" t="s">
        <v>410</v>
      </c>
      <c r="D6" s="5"/>
    </row>
    <row r="7" spans="2:4">
      <c r="B7" s="30">
        <v>5</v>
      </c>
      <c r="C7" s="31" t="s">
        <v>411</v>
      </c>
      <c r="D7" s="5"/>
    </row>
    <row r="8" spans="2:4" ht="27">
      <c r="B8" s="30">
        <v>6</v>
      </c>
      <c r="C8" s="31" t="s">
        <v>412</v>
      </c>
      <c r="D8" s="5"/>
    </row>
    <row r="9" spans="2:4" ht="26.25" customHeight="1">
      <c r="B9" s="30">
        <v>7</v>
      </c>
      <c r="C9" s="31" t="s">
        <v>413</v>
      </c>
      <c r="D9" s="5"/>
    </row>
    <row r="10" spans="2:4" ht="40.5">
      <c r="B10" s="30">
        <v>8</v>
      </c>
      <c r="C10" s="31" t="s">
        <v>414</v>
      </c>
      <c r="D10" s="5"/>
    </row>
    <row r="11" spans="2:4" ht="40.5">
      <c r="B11" s="30">
        <v>9</v>
      </c>
      <c r="C11" s="31" t="s">
        <v>415</v>
      </c>
      <c r="D11" s="5"/>
    </row>
    <row r="12" spans="2:4">
      <c r="B12" s="30">
        <v>10</v>
      </c>
      <c r="C12" s="31" t="s">
        <v>416</v>
      </c>
      <c r="D12" s="5"/>
    </row>
    <row r="13" spans="2:4" ht="27">
      <c r="B13" s="30">
        <v>11</v>
      </c>
      <c r="C13" s="31" t="s">
        <v>417</v>
      </c>
      <c r="D13"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1CF6-2483-4C83-B436-E19E491F30E2}">
  <dimension ref="B2:D11"/>
  <sheetViews>
    <sheetView workbookViewId="0"/>
  </sheetViews>
  <sheetFormatPr defaultColWidth="8.875" defaultRowHeight="13.5"/>
  <cols>
    <col min="1" max="1" width="2.875" customWidth="1"/>
    <col min="2" max="2" width="3.125" bestFit="1" customWidth="1"/>
    <col min="3" max="3" width="69.875" bestFit="1" customWidth="1"/>
    <col min="4" max="4" width="53.875" customWidth="1"/>
  </cols>
  <sheetData>
    <row r="2" spans="2:4">
      <c r="B2" s="29" t="s">
        <v>406</v>
      </c>
      <c r="C2" s="29" t="s">
        <v>418</v>
      </c>
      <c r="D2" s="29" t="s">
        <v>391</v>
      </c>
    </row>
    <row r="3" spans="2:4" ht="27">
      <c r="B3" s="30">
        <v>1</v>
      </c>
      <c r="C3" s="43" t="s">
        <v>419</v>
      </c>
      <c r="D3" s="5"/>
    </row>
    <row r="4" spans="2:4" ht="27">
      <c r="B4" s="30">
        <v>2</v>
      </c>
      <c r="C4" s="43" t="s">
        <v>420</v>
      </c>
      <c r="D4" s="5"/>
    </row>
    <row r="5" spans="2:4">
      <c r="B5" s="30">
        <v>3</v>
      </c>
      <c r="C5" s="43" t="s">
        <v>421</v>
      </c>
      <c r="D5" s="5"/>
    </row>
    <row r="6" spans="2:4" ht="27">
      <c r="B6" s="30">
        <v>4</v>
      </c>
      <c r="C6" s="43" t="s">
        <v>422</v>
      </c>
      <c r="D6" s="5"/>
    </row>
    <row r="7" spans="2:4">
      <c r="B7" s="30">
        <v>5</v>
      </c>
      <c r="C7" s="43" t="s">
        <v>423</v>
      </c>
      <c r="D7" s="5"/>
    </row>
    <row r="8" spans="2:4" ht="27">
      <c r="B8" s="30">
        <v>6</v>
      </c>
      <c r="C8" s="43" t="s">
        <v>424</v>
      </c>
      <c r="D8" s="5"/>
    </row>
    <row r="9" spans="2:4" ht="40.5">
      <c r="B9" s="30">
        <v>7</v>
      </c>
      <c r="C9" s="43" t="s">
        <v>425</v>
      </c>
      <c r="D9" s="5"/>
    </row>
    <row r="10" spans="2:4" ht="27">
      <c r="B10" s="30">
        <v>8</v>
      </c>
      <c r="C10" s="43" t="s">
        <v>426</v>
      </c>
      <c r="D10" s="5"/>
    </row>
    <row r="11" spans="2:4" ht="27">
      <c r="B11" s="30">
        <v>9</v>
      </c>
      <c r="C11" s="43" t="s">
        <v>427</v>
      </c>
      <c r="D11"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8329-1387-4A1D-9183-35794061E964}">
  <dimension ref="A1:AI29"/>
  <sheetViews>
    <sheetView showZeros="0" tabSelected="1" zoomScale="60" zoomScaleNormal="60" workbookViewId="0">
      <selection activeCell="I10" sqref="I10"/>
    </sheetView>
  </sheetViews>
  <sheetFormatPr defaultColWidth="15.375" defaultRowHeight="13.5"/>
  <cols>
    <col min="1" max="1" width="6.5" style="1" bestFit="1" customWidth="1"/>
    <col min="2" max="2" width="36" style="1" bestFit="1" customWidth="1"/>
    <col min="3" max="3" width="23.875" style="1" customWidth="1"/>
    <col min="4" max="4" width="39.75" style="1" customWidth="1"/>
    <col min="5" max="5" width="31" style="1" customWidth="1"/>
    <col min="6" max="7" width="9.625" style="1" bestFit="1" customWidth="1"/>
    <col min="8" max="8" width="15" style="1" bestFit="1" customWidth="1"/>
    <col min="9" max="9" width="53.5" style="1" customWidth="1"/>
    <col min="10" max="10" width="16.875" bestFit="1" customWidth="1"/>
    <col min="11" max="11" width="19.875" style="1" bestFit="1" customWidth="1"/>
    <col min="12" max="12" width="11.5" style="1" bestFit="1" customWidth="1"/>
    <col min="13" max="13" width="9.625" style="2" bestFit="1" customWidth="1"/>
    <col min="14" max="14" width="11" style="2" bestFit="1" customWidth="1"/>
    <col min="15" max="16" width="9.625" style="2" bestFit="1" customWidth="1"/>
    <col min="17" max="17" width="21" style="1" bestFit="1" customWidth="1"/>
    <col min="18" max="18" width="19.875" style="1" bestFit="1" customWidth="1"/>
    <col min="19" max="19" width="20.875" style="1" bestFit="1" customWidth="1"/>
    <col min="20" max="20" width="26.375" style="1" bestFit="1" customWidth="1"/>
    <col min="21" max="21" width="12" style="1" bestFit="1" customWidth="1"/>
    <col min="22" max="22" width="19.375" style="1" bestFit="1" customWidth="1"/>
    <col min="23" max="27" width="9.625" style="1" bestFit="1" customWidth="1"/>
    <col min="28" max="28" width="16.875" style="1" customWidth="1"/>
    <col min="29" max="32" width="9.625" style="1" bestFit="1" customWidth="1"/>
    <col min="33" max="33" width="13.125" style="1" bestFit="1" customWidth="1"/>
    <col min="34" max="34" width="9.625" style="1" bestFit="1" customWidth="1"/>
    <col min="35" max="35" width="13.125" style="1" bestFit="1" customWidth="1"/>
    <col min="36" max="16384" width="15.375" style="1"/>
  </cols>
  <sheetData>
    <row r="1" spans="1:35" ht="14.1">
      <c r="A1" s="237" t="s">
        <v>11</v>
      </c>
      <c r="B1" s="239" t="s">
        <v>12</v>
      </c>
      <c r="C1" s="240"/>
      <c r="D1" s="240"/>
      <c r="E1" s="240"/>
      <c r="F1" s="240"/>
      <c r="G1" s="240"/>
      <c r="H1" s="240"/>
      <c r="I1" s="240"/>
      <c r="J1" s="260"/>
      <c r="K1" s="240"/>
      <c r="L1" s="240"/>
      <c r="M1" s="240"/>
      <c r="N1" s="240"/>
      <c r="O1" s="240"/>
      <c r="P1" s="240"/>
      <c r="Q1" s="240"/>
      <c r="R1" s="240"/>
      <c r="S1" s="240"/>
      <c r="T1" s="240"/>
      <c r="U1" s="240"/>
      <c r="V1" s="240"/>
      <c r="W1" s="241" t="s">
        <v>13</v>
      </c>
      <c r="X1" s="242"/>
      <c r="Y1" s="242"/>
      <c r="Z1" s="242"/>
      <c r="AA1" s="242"/>
      <c r="AB1" s="242"/>
      <c r="AC1" s="242"/>
      <c r="AD1" s="242"/>
      <c r="AE1" s="242"/>
      <c r="AF1" s="242"/>
      <c r="AG1" s="242"/>
      <c r="AH1" s="242"/>
      <c r="AI1" s="242"/>
    </row>
    <row r="2" spans="1:35" s="4" customFormat="1" ht="156.75" customHeight="1">
      <c r="A2" s="238"/>
      <c r="B2" s="53" t="s">
        <v>17</v>
      </c>
      <c r="C2" s="53" t="s">
        <v>18</v>
      </c>
      <c r="D2" s="54" t="s">
        <v>19</v>
      </c>
      <c r="E2" s="54" t="s">
        <v>21</v>
      </c>
      <c r="F2" s="55" t="s">
        <v>22</v>
      </c>
      <c r="G2" s="55" t="s">
        <v>23</v>
      </c>
      <c r="H2" s="55" t="s">
        <v>24</v>
      </c>
      <c r="I2" s="56" t="s">
        <v>25</v>
      </c>
      <c r="J2" s="200" t="s">
        <v>428</v>
      </c>
      <c r="K2" s="55" t="s">
        <v>27</v>
      </c>
      <c r="L2" s="55" t="s">
        <v>28</v>
      </c>
      <c r="M2" s="55" t="s">
        <v>30</v>
      </c>
      <c r="N2" s="55" t="s">
        <v>32</v>
      </c>
      <c r="O2" s="55" t="s">
        <v>33</v>
      </c>
      <c r="P2" s="55" t="s">
        <v>35</v>
      </c>
      <c r="Q2" s="55" t="s">
        <v>36</v>
      </c>
      <c r="R2" s="55" t="s">
        <v>37</v>
      </c>
      <c r="S2" s="55" t="s">
        <v>38</v>
      </c>
      <c r="T2" s="55" t="s">
        <v>39</v>
      </c>
      <c r="U2" s="55" t="s">
        <v>40</v>
      </c>
      <c r="V2" s="55" t="s">
        <v>49</v>
      </c>
      <c r="W2" s="57" t="s">
        <v>51</v>
      </c>
      <c r="X2" s="57" t="s">
        <v>52</v>
      </c>
      <c r="Y2" s="57" t="s">
        <v>53</v>
      </c>
      <c r="Z2" s="57" t="s">
        <v>54</v>
      </c>
      <c r="AA2" s="57" t="s">
        <v>429</v>
      </c>
      <c r="AB2" s="58" t="s">
        <v>56</v>
      </c>
      <c r="AC2" s="57" t="s">
        <v>57</v>
      </c>
      <c r="AD2" s="57" t="s">
        <v>58</v>
      </c>
      <c r="AE2" s="57" t="s">
        <v>430</v>
      </c>
      <c r="AF2" s="57" t="s">
        <v>60</v>
      </c>
      <c r="AG2" s="58" t="s">
        <v>61</v>
      </c>
      <c r="AH2" s="57" t="s">
        <v>431</v>
      </c>
      <c r="AI2" s="58" t="s">
        <v>63</v>
      </c>
    </row>
    <row r="3" spans="1:35" ht="14.45">
      <c r="A3" s="48">
        <v>1</v>
      </c>
      <c r="B3" s="5" t="s">
        <v>432</v>
      </c>
      <c r="C3" s="5" t="s">
        <v>433</v>
      </c>
      <c r="D3" s="5" t="s">
        <v>434</v>
      </c>
      <c r="E3" s="44"/>
      <c r="F3" s="34" t="s">
        <v>94</v>
      </c>
      <c r="G3" s="34" t="s">
        <v>141</v>
      </c>
      <c r="H3" s="34" t="s">
        <v>224</v>
      </c>
      <c r="I3" s="34"/>
      <c r="J3" s="34" t="s">
        <v>142</v>
      </c>
      <c r="K3" s="34" t="s">
        <v>165</v>
      </c>
      <c r="L3" s="34" t="s">
        <v>172</v>
      </c>
      <c r="M3" s="34" t="s">
        <v>153</v>
      </c>
      <c r="N3" s="34" t="s">
        <v>101</v>
      </c>
      <c r="O3" s="48" t="s">
        <v>114</v>
      </c>
      <c r="P3" s="48" t="s">
        <v>114</v>
      </c>
      <c r="Q3" s="48" t="s">
        <v>115</v>
      </c>
      <c r="R3" s="48" t="s">
        <v>435</v>
      </c>
      <c r="S3" s="44" t="s">
        <v>116</v>
      </c>
      <c r="T3" s="44" t="s">
        <v>436</v>
      </c>
      <c r="U3" s="48" t="s">
        <v>156</v>
      </c>
      <c r="V3" s="48" t="s">
        <v>157</v>
      </c>
      <c r="W3" s="212">
        <v>24.833333333333332</v>
      </c>
      <c r="X3" s="213">
        <v>0.41275167785234901</v>
      </c>
      <c r="Y3" s="210">
        <v>2.8333333333333335</v>
      </c>
      <c r="Z3" s="210">
        <v>10.25</v>
      </c>
      <c r="AA3" s="209">
        <v>4.1637165352080467</v>
      </c>
      <c r="AB3" s="44"/>
      <c r="AC3" s="17">
        <v>3</v>
      </c>
      <c r="AD3" s="17">
        <v>0</v>
      </c>
      <c r="AE3" s="17">
        <v>0</v>
      </c>
      <c r="AF3" s="17">
        <v>0</v>
      </c>
      <c r="AG3" s="208">
        <v>25.75</v>
      </c>
      <c r="AH3" s="209">
        <v>4.7611204189329186</v>
      </c>
      <c r="AI3" s="208">
        <v>309</v>
      </c>
    </row>
    <row r="4" spans="1:35" ht="14.45">
      <c r="A4" s="48">
        <v>2</v>
      </c>
      <c r="B4" s="5" t="s">
        <v>432</v>
      </c>
      <c r="C4" s="5" t="s">
        <v>437</v>
      </c>
      <c r="D4" s="5" t="s">
        <v>438</v>
      </c>
      <c r="E4" s="44"/>
      <c r="F4" s="34" t="s">
        <v>94</v>
      </c>
      <c r="G4" s="34" t="s">
        <v>95</v>
      </c>
      <c r="H4" s="34" t="s">
        <v>236</v>
      </c>
      <c r="I4" s="44"/>
      <c r="J4" s="34" t="s">
        <v>97</v>
      </c>
      <c r="K4" s="34" t="s">
        <v>98</v>
      </c>
      <c r="L4" s="34" t="s">
        <v>99</v>
      </c>
      <c r="M4" s="34" t="s">
        <v>153</v>
      </c>
      <c r="N4" s="34" t="s">
        <v>101</v>
      </c>
      <c r="O4" s="48" t="s">
        <v>114</v>
      </c>
      <c r="P4" s="48" t="s">
        <v>114</v>
      </c>
      <c r="Q4" s="48" t="s">
        <v>103</v>
      </c>
      <c r="R4" s="48" t="s">
        <v>435</v>
      </c>
      <c r="S4" s="44"/>
      <c r="T4" s="44" t="s">
        <v>439</v>
      </c>
      <c r="U4" s="48" t="s">
        <v>156</v>
      </c>
      <c r="V4" s="48" t="s">
        <v>157</v>
      </c>
      <c r="W4" s="212">
        <v>39.333333333333336</v>
      </c>
      <c r="X4" s="213">
        <v>0.55720338983050843</v>
      </c>
      <c r="Y4" s="210">
        <v>0.5</v>
      </c>
      <c r="Z4" s="210">
        <v>7.25</v>
      </c>
      <c r="AA4" s="209">
        <v>4.3043176130016336</v>
      </c>
      <c r="AB4" s="44"/>
      <c r="AC4" s="17">
        <v>3</v>
      </c>
      <c r="AD4" s="17">
        <v>0</v>
      </c>
      <c r="AE4" s="17">
        <v>0</v>
      </c>
      <c r="AF4" s="17">
        <v>0</v>
      </c>
      <c r="AG4" s="208">
        <v>102.08333333333333</v>
      </c>
      <c r="AH4" s="209">
        <v>6.5730190966509605</v>
      </c>
      <c r="AI4" s="208">
        <v>1225</v>
      </c>
    </row>
    <row r="5" spans="1:35" ht="15.6">
      <c r="A5" s="48">
        <v>3</v>
      </c>
      <c r="B5" s="5" t="s">
        <v>440</v>
      </c>
      <c r="C5" s="5" t="s">
        <v>441</v>
      </c>
      <c r="D5" s="5" t="s">
        <v>442</v>
      </c>
      <c r="E5" s="34"/>
      <c r="F5" s="34" t="s">
        <v>94</v>
      </c>
      <c r="G5" s="227" t="s">
        <v>141</v>
      </c>
      <c r="H5" s="227" t="s">
        <v>443</v>
      </c>
      <c r="I5" s="227"/>
      <c r="J5" s="227" t="s">
        <v>444</v>
      </c>
      <c r="K5" s="227"/>
      <c r="L5" s="227" t="s">
        <v>172</v>
      </c>
      <c r="M5" s="228"/>
      <c r="N5" s="228" t="s">
        <v>101</v>
      </c>
      <c r="O5" s="228" t="s">
        <v>445</v>
      </c>
      <c r="P5" s="228" t="s">
        <v>445</v>
      </c>
      <c r="Q5" s="227" t="s">
        <v>183</v>
      </c>
      <c r="R5" s="227"/>
      <c r="S5" s="227" t="s">
        <v>446</v>
      </c>
      <c r="T5" s="227" t="s">
        <v>447</v>
      </c>
      <c r="U5" s="227" t="s">
        <v>448</v>
      </c>
      <c r="V5" s="227" t="s">
        <v>449</v>
      </c>
      <c r="W5" s="212">
        <v>151</v>
      </c>
      <c r="X5" s="213">
        <v>0.64900662251655628</v>
      </c>
      <c r="Y5" s="210">
        <v>2.4166666666666665</v>
      </c>
      <c r="Z5" s="210">
        <v>23.833333333333332</v>
      </c>
      <c r="AA5" s="209">
        <v>3.2438885125586787</v>
      </c>
      <c r="AB5" s="44"/>
      <c r="AC5" s="17">
        <v>0</v>
      </c>
      <c r="AD5" s="17">
        <v>8.3333333333333329E-2</v>
      </c>
      <c r="AE5" s="17">
        <v>6.9675925925925929E-3</v>
      </c>
      <c r="AF5" s="17">
        <v>0</v>
      </c>
      <c r="AG5" s="208">
        <v>145.08333333333334</v>
      </c>
      <c r="AH5" s="209">
        <v>4.6373524973144127</v>
      </c>
      <c r="AI5" s="208">
        <v>1741</v>
      </c>
    </row>
    <row r="6" spans="1:35" ht="15.6">
      <c r="A6" s="48">
        <v>4</v>
      </c>
      <c r="B6" s="5" t="s">
        <v>440</v>
      </c>
      <c r="C6" s="5" t="s">
        <v>450</v>
      </c>
      <c r="D6" s="5" t="s">
        <v>451</v>
      </c>
      <c r="E6" s="44"/>
      <c r="F6" s="34" t="s">
        <v>94</v>
      </c>
      <c r="G6" s="227" t="s">
        <v>141</v>
      </c>
      <c r="H6" s="227" t="s">
        <v>443</v>
      </c>
      <c r="I6" s="227"/>
      <c r="J6" s="34" t="s">
        <v>97</v>
      </c>
      <c r="K6" s="227"/>
      <c r="L6" s="227" t="s">
        <v>172</v>
      </c>
      <c r="M6" s="230"/>
      <c r="N6" s="230" t="s">
        <v>101</v>
      </c>
      <c r="O6" s="230"/>
      <c r="P6" s="230" t="s">
        <v>452</v>
      </c>
      <c r="Q6" s="227"/>
      <c r="R6" s="227"/>
      <c r="S6" s="227"/>
      <c r="T6" s="227"/>
      <c r="U6" s="227"/>
      <c r="V6" s="227"/>
      <c r="W6" s="212">
        <v>18.333333333333332</v>
      </c>
      <c r="X6" s="213">
        <v>0.39090909090909093</v>
      </c>
      <c r="Y6" s="210">
        <v>1.4166666666666667</v>
      </c>
      <c r="Z6" s="210">
        <v>5.916666666666667</v>
      </c>
      <c r="AA6" s="209">
        <v>1.7755087584579772</v>
      </c>
      <c r="AB6" s="44"/>
      <c r="AC6" s="17">
        <v>0</v>
      </c>
      <c r="AD6" s="17">
        <v>0.16666666666666666</v>
      </c>
      <c r="AE6" s="17">
        <v>38.674467592592592</v>
      </c>
      <c r="AF6" s="17">
        <v>1</v>
      </c>
      <c r="AG6" s="208">
        <v>165</v>
      </c>
      <c r="AH6" s="209">
        <v>5.0040499735847046</v>
      </c>
      <c r="AI6" s="208">
        <v>1980</v>
      </c>
    </row>
    <row r="7" spans="1:35" ht="15.6">
      <c r="A7" s="48">
        <v>5</v>
      </c>
      <c r="B7" s="5" t="s">
        <v>440</v>
      </c>
      <c r="C7" s="5" t="s">
        <v>453</v>
      </c>
      <c r="D7" s="5" t="s">
        <v>454</v>
      </c>
      <c r="E7" s="44"/>
      <c r="F7" s="34" t="s">
        <v>94</v>
      </c>
      <c r="G7" s="227" t="s">
        <v>141</v>
      </c>
      <c r="H7" s="227" t="s">
        <v>443</v>
      </c>
      <c r="I7" s="227"/>
      <c r="J7" s="227" t="s">
        <v>455</v>
      </c>
      <c r="K7" s="227"/>
      <c r="L7" s="227" t="s">
        <v>456</v>
      </c>
      <c r="M7" s="228" t="s">
        <v>457</v>
      </c>
      <c r="N7" s="228" t="s">
        <v>101</v>
      </c>
      <c r="O7" s="228"/>
      <c r="P7" s="228" t="s">
        <v>452</v>
      </c>
      <c r="Q7" s="227"/>
      <c r="R7" s="227"/>
      <c r="S7" s="227"/>
      <c r="T7" s="227"/>
      <c r="U7" s="227"/>
      <c r="V7" s="227"/>
      <c r="W7" s="212">
        <v>19.5</v>
      </c>
      <c r="X7" s="213">
        <v>2.564102564102564E-2</v>
      </c>
      <c r="Y7" s="210">
        <v>0.83333333333333337</v>
      </c>
      <c r="Z7" s="210">
        <v>6.416666666666667</v>
      </c>
      <c r="AA7" s="209">
        <v>3.1964009452160491</v>
      </c>
      <c r="AB7" s="44"/>
      <c r="AC7" s="17">
        <v>1</v>
      </c>
      <c r="AD7" s="17">
        <v>8.3333333333333329E-2</v>
      </c>
      <c r="AE7" s="17">
        <v>42.895162037037039</v>
      </c>
      <c r="AF7" s="17">
        <v>0</v>
      </c>
      <c r="AG7" s="208">
        <v>154.58333333333334</v>
      </c>
      <c r="AH7" s="209">
        <v>5.0076628141214341</v>
      </c>
      <c r="AI7" s="208">
        <v>1855</v>
      </c>
    </row>
    <row r="8" spans="1:35" ht="14.45">
      <c r="A8" s="48">
        <v>6</v>
      </c>
      <c r="B8" s="5" t="s">
        <v>458</v>
      </c>
      <c r="C8" s="5" t="s">
        <v>459</v>
      </c>
      <c r="D8" s="5" t="s">
        <v>460</v>
      </c>
      <c r="E8" s="34" t="s">
        <v>461</v>
      </c>
      <c r="F8" s="34" t="s">
        <v>94</v>
      </c>
      <c r="G8" s="44" t="s">
        <v>462</v>
      </c>
      <c r="H8" s="44" t="s">
        <v>443</v>
      </c>
      <c r="I8" s="44"/>
      <c r="J8" s="5" t="s">
        <v>463</v>
      </c>
      <c r="K8" s="44" t="s">
        <v>445</v>
      </c>
      <c r="L8" s="44" t="s">
        <v>464</v>
      </c>
      <c r="M8" s="229" t="s">
        <v>445</v>
      </c>
      <c r="N8" s="229" t="s">
        <v>465</v>
      </c>
      <c r="O8" s="233" t="s">
        <v>445</v>
      </c>
      <c r="P8" s="233" t="s">
        <v>445</v>
      </c>
      <c r="Q8" s="44" t="s">
        <v>466</v>
      </c>
      <c r="R8" s="44" t="s">
        <v>143</v>
      </c>
      <c r="S8" s="44" t="s">
        <v>467</v>
      </c>
      <c r="T8" s="44" t="s">
        <v>466</v>
      </c>
      <c r="U8" s="44" t="s">
        <v>468</v>
      </c>
      <c r="V8" s="44" t="s">
        <v>445</v>
      </c>
      <c r="W8" s="212">
        <v>306.83333333333331</v>
      </c>
      <c r="X8" s="213">
        <v>1.6295491580662683E-3</v>
      </c>
      <c r="Y8" s="210">
        <v>4.416666666666667</v>
      </c>
      <c r="Z8" s="210">
        <v>38.166666666666664</v>
      </c>
      <c r="AA8" s="209">
        <v>3.3330003790236629</v>
      </c>
      <c r="AB8" s="44"/>
      <c r="AC8" s="17">
        <v>16</v>
      </c>
      <c r="AD8" s="17">
        <v>8.3333333333333329E-2</v>
      </c>
      <c r="AE8" s="17">
        <v>2.1038773148148149</v>
      </c>
      <c r="AF8" s="17">
        <v>0</v>
      </c>
      <c r="AG8" s="208">
        <v>61.583333333333336</v>
      </c>
      <c r="AH8" s="209">
        <v>2.4586274240374282</v>
      </c>
      <c r="AI8" s="208">
        <v>739</v>
      </c>
    </row>
    <row r="9" spans="1:35" ht="14.45">
      <c r="A9" s="48">
        <v>7</v>
      </c>
      <c r="B9" s="5" t="s">
        <v>432</v>
      </c>
      <c r="C9" s="5" t="s">
        <v>469</v>
      </c>
      <c r="D9" s="5" t="s">
        <v>470</v>
      </c>
      <c r="E9" s="44"/>
      <c r="F9" s="34" t="s">
        <v>94</v>
      </c>
      <c r="G9" s="34" t="s">
        <v>128</v>
      </c>
      <c r="H9" s="34" t="s">
        <v>149</v>
      </c>
      <c r="I9" s="44"/>
      <c r="J9" s="34" t="s">
        <v>112</v>
      </c>
      <c r="K9" s="34" t="s">
        <v>98</v>
      </c>
      <c r="L9" s="34" t="s">
        <v>99</v>
      </c>
      <c r="M9" s="34" t="s">
        <v>471</v>
      </c>
      <c r="N9" s="34" t="s">
        <v>113</v>
      </c>
      <c r="O9" s="48" t="s">
        <v>114</v>
      </c>
      <c r="P9" s="48" t="s">
        <v>102</v>
      </c>
      <c r="Q9" s="48" t="s">
        <v>143</v>
      </c>
      <c r="R9" s="48"/>
      <c r="S9" s="48"/>
      <c r="T9" s="48" t="s">
        <v>195</v>
      </c>
      <c r="U9" s="48" t="s">
        <v>145</v>
      </c>
      <c r="V9" s="44"/>
      <c r="W9" s="212">
        <v>1.5</v>
      </c>
      <c r="X9" s="213">
        <v>0</v>
      </c>
      <c r="Y9" s="210">
        <v>0</v>
      </c>
      <c r="Z9" s="210">
        <v>0.16666666666666666</v>
      </c>
      <c r="AA9" s="209">
        <v>1.8698263888888889</v>
      </c>
      <c r="AB9" s="44"/>
      <c r="AC9" s="17">
        <v>0</v>
      </c>
      <c r="AD9" s="17">
        <v>0</v>
      </c>
      <c r="AE9" s="17">
        <v>0</v>
      </c>
      <c r="AF9" s="17">
        <v>0</v>
      </c>
      <c r="AG9" s="208">
        <v>71.5</v>
      </c>
      <c r="AH9" s="209">
        <v>2.9309817246055223</v>
      </c>
      <c r="AI9" s="208">
        <v>858</v>
      </c>
    </row>
    <row r="10" spans="1:35" ht="14.45">
      <c r="A10" s="48">
        <v>8</v>
      </c>
      <c r="B10" s="5" t="s">
        <v>432</v>
      </c>
      <c r="C10" s="5" t="s">
        <v>472</v>
      </c>
      <c r="D10" s="5" t="s">
        <v>473</v>
      </c>
      <c r="E10" s="44"/>
      <c r="F10" s="34" t="s">
        <v>94</v>
      </c>
      <c r="G10" s="34" t="s">
        <v>128</v>
      </c>
      <c r="H10" s="34" t="s">
        <v>96</v>
      </c>
      <c r="I10" s="44"/>
      <c r="J10" s="34" t="s">
        <v>97</v>
      </c>
      <c r="K10" s="34" t="s">
        <v>98</v>
      </c>
      <c r="L10" s="34" t="s">
        <v>99</v>
      </c>
      <c r="M10" s="34" t="s">
        <v>153</v>
      </c>
      <c r="N10" s="34" t="s">
        <v>101</v>
      </c>
      <c r="O10" s="48" t="s">
        <v>114</v>
      </c>
      <c r="P10" s="48" t="s">
        <v>114</v>
      </c>
      <c r="Q10" s="48" t="s">
        <v>154</v>
      </c>
      <c r="R10" s="48" t="s">
        <v>474</v>
      </c>
      <c r="S10" s="44"/>
      <c r="T10" s="44"/>
      <c r="U10" s="44"/>
      <c r="V10" s="48" t="s">
        <v>157</v>
      </c>
      <c r="W10" s="212">
        <v>5.916666666666667</v>
      </c>
      <c r="X10" s="213">
        <v>0.83098591549295775</v>
      </c>
      <c r="Y10" s="210">
        <v>0.5</v>
      </c>
      <c r="Z10" s="210">
        <v>0</v>
      </c>
      <c r="AA10" s="209">
        <v>1.6257577546296296</v>
      </c>
      <c r="AB10" s="44"/>
      <c r="AC10" s="17">
        <v>0</v>
      </c>
      <c r="AD10" s="17">
        <v>0</v>
      </c>
      <c r="AE10" s="17">
        <v>0</v>
      </c>
      <c r="AF10" s="17">
        <v>0</v>
      </c>
      <c r="AG10" s="208">
        <v>51.416666666666664</v>
      </c>
      <c r="AH10" s="209">
        <v>11.631640048774718</v>
      </c>
      <c r="AI10" s="208">
        <v>617</v>
      </c>
    </row>
    <row r="11" spans="1:35" ht="14.45">
      <c r="A11" s="48">
        <v>9</v>
      </c>
      <c r="B11" s="5" t="s">
        <v>432</v>
      </c>
      <c r="C11" s="5" t="s">
        <v>475</v>
      </c>
      <c r="D11" s="5" t="s">
        <v>476</v>
      </c>
      <c r="E11" s="44"/>
      <c r="F11" s="34" t="s">
        <v>94</v>
      </c>
      <c r="G11" s="34" t="s">
        <v>141</v>
      </c>
      <c r="H11" s="34" t="s">
        <v>149</v>
      </c>
      <c r="I11" s="44"/>
      <c r="J11" s="34" t="s">
        <v>142</v>
      </c>
      <c r="K11" s="34" t="s">
        <v>98</v>
      </c>
      <c r="L11" s="34" t="s">
        <v>172</v>
      </c>
      <c r="M11" s="34" t="s">
        <v>477</v>
      </c>
      <c r="N11" s="34" t="s">
        <v>101</v>
      </c>
      <c r="O11" s="48" t="s">
        <v>114</v>
      </c>
      <c r="P11" s="48" t="s">
        <v>114</v>
      </c>
      <c r="Q11" s="48" t="s">
        <v>115</v>
      </c>
      <c r="R11" s="48" t="s">
        <v>435</v>
      </c>
      <c r="S11" s="44" t="s">
        <v>116</v>
      </c>
      <c r="T11" s="44" t="s">
        <v>478</v>
      </c>
      <c r="U11" s="48" t="s">
        <v>145</v>
      </c>
      <c r="V11" s="48" t="s">
        <v>119</v>
      </c>
      <c r="W11" s="212">
        <v>126.41666666666667</v>
      </c>
      <c r="X11" s="213">
        <v>6.5260382333553066E-2</v>
      </c>
      <c r="Y11" s="210">
        <v>5.5</v>
      </c>
      <c r="Z11" s="210">
        <v>9.5833333333333339</v>
      </c>
      <c r="AA11" s="209">
        <v>3.2929763333784177</v>
      </c>
      <c r="AB11" s="44"/>
      <c r="AC11" s="17">
        <v>5</v>
      </c>
      <c r="AD11" s="17">
        <v>0.58333333333333337</v>
      </c>
      <c r="AE11" s="17">
        <v>48.131605489417993</v>
      </c>
      <c r="AF11" s="17">
        <v>0</v>
      </c>
      <c r="AG11" s="208">
        <v>266</v>
      </c>
      <c r="AH11" s="209">
        <v>4.0924329871683423</v>
      </c>
      <c r="AI11" s="208">
        <v>3192</v>
      </c>
    </row>
    <row r="12" spans="1:35" ht="15.6">
      <c r="A12" s="48">
        <v>10</v>
      </c>
      <c r="B12" s="5" t="s">
        <v>440</v>
      </c>
      <c r="C12" s="5" t="s">
        <v>479</v>
      </c>
      <c r="D12" s="5" t="s">
        <v>480</v>
      </c>
      <c r="E12" s="44"/>
      <c r="F12" s="34" t="s">
        <v>94</v>
      </c>
      <c r="G12" s="227" t="s">
        <v>141</v>
      </c>
      <c r="H12" s="227" t="s">
        <v>443</v>
      </c>
      <c r="I12" s="227"/>
      <c r="J12" s="227" t="s">
        <v>481</v>
      </c>
      <c r="K12" s="227"/>
      <c r="L12" s="227" t="s">
        <v>456</v>
      </c>
      <c r="M12" s="228" t="s">
        <v>457</v>
      </c>
      <c r="N12" s="228" t="s">
        <v>101</v>
      </c>
      <c r="O12" s="228"/>
      <c r="P12" s="228" t="s">
        <v>452</v>
      </c>
      <c r="Q12" s="227"/>
      <c r="R12" s="48" t="s">
        <v>435</v>
      </c>
      <c r="S12" s="227" t="s">
        <v>116</v>
      </c>
      <c r="T12" s="227"/>
      <c r="U12" s="227"/>
      <c r="V12" s="227"/>
      <c r="W12" s="212">
        <v>24.25</v>
      </c>
      <c r="X12" s="213">
        <v>0.10309278350515463</v>
      </c>
      <c r="Y12" s="210">
        <v>0.58333333333333337</v>
      </c>
      <c r="Z12" s="210">
        <v>3.1666666666666665</v>
      </c>
      <c r="AA12" s="209">
        <v>4.6179989947898976</v>
      </c>
      <c r="AB12" s="44"/>
      <c r="AC12" s="17">
        <v>1</v>
      </c>
      <c r="AD12" s="17">
        <v>0</v>
      </c>
      <c r="AE12" s="17">
        <v>0</v>
      </c>
      <c r="AF12" s="17">
        <v>0</v>
      </c>
      <c r="AG12" s="208">
        <v>72.333333333333329</v>
      </c>
      <c r="AH12" s="209">
        <v>8.1493045455147737</v>
      </c>
      <c r="AI12" s="208">
        <v>868</v>
      </c>
    </row>
    <row r="15" spans="1:35" ht="244.5" customHeight="1"/>
    <row r="17" spans="2:2">
      <c r="B17" s="5"/>
    </row>
    <row r="23" spans="2:2">
      <c r="B23" s="1" t="s">
        <v>482</v>
      </c>
    </row>
    <row r="24" spans="2:2">
      <c r="B24" s="1" t="s">
        <v>483</v>
      </c>
    </row>
    <row r="25" spans="2:2">
      <c r="B25" s="1" t="s">
        <v>484</v>
      </c>
    </row>
    <row r="26" spans="2:2">
      <c r="B26" s="1" t="s">
        <v>485</v>
      </c>
    </row>
    <row r="27" spans="2:2">
      <c r="B27" s="1" t="s">
        <v>486</v>
      </c>
    </row>
    <row r="28" spans="2:2">
      <c r="B28" s="1" t="s">
        <v>487</v>
      </c>
    </row>
    <row r="29" spans="2:2">
      <c r="B29" s="1" t="s">
        <v>488</v>
      </c>
    </row>
  </sheetData>
  <autoFilter ref="A2:AI12" xr:uid="{579A36D7-8DAF-4ADD-AFD6-142604944AAD}"/>
  <mergeCells count="3">
    <mergeCell ref="A1:A2"/>
    <mergeCell ref="B1:V1"/>
    <mergeCell ref="W1:AI1"/>
  </mergeCells>
  <dataValidations count="11">
    <dataValidation type="list" allowBlank="1" showInputMessage="1" showErrorMessage="1" sqref="V3:V7" xr:uid="{AF5CC1DE-5818-4091-AD9C-D35707A75A0E}">
      <formula1>"No Documentation , Fair documentation, Good documentation, Well Documentation"</formula1>
    </dataValidation>
    <dataValidation type="list" allowBlank="1" showInputMessage="1" showErrorMessage="1" sqref="N3:N7" xr:uid="{116ABBEA-DAB8-468B-8C1B-A1E84B81C798}">
      <formula1>"Grow, Harvest, Closed Block, Sunset, blank"</formula1>
    </dataValidation>
    <dataValidation type="list" allowBlank="1" showInputMessage="1" showErrorMessage="1" sqref="M3:M7" xr:uid="{6A4481B3-02B2-4BB1-A5CC-AFB54D249285}">
      <formula1>"5 x 8, 5 x 16, 7 x 16, 7 x 24"</formula1>
    </dataValidation>
    <dataValidation type="list" allowBlank="1" showInputMessage="1" showErrorMessage="1" sqref="Q3:Q7" xr:uid="{4379FCDC-08CF-44EE-971D-78748E329F22}">
      <formula1>"Windows, Mainframes, Legacy Non-Mainframe, Product"</formula1>
    </dataValidation>
    <dataValidation type="list" allowBlank="1" showInputMessage="1" showErrorMessage="1" sqref="U3:U7" xr:uid="{5A9DA289-F15C-44C4-B5E4-C17514F5BDEF}">
      <formula1>"BATCH,ONLINE, BOTH, Services"</formula1>
    </dataValidation>
    <dataValidation type="list" allowBlank="1" showInputMessage="1" showErrorMessage="1" sqref="L3:L7" xr:uid="{6EE0C190-B523-4A45-9986-3D059AB04721}">
      <formula1>"Most critical, Critical, Less critical, Not critical"</formula1>
    </dataValidation>
    <dataValidation type="list" allowBlank="1" showInputMessage="1" showErrorMessage="1" sqref="G3:G7" xr:uid="{B6634E36-8E6C-44B0-A3E8-DF4704287D44}">
      <formula1>"Very large, Large, Medium, Small"</formula1>
    </dataValidation>
    <dataValidation type="list" allowBlank="1" showInputMessage="1" showErrorMessage="1" sqref="H3:H7" xr:uid="{BC1DE187-93FD-4DB6-9BD4-7DC9ECB91E3A}">
      <formula1>"Extremely complex, Complex, Average, Simple"</formula1>
    </dataValidation>
    <dataValidation type="list" errorStyle="information" allowBlank="1" showInputMessage="1" showErrorMessage="1" sqref="J3:J7" xr:uid="{BF16512D-3FB4-4086-9504-89039144534F}">
      <formula1>"Protected B data,No Pro-B but PI,No data sensitivity"</formula1>
    </dataValidation>
    <dataValidation type="list" errorStyle="information" allowBlank="1" showInputMessage="1" showErrorMessage="1" sqref="K3:K7" xr:uid="{CE7247C9-8612-4425-B14C-01EEADAE0C64}">
      <formula1>"Masked data in DEV,No Masked data exist"</formula1>
    </dataValidation>
    <dataValidation type="list" allowBlank="1" showInputMessage="1" showErrorMessage="1" sqref="O3:P7" xr:uid="{95088982-7E28-4A8E-9303-92C75F875220}">
      <formula1>"Yes, No"</formula1>
    </dataValidation>
  </dataValidations>
  <pageMargins left="0.7" right="0.7" top="0.75" bottom="0.75" header="0.3" footer="0.3"/>
  <pageSetup orientation="portrait"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36D7-8DAF-4ADD-AFD6-142604944AAD}">
  <dimension ref="A1:AN215"/>
  <sheetViews>
    <sheetView showZeros="0" topLeftCell="C1" zoomScale="60" zoomScaleNormal="60" workbookViewId="0">
      <selection activeCell="F208" sqref="F208"/>
    </sheetView>
  </sheetViews>
  <sheetFormatPr defaultColWidth="15.375" defaultRowHeight="13.5"/>
  <cols>
    <col min="1" max="1" width="6.5" style="1" bestFit="1" customWidth="1"/>
    <col min="2" max="2" width="36" style="1" bestFit="1" customWidth="1"/>
    <col min="3" max="3" width="23.875" style="1" customWidth="1"/>
    <col min="4" max="4" width="39.75" style="1" customWidth="1"/>
    <col min="5" max="5" width="31" style="1" customWidth="1"/>
    <col min="6" max="7" width="9.625" style="1" bestFit="1" customWidth="1"/>
    <col min="8" max="8" width="15" style="1" bestFit="1" customWidth="1"/>
    <col min="9" max="9" width="53.5" style="1" customWidth="1"/>
    <col min="10" max="10" width="16.875" bestFit="1" customWidth="1"/>
    <col min="11" max="11" width="19.875" style="1" bestFit="1" customWidth="1"/>
    <col min="12" max="12" width="11.5" style="1" bestFit="1" customWidth="1"/>
    <col min="13" max="13" width="9.625" style="2" bestFit="1" customWidth="1"/>
    <col min="14" max="14" width="11" style="2" bestFit="1" customWidth="1"/>
    <col min="15" max="16" width="9.625" style="2" bestFit="1" customWidth="1"/>
    <col min="17" max="17" width="21" style="1" bestFit="1" customWidth="1"/>
    <col min="18" max="18" width="19.875" style="1" bestFit="1" customWidth="1"/>
    <col min="19" max="19" width="20.875" style="1" bestFit="1" customWidth="1"/>
    <col min="20" max="20" width="26.375" style="1" bestFit="1" customWidth="1"/>
    <col min="21" max="21" width="12" style="1" bestFit="1" customWidth="1"/>
    <col min="22" max="22" width="19.375" style="1" bestFit="1" customWidth="1"/>
    <col min="23" max="27" width="9.625" style="1" bestFit="1" customWidth="1"/>
    <col min="28" max="28" width="16.875" style="1" customWidth="1"/>
    <col min="29" max="32" width="9.625" style="1" bestFit="1" customWidth="1"/>
    <col min="33" max="33" width="13.125" style="1" bestFit="1" customWidth="1"/>
    <col min="34" max="34" width="9.625" style="1" bestFit="1" customWidth="1"/>
    <col min="35" max="35" width="13.125" style="1" bestFit="1" customWidth="1"/>
    <col min="36" max="37" width="9.625" style="1" customWidth="1"/>
    <col min="38" max="38" width="16.875" style="1" customWidth="1"/>
    <col min="39" max="39" width="13.125" style="1" customWidth="1"/>
    <col min="40" max="40" width="9.625" style="1" customWidth="1"/>
    <col min="41" max="16384" width="15.375" style="1"/>
  </cols>
  <sheetData>
    <row r="1" spans="1:40" ht="14.1">
      <c r="A1" s="237" t="s">
        <v>11</v>
      </c>
      <c r="B1" s="239" t="s">
        <v>12</v>
      </c>
      <c r="C1" s="240"/>
      <c r="D1" s="240"/>
      <c r="E1" s="240"/>
      <c r="F1" s="240"/>
      <c r="G1" s="240"/>
      <c r="H1" s="240"/>
      <c r="I1" s="240"/>
      <c r="J1" s="260"/>
      <c r="K1" s="240"/>
      <c r="L1" s="240"/>
      <c r="M1" s="240"/>
      <c r="N1" s="240"/>
      <c r="O1" s="240"/>
      <c r="P1" s="240"/>
      <c r="Q1" s="240"/>
      <c r="R1" s="240"/>
      <c r="S1" s="240"/>
      <c r="T1" s="240"/>
      <c r="U1" s="240"/>
      <c r="V1" s="240"/>
      <c r="W1" s="241" t="s">
        <v>13</v>
      </c>
      <c r="X1" s="242"/>
      <c r="Y1" s="242"/>
      <c r="Z1" s="242"/>
      <c r="AA1" s="242"/>
      <c r="AB1" s="242"/>
      <c r="AC1" s="242"/>
      <c r="AD1" s="242"/>
      <c r="AE1" s="242"/>
      <c r="AF1" s="242"/>
      <c r="AG1" s="242"/>
      <c r="AH1" s="242"/>
      <c r="AI1" s="242"/>
      <c r="AJ1" s="242"/>
      <c r="AK1" s="242"/>
      <c r="AL1" s="242"/>
      <c r="AM1" s="242"/>
      <c r="AN1" s="242"/>
    </row>
    <row r="2" spans="1:40" s="4" customFormat="1" ht="156.75" customHeight="1">
      <c r="A2" s="238"/>
      <c r="B2" s="53" t="s">
        <v>17</v>
      </c>
      <c r="C2" s="53" t="s">
        <v>18</v>
      </c>
      <c r="D2" s="54" t="s">
        <v>19</v>
      </c>
      <c r="E2" s="54" t="s">
        <v>21</v>
      </c>
      <c r="F2" s="55" t="s">
        <v>22</v>
      </c>
      <c r="G2" s="55" t="s">
        <v>23</v>
      </c>
      <c r="H2" s="55" t="s">
        <v>24</v>
      </c>
      <c r="I2" s="56" t="s">
        <v>25</v>
      </c>
      <c r="J2" s="200" t="s">
        <v>428</v>
      </c>
      <c r="K2" s="55" t="s">
        <v>27</v>
      </c>
      <c r="L2" s="55" t="s">
        <v>28</v>
      </c>
      <c r="M2" s="55" t="s">
        <v>30</v>
      </c>
      <c r="N2" s="55" t="s">
        <v>32</v>
      </c>
      <c r="O2" s="55" t="s">
        <v>33</v>
      </c>
      <c r="P2" s="55" t="s">
        <v>35</v>
      </c>
      <c r="Q2" s="55" t="s">
        <v>36</v>
      </c>
      <c r="R2" s="55" t="s">
        <v>37</v>
      </c>
      <c r="S2" s="55" t="s">
        <v>38</v>
      </c>
      <c r="T2" s="55" t="s">
        <v>39</v>
      </c>
      <c r="U2" s="55" t="s">
        <v>40</v>
      </c>
      <c r="V2" s="55" t="s">
        <v>49</v>
      </c>
      <c r="W2" s="57" t="s">
        <v>51</v>
      </c>
      <c r="X2" s="57" t="s">
        <v>52</v>
      </c>
      <c r="Y2" s="57" t="s">
        <v>53</v>
      </c>
      <c r="Z2" s="57" t="s">
        <v>54</v>
      </c>
      <c r="AA2" s="57" t="s">
        <v>429</v>
      </c>
      <c r="AB2" s="58" t="s">
        <v>56</v>
      </c>
      <c r="AC2" s="57" t="s">
        <v>57</v>
      </c>
      <c r="AD2" s="57" t="s">
        <v>58</v>
      </c>
      <c r="AE2" s="57" t="s">
        <v>430</v>
      </c>
      <c r="AF2" s="57" t="s">
        <v>60</v>
      </c>
      <c r="AG2" s="58" t="s">
        <v>61</v>
      </c>
      <c r="AH2" s="57" t="s">
        <v>431</v>
      </c>
      <c r="AI2" s="58" t="s">
        <v>63</v>
      </c>
      <c r="AJ2" s="57" t="s">
        <v>64</v>
      </c>
      <c r="AK2" s="57" t="s">
        <v>65</v>
      </c>
      <c r="AL2" s="58" t="s">
        <v>66</v>
      </c>
      <c r="AM2" s="59" t="s">
        <v>67</v>
      </c>
      <c r="AN2" s="60" t="s">
        <v>68</v>
      </c>
    </row>
    <row r="3" spans="1:40" ht="14.45">
      <c r="A3" s="48">
        <v>1</v>
      </c>
      <c r="B3" s="5" t="s">
        <v>432</v>
      </c>
      <c r="C3" s="5" t="s">
        <v>489</v>
      </c>
      <c r="D3" s="5" t="s">
        <v>490</v>
      </c>
      <c r="E3" s="34"/>
      <c r="F3" s="34" t="s">
        <v>94</v>
      </c>
      <c r="G3" s="34" t="s">
        <v>141</v>
      </c>
      <c r="H3" s="34" t="s">
        <v>149</v>
      </c>
      <c r="I3" s="34" t="s">
        <v>491</v>
      </c>
      <c r="J3" s="34" t="s">
        <v>112</v>
      </c>
      <c r="K3" s="34" t="s">
        <v>98</v>
      </c>
      <c r="L3" s="34" t="s">
        <v>99</v>
      </c>
      <c r="M3" s="34" t="s">
        <v>477</v>
      </c>
      <c r="N3" s="34" t="s">
        <v>216</v>
      </c>
      <c r="O3" s="48" t="s">
        <v>102</v>
      </c>
      <c r="P3" s="48" t="s">
        <v>114</v>
      </c>
      <c r="Q3" s="48" t="s">
        <v>103</v>
      </c>
      <c r="R3" s="48" t="s">
        <v>492</v>
      </c>
      <c r="S3" s="48" t="s">
        <v>493</v>
      </c>
      <c r="T3" s="48" t="s">
        <v>439</v>
      </c>
      <c r="U3" s="48" t="s">
        <v>118</v>
      </c>
      <c r="V3" s="48" t="s">
        <v>119</v>
      </c>
      <c r="W3" s="212">
        <v>4.5</v>
      </c>
      <c r="X3" s="213">
        <v>0</v>
      </c>
      <c r="Y3" s="210">
        <v>0.58333333333333337</v>
      </c>
      <c r="Z3" s="210">
        <v>1.8333333333333333</v>
      </c>
      <c r="AA3" s="209">
        <v>7.5671945271164009</v>
      </c>
      <c r="AB3" s="17"/>
      <c r="AC3" s="17">
        <v>0</v>
      </c>
      <c r="AD3" s="17">
        <v>0</v>
      </c>
      <c r="AE3" s="17">
        <v>0</v>
      </c>
      <c r="AF3" s="17">
        <v>0</v>
      </c>
      <c r="AG3" s="208">
        <v>56.916666666666664</v>
      </c>
      <c r="AH3" s="209">
        <v>4.5844720441595443</v>
      </c>
      <c r="AI3" s="208">
        <v>683</v>
      </c>
      <c r="AJ3" s="48"/>
      <c r="AK3" s="48"/>
      <c r="AL3" s="48"/>
      <c r="AM3" s="48"/>
      <c r="AN3" s="48"/>
    </row>
    <row r="4" spans="1:40" ht="14.45">
      <c r="A4" s="48">
        <v>2</v>
      </c>
      <c r="B4" s="5" t="s">
        <v>432</v>
      </c>
      <c r="C4" s="5" t="s">
        <v>494</v>
      </c>
      <c r="D4" s="5" t="s">
        <v>495</v>
      </c>
      <c r="E4" s="34"/>
      <c r="F4" s="34" t="s">
        <v>94</v>
      </c>
      <c r="G4" s="34" t="s">
        <v>95</v>
      </c>
      <c r="H4" s="34" t="s">
        <v>236</v>
      </c>
      <c r="I4" s="34" t="s">
        <v>496</v>
      </c>
      <c r="J4" s="34" t="s">
        <v>142</v>
      </c>
      <c r="K4" s="34" t="s">
        <v>98</v>
      </c>
      <c r="L4" s="34" t="s">
        <v>497</v>
      </c>
      <c r="M4" s="34" t="s">
        <v>153</v>
      </c>
      <c r="N4" s="34" t="s">
        <v>101</v>
      </c>
      <c r="O4" s="48" t="s">
        <v>102</v>
      </c>
      <c r="P4" s="48" t="s">
        <v>114</v>
      </c>
      <c r="Q4" s="48" t="s">
        <v>115</v>
      </c>
      <c r="R4" s="48" t="s">
        <v>435</v>
      </c>
      <c r="S4" s="48" t="s">
        <v>245</v>
      </c>
      <c r="T4" s="48" t="s">
        <v>439</v>
      </c>
      <c r="U4" s="48" t="s">
        <v>106</v>
      </c>
      <c r="V4" s="48" t="s">
        <v>157</v>
      </c>
      <c r="W4" s="212">
        <v>0</v>
      </c>
      <c r="X4" s="213">
        <v>0</v>
      </c>
      <c r="Y4" s="210">
        <v>0</v>
      </c>
      <c r="Z4" s="210">
        <v>0</v>
      </c>
      <c r="AA4" s="209">
        <v>0</v>
      </c>
      <c r="AB4" s="48"/>
      <c r="AC4" s="17">
        <v>0</v>
      </c>
      <c r="AD4" s="17">
        <v>0</v>
      </c>
      <c r="AE4" s="17">
        <v>0</v>
      </c>
      <c r="AF4" s="17">
        <v>0</v>
      </c>
      <c r="AG4" s="208">
        <v>0</v>
      </c>
      <c r="AH4" s="209">
        <v>0</v>
      </c>
      <c r="AI4" s="208">
        <v>0</v>
      </c>
      <c r="AJ4" s="48"/>
      <c r="AK4" s="48"/>
      <c r="AL4" s="48"/>
      <c r="AM4" s="48"/>
      <c r="AN4" s="48"/>
    </row>
    <row r="5" spans="1:40" ht="14.45">
      <c r="A5" s="48">
        <v>3</v>
      </c>
      <c r="B5" s="5" t="s">
        <v>432</v>
      </c>
      <c r="C5" s="5" t="s">
        <v>498</v>
      </c>
      <c r="D5" s="5" t="s">
        <v>499</v>
      </c>
      <c r="E5" s="34"/>
      <c r="F5" s="34" t="s">
        <v>94</v>
      </c>
      <c r="G5" s="34" t="s">
        <v>128</v>
      </c>
      <c r="H5" s="34" t="s">
        <v>149</v>
      </c>
      <c r="I5" s="34"/>
      <c r="J5" s="34" t="s">
        <v>97</v>
      </c>
      <c r="K5" s="34" t="s">
        <v>98</v>
      </c>
      <c r="L5" s="34" t="s">
        <v>99</v>
      </c>
      <c r="M5" s="34" t="s">
        <v>153</v>
      </c>
      <c r="N5" s="34" t="s">
        <v>101</v>
      </c>
      <c r="O5" s="48" t="s">
        <v>102</v>
      </c>
      <c r="P5" s="48" t="s">
        <v>102</v>
      </c>
      <c r="Q5" s="48" t="s">
        <v>143</v>
      </c>
      <c r="R5" s="48" t="s">
        <v>143</v>
      </c>
      <c r="S5" s="48"/>
      <c r="T5" s="48"/>
      <c r="U5" s="48" t="s">
        <v>145</v>
      </c>
      <c r="V5" s="48" t="s">
        <v>107</v>
      </c>
      <c r="W5" s="212">
        <v>0.66666666666666663</v>
      </c>
      <c r="X5" s="213">
        <v>0</v>
      </c>
      <c r="Y5" s="210">
        <v>8.3333333333333329E-2</v>
      </c>
      <c r="Z5" s="210">
        <v>0.25</v>
      </c>
      <c r="AA5" s="209">
        <v>12.608488756613756</v>
      </c>
      <c r="AB5" s="48"/>
      <c r="AC5" s="17">
        <v>0</v>
      </c>
      <c r="AD5" s="17">
        <v>0</v>
      </c>
      <c r="AE5" s="17">
        <v>0</v>
      </c>
      <c r="AF5" s="17">
        <v>0</v>
      </c>
      <c r="AG5" s="208">
        <v>41.583333333333336</v>
      </c>
      <c r="AH5" s="209">
        <v>3.0093847592044729</v>
      </c>
      <c r="AI5" s="208">
        <v>499</v>
      </c>
      <c r="AJ5" s="48"/>
      <c r="AK5" s="48"/>
      <c r="AL5" s="48"/>
      <c r="AM5" s="48"/>
      <c r="AN5" s="48"/>
    </row>
    <row r="6" spans="1:40" ht="14.45">
      <c r="A6" s="48">
        <v>4</v>
      </c>
      <c r="B6" s="5" t="s">
        <v>432</v>
      </c>
      <c r="C6" s="5" t="s">
        <v>500</v>
      </c>
      <c r="D6" s="5" t="s">
        <v>501</v>
      </c>
      <c r="E6" s="34"/>
      <c r="F6" s="34" t="s">
        <v>94</v>
      </c>
      <c r="G6" s="34" t="s">
        <v>128</v>
      </c>
      <c r="H6" s="34" t="s">
        <v>96</v>
      </c>
      <c r="I6" s="34" t="s">
        <v>502</v>
      </c>
      <c r="J6" s="34" t="s">
        <v>142</v>
      </c>
      <c r="K6" s="34" t="s">
        <v>165</v>
      </c>
      <c r="L6" s="34" t="s">
        <v>172</v>
      </c>
      <c r="M6" s="34" t="s">
        <v>153</v>
      </c>
      <c r="N6" s="34" t="s">
        <v>216</v>
      </c>
      <c r="O6" s="48" t="s">
        <v>102</v>
      </c>
      <c r="P6" s="48" t="s">
        <v>114</v>
      </c>
      <c r="Q6" s="48" t="s">
        <v>103</v>
      </c>
      <c r="R6" s="48" t="s">
        <v>503</v>
      </c>
      <c r="S6" s="48"/>
      <c r="T6" s="48" t="s">
        <v>439</v>
      </c>
      <c r="U6" s="48" t="s">
        <v>106</v>
      </c>
      <c r="V6" s="48" t="s">
        <v>157</v>
      </c>
      <c r="W6" s="212">
        <v>0.25</v>
      </c>
      <c r="X6" s="213">
        <v>0</v>
      </c>
      <c r="Y6" s="210">
        <v>0</v>
      </c>
      <c r="Z6" s="210">
        <v>8.3333333333333329E-2</v>
      </c>
      <c r="AA6" s="209">
        <v>0</v>
      </c>
      <c r="AB6" s="48"/>
      <c r="AC6" s="17">
        <v>0</v>
      </c>
      <c r="AD6" s="17">
        <v>0</v>
      </c>
      <c r="AE6" s="17">
        <v>0</v>
      </c>
      <c r="AF6" s="17">
        <v>0</v>
      </c>
      <c r="AG6" s="208">
        <v>10.666666666666666</v>
      </c>
      <c r="AH6" s="209">
        <v>9.5275304852843981</v>
      </c>
      <c r="AI6" s="208">
        <v>128</v>
      </c>
      <c r="AJ6" s="48"/>
      <c r="AK6" s="48"/>
      <c r="AL6" s="48"/>
      <c r="AM6" s="48"/>
      <c r="AN6" s="48"/>
    </row>
    <row r="7" spans="1:40" ht="14.45">
      <c r="A7" s="48">
        <v>5</v>
      </c>
      <c r="B7" s="5" t="s">
        <v>432</v>
      </c>
      <c r="C7" s="5" t="s">
        <v>504</v>
      </c>
      <c r="D7" s="5" t="s">
        <v>505</v>
      </c>
      <c r="E7" s="44"/>
      <c r="F7" s="34" t="s">
        <v>94</v>
      </c>
      <c r="G7" s="34" t="s">
        <v>95</v>
      </c>
      <c r="H7" s="34" t="s">
        <v>96</v>
      </c>
      <c r="I7" s="34" t="s">
        <v>506</v>
      </c>
      <c r="J7" s="34" t="s">
        <v>97</v>
      </c>
      <c r="K7" s="34" t="s">
        <v>98</v>
      </c>
      <c r="L7" s="34" t="s">
        <v>497</v>
      </c>
      <c r="M7" s="34" t="s">
        <v>153</v>
      </c>
      <c r="N7" s="34" t="s">
        <v>101</v>
      </c>
      <c r="O7" s="48" t="s">
        <v>102</v>
      </c>
      <c r="P7" s="48" t="s">
        <v>102</v>
      </c>
      <c r="Q7" s="48" t="s">
        <v>143</v>
      </c>
      <c r="R7" s="48" t="s">
        <v>507</v>
      </c>
      <c r="S7" s="48"/>
      <c r="T7" s="48"/>
      <c r="U7" s="48" t="s">
        <v>145</v>
      </c>
      <c r="V7" s="48" t="s">
        <v>157</v>
      </c>
      <c r="W7" s="212">
        <v>0</v>
      </c>
      <c r="X7" s="213">
        <v>0</v>
      </c>
      <c r="Y7" s="210">
        <v>0</v>
      </c>
      <c r="Z7" s="210">
        <v>0</v>
      </c>
      <c r="AA7" s="209">
        <v>0</v>
      </c>
      <c r="AB7" s="44"/>
      <c r="AC7" s="17">
        <v>0</v>
      </c>
      <c r="AD7" s="17">
        <v>0</v>
      </c>
      <c r="AE7" s="17">
        <v>0</v>
      </c>
      <c r="AF7" s="17">
        <v>0</v>
      </c>
      <c r="AG7" s="208">
        <v>0</v>
      </c>
      <c r="AH7" s="209">
        <v>0</v>
      </c>
      <c r="AI7" s="208">
        <v>0</v>
      </c>
      <c r="AJ7" s="44"/>
      <c r="AK7" s="44"/>
      <c r="AL7" s="44"/>
      <c r="AM7" s="44"/>
      <c r="AN7" s="44"/>
    </row>
    <row r="8" spans="1:40" ht="14.45">
      <c r="A8" s="48">
        <v>6</v>
      </c>
      <c r="B8" s="5" t="s">
        <v>432</v>
      </c>
      <c r="C8" s="5" t="s">
        <v>508</v>
      </c>
      <c r="D8" s="5" t="s">
        <v>509</v>
      </c>
      <c r="E8" s="44"/>
      <c r="F8" s="34" t="s">
        <v>94</v>
      </c>
      <c r="G8" s="34" t="s">
        <v>128</v>
      </c>
      <c r="H8" s="34" t="s">
        <v>96</v>
      </c>
      <c r="I8" s="34" t="s">
        <v>502</v>
      </c>
      <c r="J8" s="34" t="s">
        <v>142</v>
      </c>
      <c r="K8" s="34" t="s">
        <v>165</v>
      </c>
      <c r="L8" s="34" t="s">
        <v>99</v>
      </c>
      <c r="M8" s="34" t="s">
        <v>477</v>
      </c>
      <c r="N8" s="34" t="s">
        <v>216</v>
      </c>
      <c r="O8" s="48" t="s">
        <v>102</v>
      </c>
      <c r="P8" s="48" t="s">
        <v>114</v>
      </c>
      <c r="Q8" s="48" t="s">
        <v>103</v>
      </c>
      <c r="R8" s="48" t="s">
        <v>503</v>
      </c>
      <c r="S8" s="44"/>
      <c r="T8" s="44" t="s">
        <v>510</v>
      </c>
      <c r="U8" s="48" t="s">
        <v>145</v>
      </c>
      <c r="V8" s="48" t="s">
        <v>119</v>
      </c>
      <c r="W8" s="212">
        <v>0.5</v>
      </c>
      <c r="X8" s="213">
        <v>0</v>
      </c>
      <c r="Y8" s="210">
        <v>8.3333333333333329E-2</v>
      </c>
      <c r="Z8" s="210">
        <v>0</v>
      </c>
      <c r="AA8" s="209">
        <v>2.535095486111111</v>
      </c>
      <c r="AB8" s="44"/>
      <c r="AC8" s="17">
        <v>0</v>
      </c>
      <c r="AD8" s="17">
        <v>0</v>
      </c>
      <c r="AE8" s="17">
        <v>0</v>
      </c>
      <c r="AF8" s="17">
        <v>0</v>
      </c>
      <c r="AG8" s="208">
        <v>8.3333333333333329E-2</v>
      </c>
      <c r="AH8" s="209">
        <v>0.27043981481481483</v>
      </c>
      <c r="AI8" s="208">
        <v>1</v>
      </c>
      <c r="AJ8" s="44"/>
      <c r="AK8" s="44"/>
      <c r="AL8" s="44"/>
      <c r="AM8" s="44"/>
      <c r="AN8" s="44"/>
    </row>
    <row r="9" spans="1:40" ht="14.45">
      <c r="A9" s="48">
        <v>7</v>
      </c>
      <c r="B9" s="5" t="s">
        <v>432</v>
      </c>
      <c r="C9" s="5" t="s">
        <v>433</v>
      </c>
      <c r="D9" s="5" t="s">
        <v>434</v>
      </c>
      <c r="E9" s="44"/>
      <c r="F9" s="34" t="s">
        <v>94</v>
      </c>
      <c r="G9" s="34" t="s">
        <v>141</v>
      </c>
      <c r="H9" s="34" t="s">
        <v>224</v>
      </c>
      <c r="I9" s="34"/>
      <c r="J9" s="34" t="s">
        <v>142</v>
      </c>
      <c r="K9" s="34" t="s">
        <v>165</v>
      </c>
      <c r="L9" s="34" t="s">
        <v>172</v>
      </c>
      <c r="M9" s="34" t="s">
        <v>153</v>
      </c>
      <c r="N9" s="34" t="s">
        <v>101</v>
      </c>
      <c r="O9" s="48" t="s">
        <v>114</v>
      </c>
      <c r="P9" s="48" t="s">
        <v>114</v>
      </c>
      <c r="Q9" s="48" t="s">
        <v>115</v>
      </c>
      <c r="R9" s="48" t="s">
        <v>435</v>
      </c>
      <c r="S9" s="44" t="s">
        <v>116</v>
      </c>
      <c r="T9" s="44" t="s">
        <v>436</v>
      </c>
      <c r="U9" s="48" t="s">
        <v>156</v>
      </c>
      <c r="V9" s="48" t="s">
        <v>157</v>
      </c>
      <c r="W9" s="212">
        <v>24.833333333333332</v>
      </c>
      <c r="X9" s="213">
        <v>0.41275167785234901</v>
      </c>
      <c r="Y9" s="210">
        <v>2.8333333333333335</v>
      </c>
      <c r="Z9" s="210">
        <v>10.25</v>
      </c>
      <c r="AA9" s="209">
        <v>4.1637165352080467</v>
      </c>
      <c r="AB9" s="44"/>
      <c r="AC9" s="17">
        <v>3</v>
      </c>
      <c r="AD9" s="17">
        <v>0</v>
      </c>
      <c r="AE9" s="17">
        <v>0</v>
      </c>
      <c r="AF9" s="17">
        <v>0</v>
      </c>
      <c r="AG9" s="208">
        <v>25.75</v>
      </c>
      <c r="AH9" s="209">
        <v>4.7611204189329186</v>
      </c>
      <c r="AI9" s="208">
        <v>309</v>
      </c>
      <c r="AJ9" s="44"/>
      <c r="AK9" s="44"/>
      <c r="AL9" s="44"/>
      <c r="AM9" s="44"/>
      <c r="AN9" s="44"/>
    </row>
    <row r="10" spans="1:40" ht="14.45">
      <c r="A10" s="48">
        <v>8</v>
      </c>
      <c r="B10" s="5" t="s">
        <v>432</v>
      </c>
      <c r="C10" s="5" t="s">
        <v>511</v>
      </c>
      <c r="D10" s="5" t="s">
        <v>512</v>
      </c>
      <c r="E10" s="44"/>
      <c r="F10" s="34" t="s">
        <v>94</v>
      </c>
      <c r="G10" s="34" t="s">
        <v>128</v>
      </c>
      <c r="H10" s="34" t="s">
        <v>96</v>
      </c>
      <c r="I10" s="44"/>
      <c r="J10" s="34" t="s">
        <v>112</v>
      </c>
      <c r="K10" s="34" t="s">
        <v>98</v>
      </c>
      <c r="L10" s="34" t="s">
        <v>99</v>
      </c>
      <c r="M10" s="34" t="s">
        <v>153</v>
      </c>
      <c r="N10" s="34" t="s">
        <v>101</v>
      </c>
      <c r="O10" s="48" t="s">
        <v>114</v>
      </c>
      <c r="P10" s="48" t="s">
        <v>102</v>
      </c>
      <c r="Q10" s="48" t="s">
        <v>103</v>
      </c>
      <c r="R10" s="44" t="s">
        <v>492</v>
      </c>
      <c r="S10" s="44"/>
      <c r="T10" s="44"/>
      <c r="U10" s="48" t="s">
        <v>118</v>
      </c>
      <c r="V10" s="48" t="s">
        <v>157</v>
      </c>
      <c r="W10" s="212">
        <v>0.25</v>
      </c>
      <c r="X10" s="213">
        <v>0.33333333333333331</v>
      </c>
      <c r="Y10" s="210">
        <v>0</v>
      </c>
      <c r="Z10" s="210">
        <v>8.3333333333333329E-2</v>
      </c>
      <c r="AA10" s="209">
        <v>0.81653356481481487</v>
      </c>
      <c r="AB10" s="44"/>
      <c r="AC10" s="17">
        <v>0</v>
      </c>
      <c r="AD10" s="17">
        <v>0</v>
      </c>
      <c r="AE10" s="17">
        <v>0</v>
      </c>
      <c r="AF10" s="17">
        <v>0</v>
      </c>
      <c r="AG10" s="208">
        <v>0</v>
      </c>
      <c r="AH10" s="209">
        <v>0</v>
      </c>
      <c r="AI10" s="208">
        <v>0</v>
      </c>
      <c r="AJ10" s="44"/>
      <c r="AK10" s="44"/>
      <c r="AL10" s="44"/>
      <c r="AM10" s="44"/>
      <c r="AN10" s="44"/>
    </row>
    <row r="11" spans="1:40" ht="14.45">
      <c r="A11" s="48">
        <v>9</v>
      </c>
      <c r="B11" s="5" t="s">
        <v>432</v>
      </c>
      <c r="C11" s="5" t="s">
        <v>513</v>
      </c>
      <c r="D11" s="5" t="s">
        <v>514</v>
      </c>
      <c r="E11" s="44"/>
      <c r="F11" s="34" t="s">
        <v>94</v>
      </c>
      <c r="G11" s="34" t="s">
        <v>128</v>
      </c>
      <c r="H11" s="34" t="s">
        <v>96</v>
      </c>
      <c r="I11" s="44"/>
      <c r="J11" s="34" t="s">
        <v>112</v>
      </c>
      <c r="K11" s="34" t="s">
        <v>98</v>
      </c>
      <c r="L11" s="34" t="s">
        <v>99</v>
      </c>
      <c r="M11" s="34" t="s">
        <v>153</v>
      </c>
      <c r="N11" s="34" t="s">
        <v>101</v>
      </c>
      <c r="O11" s="48" t="s">
        <v>114</v>
      </c>
      <c r="P11" s="48" t="s">
        <v>114</v>
      </c>
      <c r="Q11" s="48" t="s">
        <v>115</v>
      </c>
      <c r="R11" s="48" t="s">
        <v>435</v>
      </c>
      <c r="S11" s="44"/>
      <c r="T11" s="44"/>
      <c r="U11" s="48" t="s">
        <v>145</v>
      </c>
      <c r="V11" s="48" t="s">
        <v>157</v>
      </c>
      <c r="W11" s="212">
        <v>0</v>
      </c>
      <c r="X11" s="213">
        <v>0</v>
      </c>
      <c r="Y11" s="210">
        <v>0</v>
      </c>
      <c r="Z11" s="210">
        <v>0</v>
      </c>
      <c r="AA11" s="209">
        <v>0</v>
      </c>
      <c r="AB11" s="44"/>
      <c r="AC11" s="17">
        <v>0</v>
      </c>
      <c r="AD11" s="17">
        <v>0</v>
      </c>
      <c r="AE11" s="17">
        <v>0</v>
      </c>
      <c r="AF11" s="17">
        <v>0</v>
      </c>
      <c r="AG11" s="208">
        <v>7</v>
      </c>
      <c r="AH11" s="209">
        <v>10.665418113425936</v>
      </c>
      <c r="AI11" s="208">
        <v>84</v>
      </c>
      <c r="AJ11" s="44"/>
      <c r="AK11" s="44"/>
      <c r="AL11" s="44"/>
      <c r="AM11" s="44"/>
      <c r="AN11" s="44"/>
    </row>
    <row r="12" spans="1:40" ht="14.45">
      <c r="A12" s="48">
        <v>10</v>
      </c>
      <c r="B12" s="5" t="s">
        <v>432</v>
      </c>
      <c r="C12" s="5" t="s">
        <v>437</v>
      </c>
      <c r="D12" s="5" t="s">
        <v>438</v>
      </c>
      <c r="E12" s="44"/>
      <c r="F12" s="34" t="s">
        <v>94</v>
      </c>
      <c r="G12" s="34" t="s">
        <v>95</v>
      </c>
      <c r="H12" s="34" t="s">
        <v>236</v>
      </c>
      <c r="I12" s="44"/>
      <c r="J12" s="34" t="s">
        <v>97</v>
      </c>
      <c r="K12" s="34" t="s">
        <v>98</v>
      </c>
      <c r="L12" s="34" t="s">
        <v>99</v>
      </c>
      <c r="M12" s="34" t="s">
        <v>153</v>
      </c>
      <c r="N12" s="34" t="s">
        <v>101</v>
      </c>
      <c r="O12" s="48" t="s">
        <v>114</v>
      </c>
      <c r="P12" s="48" t="s">
        <v>114</v>
      </c>
      <c r="Q12" s="48" t="s">
        <v>103</v>
      </c>
      <c r="R12" s="48" t="s">
        <v>435</v>
      </c>
      <c r="S12" s="44"/>
      <c r="T12" s="44" t="s">
        <v>439</v>
      </c>
      <c r="U12" s="48" t="s">
        <v>156</v>
      </c>
      <c r="V12" s="48" t="s">
        <v>157</v>
      </c>
      <c r="W12" s="212">
        <v>39.333333333333336</v>
      </c>
      <c r="X12" s="213">
        <v>0.55720338983050843</v>
      </c>
      <c r="Y12" s="210">
        <v>0.5</v>
      </c>
      <c r="Z12" s="210">
        <v>7.25</v>
      </c>
      <c r="AA12" s="209">
        <v>4.3043176130016336</v>
      </c>
      <c r="AB12" s="44"/>
      <c r="AC12" s="17">
        <v>3</v>
      </c>
      <c r="AD12" s="17">
        <v>0</v>
      </c>
      <c r="AE12" s="17">
        <v>0</v>
      </c>
      <c r="AF12" s="17">
        <v>0</v>
      </c>
      <c r="AG12" s="208">
        <v>102.08333333333333</v>
      </c>
      <c r="AH12" s="209">
        <v>6.5730190966509605</v>
      </c>
      <c r="AI12" s="208">
        <v>1225</v>
      </c>
      <c r="AJ12" s="44"/>
      <c r="AK12" s="44"/>
      <c r="AL12" s="44"/>
      <c r="AM12" s="44"/>
      <c r="AN12" s="44"/>
    </row>
    <row r="13" spans="1:40" ht="14.45">
      <c r="A13" s="48">
        <v>11</v>
      </c>
      <c r="B13" s="5" t="s">
        <v>432</v>
      </c>
      <c r="C13" s="5" t="s">
        <v>515</v>
      </c>
      <c r="D13" s="5" t="s">
        <v>516</v>
      </c>
      <c r="E13" s="44"/>
      <c r="F13" s="34" t="s">
        <v>94</v>
      </c>
      <c r="G13" s="34" t="s">
        <v>128</v>
      </c>
      <c r="H13" s="34" t="s">
        <v>149</v>
      </c>
      <c r="I13" s="34"/>
      <c r="J13" s="34" t="s">
        <v>142</v>
      </c>
      <c r="K13" s="34" t="s">
        <v>165</v>
      </c>
      <c r="L13" s="34" t="s">
        <v>172</v>
      </c>
      <c r="M13" s="34" t="s">
        <v>153</v>
      </c>
      <c r="N13" s="34" t="s">
        <v>517</v>
      </c>
      <c r="O13" s="48" t="s">
        <v>114</v>
      </c>
      <c r="P13" s="48" t="s">
        <v>114</v>
      </c>
      <c r="Q13" s="48" t="s">
        <v>154</v>
      </c>
      <c r="R13" s="48" t="s">
        <v>435</v>
      </c>
      <c r="S13" s="44" t="s">
        <v>116</v>
      </c>
      <c r="T13" s="44" t="s">
        <v>319</v>
      </c>
      <c r="U13" s="48" t="s">
        <v>156</v>
      </c>
      <c r="V13" s="48" t="s">
        <v>157</v>
      </c>
      <c r="W13" s="212">
        <v>0</v>
      </c>
      <c r="X13" s="213">
        <v>0</v>
      </c>
      <c r="Y13" s="210">
        <v>0</v>
      </c>
      <c r="Z13" s="210">
        <v>0</v>
      </c>
      <c r="AA13" s="209">
        <v>0</v>
      </c>
      <c r="AB13" s="44"/>
      <c r="AC13" s="17">
        <v>0</v>
      </c>
      <c r="AD13" s="17">
        <v>0</v>
      </c>
      <c r="AE13" s="17">
        <v>0</v>
      </c>
      <c r="AF13" s="17">
        <v>0</v>
      </c>
      <c r="AG13" s="208">
        <v>7.25</v>
      </c>
      <c r="AH13" s="209">
        <v>11.176341203703712</v>
      </c>
      <c r="AI13" s="208">
        <v>87</v>
      </c>
      <c r="AJ13" s="44"/>
      <c r="AK13" s="44"/>
      <c r="AL13" s="44"/>
      <c r="AM13" s="44"/>
      <c r="AN13" s="44"/>
    </row>
    <row r="14" spans="1:40" ht="14.45">
      <c r="A14" s="48">
        <v>12</v>
      </c>
      <c r="B14" s="5" t="s">
        <v>432</v>
      </c>
      <c r="C14" s="5" t="s">
        <v>518</v>
      </c>
      <c r="D14" s="5" t="s">
        <v>519</v>
      </c>
      <c r="E14" s="44"/>
      <c r="F14" s="34" t="s">
        <v>94</v>
      </c>
      <c r="G14" s="34" t="s">
        <v>128</v>
      </c>
      <c r="H14" s="34" t="s">
        <v>96</v>
      </c>
      <c r="I14" s="34"/>
      <c r="J14" s="34" t="s">
        <v>97</v>
      </c>
      <c r="K14" s="34" t="s">
        <v>165</v>
      </c>
      <c r="L14" s="34" t="s">
        <v>172</v>
      </c>
      <c r="M14" s="34" t="s">
        <v>153</v>
      </c>
      <c r="N14" s="34" t="s">
        <v>101</v>
      </c>
      <c r="O14" s="48" t="s">
        <v>114</v>
      </c>
      <c r="P14" s="48" t="s">
        <v>114</v>
      </c>
      <c r="Q14" s="48" t="s">
        <v>115</v>
      </c>
      <c r="R14" s="48" t="s">
        <v>520</v>
      </c>
      <c r="S14" s="44"/>
      <c r="T14" s="44" t="s">
        <v>439</v>
      </c>
      <c r="U14" s="48" t="s">
        <v>145</v>
      </c>
      <c r="V14" s="48" t="s">
        <v>157</v>
      </c>
      <c r="W14" s="212">
        <v>8.3333333333333329E-2</v>
      </c>
      <c r="X14" s="213">
        <v>0</v>
      </c>
      <c r="Y14" s="210">
        <v>0</v>
      </c>
      <c r="Z14" s="210">
        <v>0</v>
      </c>
      <c r="AA14" s="209">
        <v>1.0016898148148148</v>
      </c>
      <c r="AB14" s="44"/>
      <c r="AC14" s="17">
        <v>1</v>
      </c>
      <c r="AD14" s="17">
        <v>0</v>
      </c>
      <c r="AE14" s="17">
        <v>0</v>
      </c>
      <c r="AF14" s="17">
        <v>0</v>
      </c>
      <c r="AG14" s="208">
        <v>45.833333333333336</v>
      </c>
      <c r="AH14" s="209">
        <v>13.309943075036717</v>
      </c>
      <c r="AI14" s="208">
        <v>550</v>
      </c>
      <c r="AJ14" s="44"/>
      <c r="AK14" s="44"/>
      <c r="AL14" s="44"/>
      <c r="AM14" s="44"/>
      <c r="AN14" s="44"/>
    </row>
    <row r="15" spans="1:40" ht="14.45">
      <c r="A15" s="48">
        <v>13</v>
      </c>
      <c r="B15" s="5" t="s">
        <v>432</v>
      </c>
      <c r="C15" s="5" t="s">
        <v>521</v>
      </c>
      <c r="D15" s="5" t="s">
        <v>522</v>
      </c>
      <c r="E15" s="44"/>
      <c r="F15" s="34" t="s">
        <v>94</v>
      </c>
      <c r="G15" s="34" t="s">
        <v>128</v>
      </c>
      <c r="H15" s="34" t="s">
        <v>96</v>
      </c>
      <c r="I15" s="34"/>
      <c r="J15" s="34" t="s">
        <v>97</v>
      </c>
      <c r="K15" s="34" t="s">
        <v>165</v>
      </c>
      <c r="L15" s="34" t="s">
        <v>99</v>
      </c>
      <c r="M15" s="34" t="s">
        <v>153</v>
      </c>
      <c r="N15" s="34" t="s">
        <v>113</v>
      </c>
      <c r="O15" s="48" t="s">
        <v>102</v>
      </c>
      <c r="P15" s="44" t="s">
        <v>114</v>
      </c>
      <c r="Q15" s="44" t="s">
        <v>115</v>
      </c>
      <c r="R15" s="48" t="s">
        <v>435</v>
      </c>
      <c r="S15" s="44" t="s">
        <v>116</v>
      </c>
      <c r="T15" s="44"/>
      <c r="U15" s="44"/>
      <c r="V15" s="48" t="s">
        <v>157</v>
      </c>
      <c r="W15" s="212">
        <v>1.0833333333333333</v>
      </c>
      <c r="X15" s="213">
        <v>0</v>
      </c>
      <c r="Y15" s="210">
        <v>8.3333333333333329E-2</v>
      </c>
      <c r="Z15" s="210">
        <v>0.16666666666666666</v>
      </c>
      <c r="AA15" s="209">
        <v>3.6026861496913583</v>
      </c>
      <c r="AB15" s="44"/>
      <c r="AC15" s="17">
        <v>0</v>
      </c>
      <c r="AD15" s="17">
        <v>0</v>
      </c>
      <c r="AE15" s="17">
        <v>0</v>
      </c>
      <c r="AF15" s="17">
        <v>0</v>
      </c>
      <c r="AG15" s="208">
        <v>12.333333333333334</v>
      </c>
      <c r="AH15" s="209">
        <v>8.4544306445868997</v>
      </c>
      <c r="AI15" s="208">
        <v>148</v>
      </c>
      <c r="AJ15" s="44"/>
      <c r="AK15" s="44"/>
      <c r="AL15" s="44"/>
      <c r="AM15" s="44"/>
      <c r="AN15" s="44"/>
    </row>
    <row r="16" spans="1:40" ht="14.45">
      <c r="A16" s="48">
        <v>14</v>
      </c>
      <c r="B16" s="5" t="s">
        <v>432</v>
      </c>
      <c r="C16" s="5" t="s">
        <v>523</v>
      </c>
      <c r="D16" s="5" t="s">
        <v>524</v>
      </c>
      <c r="E16" s="44"/>
      <c r="F16" s="34" t="s">
        <v>94</v>
      </c>
      <c r="G16" s="34" t="s">
        <v>128</v>
      </c>
      <c r="H16" s="34" t="s">
        <v>96</v>
      </c>
      <c r="I16" s="34"/>
      <c r="J16" s="34" t="s">
        <v>142</v>
      </c>
      <c r="K16" s="34" t="s">
        <v>165</v>
      </c>
      <c r="L16" s="34" t="s">
        <v>99</v>
      </c>
      <c r="M16" s="34" t="s">
        <v>153</v>
      </c>
      <c r="N16" s="34" t="s">
        <v>113</v>
      </c>
      <c r="O16" s="48" t="s">
        <v>102</v>
      </c>
      <c r="P16" s="48" t="s">
        <v>114</v>
      </c>
      <c r="Q16" s="48" t="s">
        <v>143</v>
      </c>
      <c r="R16" s="48" t="s">
        <v>520</v>
      </c>
      <c r="S16" s="44" t="s">
        <v>525</v>
      </c>
      <c r="T16" s="44" t="s">
        <v>439</v>
      </c>
      <c r="U16" s="48" t="s">
        <v>145</v>
      </c>
      <c r="V16" s="48" t="s">
        <v>157</v>
      </c>
      <c r="W16" s="212">
        <v>0</v>
      </c>
      <c r="X16" s="213">
        <v>0</v>
      </c>
      <c r="Y16" s="210">
        <v>0</v>
      </c>
      <c r="Z16" s="210">
        <v>0</v>
      </c>
      <c r="AA16" s="209">
        <v>0</v>
      </c>
      <c r="AB16" s="44"/>
      <c r="AC16" s="17">
        <v>0</v>
      </c>
      <c r="AD16" s="17">
        <v>0</v>
      </c>
      <c r="AE16" s="17">
        <v>0</v>
      </c>
      <c r="AF16" s="17">
        <v>0</v>
      </c>
      <c r="AG16" s="208">
        <v>0</v>
      </c>
      <c r="AH16" s="209">
        <v>0</v>
      </c>
      <c r="AI16" s="208">
        <v>0</v>
      </c>
      <c r="AJ16" s="44"/>
      <c r="AK16" s="44"/>
      <c r="AL16" s="44"/>
      <c r="AM16" s="44"/>
      <c r="AN16" s="44"/>
    </row>
    <row r="17" spans="1:40" ht="14.45">
      <c r="A17" s="48">
        <v>15</v>
      </c>
      <c r="B17" s="5" t="s">
        <v>432</v>
      </c>
      <c r="C17" s="5" t="s">
        <v>526</v>
      </c>
      <c r="D17" s="5" t="s">
        <v>527</v>
      </c>
      <c r="E17" s="44"/>
      <c r="F17" s="34" t="s">
        <v>94</v>
      </c>
      <c r="G17" s="34" t="s">
        <v>128</v>
      </c>
      <c r="H17" s="34" t="s">
        <v>96</v>
      </c>
      <c r="I17" s="34"/>
      <c r="J17" s="34" t="s">
        <v>112</v>
      </c>
      <c r="K17" s="34" t="s">
        <v>98</v>
      </c>
      <c r="L17" s="34" t="s">
        <v>172</v>
      </c>
      <c r="M17" s="34" t="s">
        <v>153</v>
      </c>
      <c r="N17" s="34" t="s">
        <v>517</v>
      </c>
      <c r="O17" s="48" t="s">
        <v>102</v>
      </c>
      <c r="P17" s="48" t="s">
        <v>102</v>
      </c>
      <c r="Q17" s="48" t="s">
        <v>103</v>
      </c>
      <c r="R17" s="48" t="s">
        <v>143</v>
      </c>
      <c r="S17" s="44" t="s">
        <v>525</v>
      </c>
      <c r="T17" s="44"/>
      <c r="U17" s="48" t="s">
        <v>145</v>
      </c>
      <c r="V17" s="48" t="s">
        <v>157</v>
      </c>
      <c r="W17" s="212">
        <v>16.166666666666668</v>
      </c>
      <c r="X17" s="213">
        <v>1.0309278350515464E-2</v>
      </c>
      <c r="Y17" s="210">
        <v>2.8333333333333335</v>
      </c>
      <c r="Z17" s="210">
        <v>7.833333333333333</v>
      </c>
      <c r="AA17" s="209">
        <v>4.4117194383259895</v>
      </c>
      <c r="AB17" s="44"/>
      <c r="AC17" s="17">
        <v>0</v>
      </c>
      <c r="AD17" s="17">
        <v>0</v>
      </c>
      <c r="AE17" s="17">
        <v>0</v>
      </c>
      <c r="AF17" s="17">
        <v>0</v>
      </c>
      <c r="AG17" s="208">
        <v>104.08333333333333</v>
      </c>
      <c r="AH17" s="209">
        <v>1.9357813546480405</v>
      </c>
      <c r="AI17" s="208">
        <v>1249</v>
      </c>
      <c r="AJ17" s="44"/>
      <c r="AK17" s="44"/>
      <c r="AL17" s="44"/>
      <c r="AM17" s="44"/>
      <c r="AN17" s="44"/>
    </row>
    <row r="18" spans="1:40" ht="14.45">
      <c r="A18" s="48">
        <v>16</v>
      </c>
      <c r="B18" s="5" t="s">
        <v>432</v>
      </c>
      <c r="C18" s="5" t="s">
        <v>528</v>
      </c>
      <c r="D18" s="5" t="s">
        <v>529</v>
      </c>
      <c r="E18" s="44"/>
      <c r="F18" s="34" t="s">
        <v>94</v>
      </c>
      <c r="G18" s="34" t="s">
        <v>95</v>
      </c>
      <c r="H18" s="34" t="s">
        <v>96</v>
      </c>
      <c r="I18" s="34"/>
      <c r="J18" s="34" t="s">
        <v>112</v>
      </c>
      <c r="K18" s="34" t="s">
        <v>98</v>
      </c>
      <c r="L18" s="34" t="s">
        <v>99</v>
      </c>
      <c r="M18" s="34" t="s">
        <v>153</v>
      </c>
      <c r="N18" s="34" t="s">
        <v>101</v>
      </c>
      <c r="O18" s="48" t="s">
        <v>102</v>
      </c>
      <c r="P18" s="48" t="s">
        <v>114</v>
      </c>
      <c r="Q18" s="48" t="s">
        <v>115</v>
      </c>
      <c r="R18" s="48" t="s">
        <v>520</v>
      </c>
      <c r="S18" s="48" t="s">
        <v>493</v>
      </c>
      <c r="T18" s="44" t="s">
        <v>439</v>
      </c>
      <c r="U18" s="48" t="s">
        <v>145</v>
      </c>
      <c r="V18" s="48" t="s">
        <v>157</v>
      </c>
      <c r="W18" s="212">
        <v>0.5</v>
      </c>
      <c r="X18" s="213">
        <v>0</v>
      </c>
      <c r="Y18" s="210">
        <v>0</v>
      </c>
      <c r="Z18" s="210">
        <v>8.3333333333333329E-2</v>
      </c>
      <c r="AA18" s="209">
        <v>3.8317766203703703</v>
      </c>
      <c r="AB18" s="44"/>
      <c r="AC18" s="17">
        <v>0</v>
      </c>
      <c r="AD18" s="17">
        <v>0</v>
      </c>
      <c r="AE18" s="17">
        <v>0</v>
      </c>
      <c r="AF18" s="17">
        <v>0</v>
      </c>
      <c r="AG18" s="208">
        <v>0.16666666666666666</v>
      </c>
      <c r="AH18" s="209">
        <v>18.748119212962962</v>
      </c>
      <c r="AI18" s="208">
        <v>2</v>
      </c>
      <c r="AJ18" s="44"/>
      <c r="AK18" s="44"/>
      <c r="AL18" s="44"/>
      <c r="AM18" s="44"/>
      <c r="AN18" s="44"/>
    </row>
    <row r="19" spans="1:40" ht="14.45">
      <c r="A19" s="48">
        <v>17</v>
      </c>
      <c r="B19" s="5" t="s">
        <v>432</v>
      </c>
      <c r="C19" s="5" t="s">
        <v>530</v>
      </c>
      <c r="D19" s="5" t="s">
        <v>531</v>
      </c>
      <c r="E19" s="44"/>
      <c r="F19" s="34" t="s">
        <v>94</v>
      </c>
      <c r="G19" s="34" t="s">
        <v>128</v>
      </c>
      <c r="H19" s="34" t="s">
        <v>96</v>
      </c>
      <c r="I19" s="34"/>
      <c r="J19" s="34" t="s">
        <v>142</v>
      </c>
      <c r="K19" s="34" t="s">
        <v>98</v>
      </c>
      <c r="L19" s="34" t="s">
        <v>166</v>
      </c>
      <c r="M19" s="34" t="s">
        <v>153</v>
      </c>
      <c r="N19" s="34" t="s">
        <v>101</v>
      </c>
      <c r="O19" s="48" t="s">
        <v>102</v>
      </c>
      <c r="P19" s="48" t="s">
        <v>114</v>
      </c>
      <c r="Q19" s="48" t="s">
        <v>115</v>
      </c>
      <c r="R19" s="48" t="s">
        <v>520</v>
      </c>
      <c r="S19" s="44" t="s">
        <v>116</v>
      </c>
      <c r="T19" s="44" t="s">
        <v>439</v>
      </c>
      <c r="U19" s="48" t="s">
        <v>156</v>
      </c>
      <c r="V19" s="48" t="s">
        <v>157</v>
      </c>
      <c r="W19" s="212">
        <v>0.83333333333333337</v>
      </c>
      <c r="X19" s="213">
        <v>0.9</v>
      </c>
      <c r="Y19" s="210">
        <v>0</v>
      </c>
      <c r="Z19" s="210">
        <v>0</v>
      </c>
      <c r="AA19" s="209">
        <v>4.534841820987654</v>
      </c>
      <c r="AB19" s="44"/>
      <c r="AC19" s="17">
        <v>0</v>
      </c>
      <c r="AD19" s="17">
        <v>0</v>
      </c>
      <c r="AE19" s="17">
        <v>0</v>
      </c>
      <c r="AF19" s="17">
        <v>0</v>
      </c>
      <c r="AG19" s="208">
        <v>112.75</v>
      </c>
      <c r="AH19" s="209">
        <v>5.8838286915630951</v>
      </c>
      <c r="AI19" s="208">
        <v>1353</v>
      </c>
      <c r="AJ19" s="44"/>
      <c r="AK19" s="44"/>
      <c r="AL19" s="44"/>
      <c r="AM19" s="44"/>
      <c r="AN19" s="44"/>
    </row>
    <row r="20" spans="1:40" ht="14.45">
      <c r="A20" s="48">
        <v>18</v>
      </c>
      <c r="B20" s="5" t="s">
        <v>432</v>
      </c>
      <c r="C20" s="5" t="s">
        <v>532</v>
      </c>
      <c r="D20" s="5" t="s">
        <v>533</v>
      </c>
      <c r="E20" s="44"/>
      <c r="F20" s="34" t="s">
        <v>94</v>
      </c>
      <c r="G20" s="34" t="s">
        <v>223</v>
      </c>
      <c r="H20" s="34" t="s">
        <v>224</v>
      </c>
      <c r="I20" s="34"/>
      <c r="J20" s="34" t="s">
        <v>97</v>
      </c>
      <c r="K20" s="34" t="s">
        <v>165</v>
      </c>
      <c r="L20" s="34" t="s">
        <v>166</v>
      </c>
      <c r="M20" s="34" t="s">
        <v>153</v>
      </c>
      <c r="N20" s="34" t="s">
        <v>517</v>
      </c>
      <c r="O20" s="48" t="s">
        <v>114</v>
      </c>
      <c r="P20" s="48" t="s">
        <v>114</v>
      </c>
      <c r="Q20" s="48" t="s">
        <v>154</v>
      </c>
      <c r="R20" s="48" t="s">
        <v>520</v>
      </c>
      <c r="S20" s="44" t="s">
        <v>116</v>
      </c>
      <c r="T20" s="44" t="s">
        <v>534</v>
      </c>
      <c r="U20" s="48" t="s">
        <v>118</v>
      </c>
      <c r="V20" s="48" t="s">
        <v>157</v>
      </c>
      <c r="W20" s="212">
        <v>30.75</v>
      </c>
      <c r="X20" s="213">
        <v>0.77235772357723576</v>
      </c>
      <c r="Y20" s="210">
        <v>0.33333333333333331</v>
      </c>
      <c r="Z20" s="210">
        <v>2</v>
      </c>
      <c r="AA20" s="209">
        <v>2.5218200973409304</v>
      </c>
      <c r="AB20" s="44"/>
      <c r="AC20" s="17">
        <v>1</v>
      </c>
      <c r="AD20" s="17">
        <v>0</v>
      </c>
      <c r="AE20" s="17">
        <v>0</v>
      </c>
      <c r="AF20" s="17">
        <v>0</v>
      </c>
      <c r="AG20" s="208">
        <v>58.666666666666664</v>
      </c>
      <c r="AH20" s="209">
        <v>9.9519983804623315</v>
      </c>
      <c r="AI20" s="208">
        <v>704</v>
      </c>
      <c r="AJ20" s="44"/>
      <c r="AK20" s="44"/>
      <c r="AL20" s="44"/>
      <c r="AM20" s="44"/>
      <c r="AN20" s="44"/>
    </row>
    <row r="21" spans="1:40" ht="14.45">
      <c r="A21" s="48">
        <v>19</v>
      </c>
      <c r="B21" s="5" t="s">
        <v>432</v>
      </c>
      <c r="C21" s="5" t="s">
        <v>535</v>
      </c>
      <c r="D21" s="5" t="s">
        <v>536</v>
      </c>
      <c r="E21" s="44"/>
      <c r="F21" s="34" t="s">
        <v>94</v>
      </c>
      <c r="G21" s="34" t="s">
        <v>128</v>
      </c>
      <c r="H21" s="34" t="s">
        <v>96</v>
      </c>
      <c r="I21" s="34"/>
      <c r="J21" s="34" t="s">
        <v>97</v>
      </c>
      <c r="K21" s="34" t="s">
        <v>98</v>
      </c>
      <c r="L21" s="34" t="s">
        <v>99</v>
      </c>
      <c r="M21" s="34" t="s">
        <v>153</v>
      </c>
      <c r="N21" s="34" t="s">
        <v>101</v>
      </c>
      <c r="O21" s="48" t="s">
        <v>102</v>
      </c>
      <c r="P21" s="48" t="s">
        <v>114</v>
      </c>
      <c r="Q21" s="48" t="s">
        <v>115</v>
      </c>
      <c r="R21" s="48" t="s">
        <v>435</v>
      </c>
      <c r="S21" s="44"/>
      <c r="T21" s="44"/>
      <c r="U21" s="44"/>
      <c r="V21" s="48" t="s">
        <v>157</v>
      </c>
      <c r="W21" s="212">
        <v>1.3333333333333333</v>
      </c>
      <c r="X21" s="213">
        <v>0</v>
      </c>
      <c r="Y21" s="210">
        <v>0</v>
      </c>
      <c r="Z21" s="210">
        <v>0.58333333333333337</v>
      </c>
      <c r="AA21" s="209">
        <v>1.2211002178649237</v>
      </c>
      <c r="AB21" s="44"/>
      <c r="AC21" s="17">
        <v>0</v>
      </c>
      <c r="AD21" s="17">
        <v>0</v>
      </c>
      <c r="AE21" s="17">
        <v>0</v>
      </c>
      <c r="AF21" s="17">
        <v>0</v>
      </c>
      <c r="AG21" s="208">
        <v>2.0833333333333335</v>
      </c>
      <c r="AH21" s="209">
        <v>0.15865370370370369</v>
      </c>
      <c r="AI21" s="208">
        <v>25</v>
      </c>
      <c r="AJ21" s="44"/>
      <c r="AK21" s="44"/>
      <c r="AL21" s="44"/>
      <c r="AM21" s="44"/>
      <c r="AN21" s="44"/>
    </row>
    <row r="22" spans="1:40" ht="14.45">
      <c r="A22" s="48">
        <v>20</v>
      </c>
      <c r="B22" s="5" t="s">
        <v>432</v>
      </c>
      <c r="C22" s="5" t="s">
        <v>537</v>
      </c>
      <c r="D22" s="5" t="s">
        <v>538</v>
      </c>
      <c r="E22" s="44"/>
      <c r="F22" s="34" t="s">
        <v>94</v>
      </c>
      <c r="G22" s="34" t="s">
        <v>95</v>
      </c>
      <c r="H22" s="34" t="s">
        <v>96</v>
      </c>
      <c r="I22" s="34"/>
      <c r="J22" s="34" t="s">
        <v>112</v>
      </c>
      <c r="K22" s="34" t="s">
        <v>98</v>
      </c>
      <c r="L22" s="34" t="s">
        <v>99</v>
      </c>
      <c r="M22" s="34" t="s">
        <v>153</v>
      </c>
      <c r="N22" s="34" t="s">
        <v>101</v>
      </c>
      <c r="O22" s="48" t="s">
        <v>102</v>
      </c>
      <c r="P22" s="48" t="s">
        <v>114</v>
      </c>
      <c r="Q22" s="48" t="s">
        <v>115</v>
      </c>
      <c r="R22" s="48" t="s">
        <v>435</v>
      </c>
      <c r="S22" s="44"/>
      <c r="T22" s="44"/>
      <c r="U22" s="44"/>
      <c r="V22" s="48" t="s">
        <v>157</v>
      </c>
      <c r="W22" s="212">
        <v>0</v>
      </c>
      <c r="X22" s="213">
        <v>0</v>
      </c>
      <c r="Y22" s="210">
        <v>0</v>
      </c>
      <c r="Z22" s="210">
        <v>0</v>
      </c>
      <c r="AA22" s="209">
        <v>0</v>
      </c>
      <c r="AB22" s="44"/>
      <c r="AC22" s="17">
        <v>0</v>
      </c>
      <c r="AD22" s="17">
        <v>0</v>
      </c>
      <c r="AE22" s="17">
        <v>0</v>
      </c>
      <c r="AF22" s="17">
        <v>0</v>
      </c>
      <c r="AG22" s="208">
        <v>6.916666666666667</v>
      </c>
      <c r="AH22" s="209">
        <v>11.014149221685461</v>
      </c>
      <c r="AI22" s="208">
        <v>83</v>
      </c>
      <c r="AJ22" s="44"/>
      <c r="AK22" s="44"/>
      <c r="AL22" s="44"/>
      <c r="AM22" s="44"/>
      <c r="AN22" s="44"/>
    </row>
    <row r="23" spans="1:40" ht="14.45">
      <c r="A23" s="48">
        <v>21</v>
      </c>
      <c r="B23" s="5" t="s">
        <v>432</v>
      </c>
      <c r="C23" s="5" t="s">
        <v>539</v>
      </c>
      <c r="D23" s="5" t="s">
        <v>540</v>
      </c>
      <c r="E23" s="44"/>
      <c r="F23" s="34" t="s">
        <v>94</v>
      </c>
      <c r="G23" s="34" t="s">
        <v>95</v>
      </c>
      <c r="H23" s="34" t="s">
        <v>96</v>
      </c>
      <c r="I23" s="34"/>
      <c r="J23" s="34" t="s">
        <v>97</v>
      </c>
      <c r="K23" s="34" t="s">
        <v>165</v>
      </c>
      <c r="L23" s="34" t="s">
        <v>99</v>
      </c>
      <c r="M23" s="34" t="s">
        <v>153</v>
      </c>
      <c r="N23" s="34" t="s">
        <v>113</v>
      </c>
      <c r="O23" s="48" t="s">
        <v>102</v>
      </c>
      <c r="P23" s="48" t="s">
        <v>114</v>
      </c>
      <c r="Q23" s="48" t="s">
        <v>115</v>
      </c>
      <c r="R23" s="48" t="s">
        <v>520</v>
      </c>
      <c r="S23" s="44"/>
      <c r="T23" s="44" t="s">
        <v>439</v>
      </c>
      <c r="U23" s="48" t="s">
        <v>145</v>
      </c>
      <c r="V23" s="48" t="s">
        <v>157</v>
      </c>
      <c r="W23" s="212">
        <v>0</v>
      </c>
      <c r="X23" s="213">
        <v>0</v>
      </c>
      <c r="Y23" s="210">
        <v>0</v>
      </c>
      <c r="Z23" s="210">
        <v>0</v>
      </c>
      <c r="AA23" s="209">
        <v>0</v>
      </c>
      <c r="AB23" s="44"/>
      <c r="AC23" s="17">
        <v>0</v>
      </c>
      <c r="AD23" s="17">
        <v>0</v>
      </c>
      <c r="AE23" s="17">
        <v>0</v>
      </c>
      <c r="AF23" s="17">
        <v>0</v>
      </c>
      <c r="AG23" s="208">
        <v>51.333333333333336</v>
      </c>
      <c r="AH23" s="209">
        <v>12.779675224466931</v>
      </c>
      <c r="AI23" s="208">
        <v>616</v>
      </c>
      <c r="AJ23" s="44"/>
      <c r="AK23" s="44"/>
      <c r="AL23" s="44"/>
      <c r="AM23" s="44"/>
      <c r="AN23" s="44"/>
    </row>
    <row r="24" spans="1:40" ht="14.45">
      <c r="A24" s="48">
        <v>22</v>
      </c>
      <c r="B24" s="5" t="s">
        <v>432</v>
      </c>
      <c r="C24" s="5" t="s">
        <v>541</v>
      </c>
      <c r="D24" s="5" t="s">
        <v>542</v>
      </c>
      <c r="E24" s="44"/>
      <c r="F24" s="34" t="s">
        <v>94</v>
      </c>
      <c r="G24" s="34" t="s">
        <v>223</v>
      </c>
      <c r="H24" s="34" t="s">
        <v>224</v>
      </c>
      <c r="I24" s="34"/>
      <c r="J24" s="34" t="s">
        <v>142</v>
      </c>
      <c r="K24" s="34" t="s">
        <v>165</v>
      </c>
      <c r="L24" s="34" t="s">
        <v>172</v>
      </c>
      <c r="M24" s="34" t="s">
        <v>153</v>
      </c>
      <c r="N24" s="34" t="s">
        <v>517</v>
      </c>
      <c r="O24" s="48" t="s">
        <v>102</v>
      </c>
      <c r="P24" s="48" t="s">
        <v>114</v>
      </c>
      <c r="Q24" s="48" t="s">
        <v>115</v>
      </c>
      <c r="R24" s="48" t="s">
        <v>520</v>
      </c>
      <c r="S24" s="44" t="s">
        <v>525</v>
      </c>
      <c r="T24" s="44" t="s">
        <v>436</v>
      </c>
      <c r="U24" s="48" t="s">
        <v>156</v>
      </c>
      <c r="V24" s="48" t="s">
        <v>157</v>
      </c>
      <c r="W24" s="212">
        <v>16</v>
      </c>
      <c r="X24" s="213">
        <v>0.88541666666666663</v>
      </c>
      <c r="Y24" s="210">
        <v>0</v>
      </c>
      <c r="Z24" s="210">
        <v>0.66666666666666663</v>
      </c>
      <c r="AA24" s="209">
        <v>4.6345997299382713</v>
      </c>
      <c r="AB24" s="44"/>
      <c r="AC24" s="17">
        <v>1</v>
      </c>
      <c r="AD24" s="17">
        <v>0</v>
      </c>
      <c r="AE24" s="17">
        <v>0</v>
      </c>
      <c r="AF24" s="17">
        <v>0</v>
      </c>
      <c r="AG24" s="208">
        <v>6.083333333333333</v>
      </c>
      <c r="AH24" s="209">
        <v>0.57031845238095225</v>
      </c>
      <c r="AI24" s="208">
        <v>73</v>
      </c>
      <c r="AJ24" s="44"/>
      <c r="AK24" s="44"/>
      <c r="AL24" s="44"/>
      <c r="AM24" s="44"/>
      <c r="AN24" s="44"/>
    </row>
    <row r="25" spans="1:40" ht="14.45">
      <c r="A25" s="48">
        <v>23</v>
      </c>
      <c r="B25" s="5" t="s">
        <v>440</v>
      </c>
      <c r="C25" s="5" t="s">
        <v>543</v>
      </c>
      <c r="D25" s="5" t="s">
        <v>544</v>
      </c>
      <c r="E25" s="34"/>
      <c r="F25" s="34" t="s">
        <v>94</v>
      </c>
      <c r="G25" s="44" t="s">
        <v>128</v>
      </c>
      <c r="H25" s="44" t="s">
        <v>443</v>
      </c>
      <c r="I25" s="44"/>
      <c r="J25" s="44" t="s">
        <v>463</v>
      </c>
      <c r="K25" s="44"/>
      <c r="L25" s="44"/>
      <c r="M25" s="229" t="s">
        <v>457</v>
      </c>
      <c r="N25" s="229" t="s">
        <v>216</v>
      </c>
      <c r="O25" s="229"/>
      <c r="P25" s="44" t="s">
        <v>452</v>
      </c>
      <c r="Q25" s="44" t="s">
        <v>545</v>
      </c>
      <c r="R25" s="44"/>
      <c r="S25" s="44"/>
      <c r="T25" s="44"/>
      <c r="U25" s="44"/>
      <c r="V25" s="44" t="s">
        <v>449</v>
      </c>
      <c r="W25" s="212">
        <v>17.166666666666668</v>
      </c>
      <c r="X25" s="213">
        <v>0.46116504854368934</v>
      </c>
      <c r="Y25" s="210">
        <v>3.3333333333333335</v>
      </c>
      <c r="Z25" s="210">
        <v>4.75</v>
      </c>
      <c r="AA25" s="209">
        <v>3.2170334720268792</v>
      </c>
      <c r="AB25" s="44"/>
      <c r="AC25" s="17">
        <v>0</v>
      </c>
      <c r="AD25" s="17">
        <v>0.5</v>
      </c>
      <c r="AE25" s="17">
        <v>6.5054490740740745</v>
      </c>
      <c r="AF25" s="17">
        <v>1</v>
      </c>
      <c r="AG25" s="208">
        <v>158.91666666666666</v>
      </c>
      <c r="AH25" s="209">
        <v>5.161875116176418</v>
      </c>
      <c r="AI25" s="208">
        <v>1907</v>
      </c>
      <c r="AJ25" s="44"/>
      <c r="AK25" s="44"/>
      <c r="AL25" s="44"/>
      <c r="AM25" s="44"/>
      <c r="AN25" s="44"/>
    </row>
    <row r="26" spans="1:40" ht="14.45">
      <c r="A26" s="48">
        <v>24</v>
      </c>
      <c r="B26" s="5" t="s">
        <v>440</v>
      </c>
      <c r="C26" s="5" t="s">
        <v>546</v>
      </c>
      <c r="D26" s="5" t="s">
        <v>547</v>
      </c>
      <c r="E26" s="34"/>
      <c r="F26" s="34" t="s">
        <v>94</v>
      </c>
      <c r="G26" s="44" t="s">
        <v>128</v>
      </c>
      <c r="H26" s="44" t="s">
        <v>548</v>
      </c>
      <c r="I26" s="44"/>
      <c r="J26" s="44" t="s">
        <v>463</v>
      </c>
      <c r="K26" s="44"/>
      <c r="L26" s="44"/>
      <c r="M26" s="229"/>
      <c r="N26" s="229" t="s">
        <v>216</v>
      </c>
      <c r="O26" s="229"/>
      <c r="P26" s="44" t="s">
        <v>452</v>
      </c>
      <c r="Q26" s="44" t="s">
        <v>103</v>
      </c>
      <c r="R26" s="44" t="s">
        <v>189</v>
      </c>
      <c r="S26" s="44" t="s">
        <v>116</v>
      </c>
      <c r="T26" s="44"/>
      <c r="U26" s="44"/>
      <c r="V26" s="44" t="s">
        <v>449</v>
      </c>
      <c r="W26" s="212">
        <v>14</v>
      </c>
      <c r="X26" s="213">
        <v>0.44642857142857145</v>
      </c>
      <c r="Y26" s="210">
        <v>1.1666666666666667</v>
      </c>
      <c r="Z26" s="210">
        <v>6.166666666666667</v>
      </c>
      <c r="AA26" s="209">
        <v>2.7457315114144327</v>
      </c>
      <c r="AB26" s="44"/>
      <c r="AC26" s="17">
        <v>0</v>
      </c>
      <c r="AD26" s="17">
        <v>8.3333333333333329E-2</v>
      </c>
      <c r="AE26" s="17">
        <v>128.19320601851851</v>
      </c>
      <c r="AF26" s="17">
        <v>0</v>
      </c>
      <c r="AG26" s="208">
        <v>135.83333333333334</v>
      </c>
      <c r="AH26" s="209">
        <v>5.2602109215260242</v>
      </c>
      <c r="AI26" s="208">
        <v>1630</v>
      </c>
      <c r="AJ26" s="44"/>
      <c r="AK26" s="44"/>
      <c r="AL26" s="44"/>
      <c r="AM26" s="44"/>
      <c r="AN26" s="44"/>
    </row>
    <row r="27" spans="1:40" ht="15.6">
      <c r="A27" s="48">
        <v>25</v>
      </c>
      <c r="B27" s="5" t="s">
        <v>440</v>
      </c>
      <c r="C27" s="5" t="s">
        <v>441</v>
      </c>
      <c r="D27" s="5" t="s">
        <v>442</v>
      </c>
      <c r="E27" s="34"/>
      <c r="F27" s="34" t="s">
        <v>94</v>
      </c>
      <c r="G27" s="227" t="s">
        <v>141</v>
      </c>
      <c r="H27" s="227" t="s">
        <v>443</v>
      </c>
      <c r="I27" s="227"/>
      <c r="J27" s="227" t="s">
        <v>444</v>
      </c>
      <c r="K27" s="227"/>
      <c r="L27" s="227" t="s">
        <v>172</v>
      </c>
      <c r="M27" s="228"/>
      <c r="N27" s="228" t="s">
        <v>101</v>
      </c>
      <c r="O27" s="228" t="s">
        <v>445</v>
      </c>
      <c r="P27" s="228" t="s">
        <v>445</v>
      </c>
      <c r="Q27" s="227" t="s">
        <v>183</v>
      </c>
      <c r="R27" s="227"/>
      <c r="S27" s="227" t="s">
        <v>446</v>
      </c>
      <c r="T27" s="227" t="s">
        <v>447</v>
      </c>
      <c r="U27" s="227" t="s">
        <v>448</v>
      </c>
      <c r="V27" s="227" t="s">
        <v>449</v>
      </c>
      <c r="W27" s="212">
        <v>151</v>
      </c>
      <c r="X27" s="213">
        <v>0.64900662251655628</v>
      </c>
      <c r="Y27" s="210">
        <v>2.4166666666666665</v>
      </c>
      <c r="Z27" s="210">
        <v>23.833333333333332</v>
      </c>
      <c r="AA27" s="209">
        <v>3.2438885125586787</v>
      </c>
      <c r="AB27" s="44"/>
      <c r="AC27" s="17">
        <v>0</v>
      </c>
      <c r="AD27" s="17">
        <v>8.3333333333333329E-2</v>
      </c>
      <c r="AE27" s="17">
        <v>6.9675925925925929E-3</v>
      </c>
      <c r="AF27" s="17">
        <v>0</v>
      </c>
      <c r="AG27" s="208">
        <v>145.08333333333334</v>
      </c>
      <c r="AH27" s="209">
        <v>4.6373524973144127</v>
      </c>
      <c r="AI27" s="208">
        <v>1741</v>
      </c>
      <c r="AJ27" s="44"/>
      <c r="AK27" s="44"/>
      <c r="AL27" s="44"/>
      <c r="AM27" s="44"/>
      <c r="AN27" s="44"/>
    </row>
    <row r="28" spans="1:40" ht="15.6">
      <c r="A28" s="48">
        <v>26</v>
      </c>
      <c r="B28" s="5" t="s">
        <v>440</v>
      </c>
      <c r="C28" s="5" t="s">
        <v>549</v>
      </c>
      <c r="D28" s="5" t="s">
        <v>550</v>
      </c>
      <c r="E28" s="34"/>
      <c r="F28" s="34" t="s">
        <v>94</v>
      </c>
      <c r="G28" s="227" t="s">
        <v>141</v>
      </c>
      <c r="H28" s="227" t="s">
        <v>443</v>
      </c>
      <c r="I28" s="227"/>
      <c r="J28" s="227" t="s">
        <v>463</v>
      </c>
      <c r="K28" s="227"/>
      <c r="L28" s="227" t="s">
        <v>172</v>
      </c>
      <c r="M28" s="228"/>
      <c r="N28" s="228" t="s">
        <v>101</v>
      </c>
      <c r="O28" s="228" t="s">
        <v>445</v>
      </c>
      <c r="P28" s="228" t="s">
        <v>445</v>
      </c>
      <c r="Q28" s="227" t="s">
        <v>183</v>
      </c>
      <c r="R28" s="227"/>
      <c r="S28" s="227" t="s">
        <v>551</v>
      </c>
      <c r="T28" s="227"/>
      <c r="U28" s="227"/>
      <c r="V28" s="227"/>
      <c r="W28" s="212">
        <v>0.66666666666666663</v>
      </c>
      <c r="X28" s="213">
        <v>0.75</v>
      </c>
      <c r="Y28" s="210">
        <v>8.3333333333333329E-2</v>
      </c>
      <c r="Z28" s="210">
        <v>0</v>
      </c>
      <c r="AA28" s="209">
        <v>8.7921952160493841</v>
      </c>
      <c r="AB28" s="44"/>
      <c r="AC28" s="17">
        <v>0</v>
      </c>
      <c r="AD28" s="17">
        <v>0</v>
      </c>
      <c r="AE28" s="17">
        <v>0</v>
      </c>
      <c r="AF28" s="17">
        <v>0</v>
      </c>
      <c r="AG28" s="208">
        <v>155.08333333333334</v>
      </c>
      <c r="AH28" s="209">
        <v>5.0625533258113204</v>
      </c>
      <c r="AI28" s="208">
        <v>1861</v>
      </c>
      <c r="AJ28" s="44"/>
      <c r="AK28" s="44"/>
      <c r="AL28" s="44"/>
      <c r="AM28" s="44"/>
      <c r="AN28" s="44"/>
    </row>
    <row r="29" spans="1:40" ht="15.6">
      <c r="A29" s="48">
        <v>27</v>
      </c>
      <c r="B29" s="5" t="s">
        <v>440</v>
      </c>
      <c r="C29" s="5" t="s">
        <v>552</v>
      </c>
      <c r="D29" s="5" t="s">
        <v>553</v>
      </c>
      <c r="E29" s="34"/>
      <c r="F29" s="34" t="s">
        <v>94</v>
      </c>
      <c r="G29" s="227" t="s">
        <v>95</v>
      </c>
      <c r="H29" s="227" t="s">
        <v>554</v>
      </c>
      <c r="I29" s="227"/>
      <c r="J29" s="34" t="s">
        <v>97</v>
      </c>
      <c r="K29" s="227"/>
      <c r="L29" s="227" t="s">
        <v>456</v>
      </c>
      <c r="M29" s="228"/>
      <c r="N29" s="228" t="s">
        <v>113</v>
      </c>
      <c r="O29" s="228"/>
      <c r="P29" s="228" t="s">
        <v>452</v>
      </c>
      <c r="Q29" s="227" t="s">
        <v>183</v>
      </c>
      <c r="R29" s="227"/>
      <c r="S29" s="227"/>
      <c r="T29" s="227"/>
      <c r="U29" s="227"/>
      <c r="V29" s="227" t="s">
        <v>555</v>
      </c>
      <c r="W29" s="212">
        <v>0.33333333333333331</v>
      </c>
      <c r="X29" s="213">
        <v>0</v>
      </c>
      <c r="Y29" s="210">
        <v>0</v>
      </c>
      <c r="Z29" s="210">
        <v>0</v>
      </c>
      <c r="AA29" s="209">
        <v>4.9341435185185185</v>
      </c>
      <c r="AB29" s="44"/>
      <c r="AC29" s="17">
        <v>0</v>
      </c>
      <c r="AD29" s="17">
        <v>0</v>
      </c>
      <c r="AE29" s="17">
        <v>0</v>
      </c>
      <c r="AF29" s="17">
        <v>0</v>
      </c>
      <c r="AG29" s="208">
        <v>45.75</v>
      </c>
      <c r="AH29" s="209">
        <v>13.24512254733024</v>
      </c>
      <c r="AI29" s="208">
        <v>549</v>
      </c>
      <c r="AJ29" s="44"/>
      <c r="AK29" s="44"/>
      <c r="AL29" s="44"/>
      <c r="AM29" s="44"/>
      <c r="AN29" s="44"/>
    </row>
    <row r="30" spans="1:40" ht="15.6">
      <c r="A30" s="48">
        <v>28</v>
      </c>
      <c r="B30" s="5" t="s">
        <v>440</v>
      </c>
      <c r="C30" s="5" t="s">
        <v>556</v>
      </c>
      <c r="D30" s="5" t="s">
        <v>557</v>
      </c>
      <c r="E30" s="34"/>
      <c r="F30" s="34" t="s">
        <v>94</v>
      </c>
      <c r="G30" s="227" t="s">
        <v>95</v>
      </c>
      <c r="H30" s="227" t="s">
        <v>554</v>
      </c>
      <c r="I30" s="227"/>
      <c r="J30" s="34" t="s">
        <v>97</v>
      </c>
      <c r="K30" s="227"/>
      <c r="L30" s="227" t="s">
        <v>558</v>
      </c>
      <c r="M30" s="228"/>
      <c r="N30" s="228" t="s">
        <v>101</v>
      </c>
      <c r="O30" s="228"/>
      <c r="P30" s="228" t="s">
        <v>452</v>
      </c>
      <c r="Q30" s="227"/>
      <c r="R30" s="227"/>
      <c r="S30" s="227"/>
      <c r="T30" s="227"/>
      <c r="U30" s="227"/>
      <c r="V30" s="227"/>
      <c r="W30" s="212">
        <v>0</v>
      </c>
      <c r="X30" s="213">
        <v>0</v>
      </c>
      <c r="Y30" s="210">
        <v>0</v>
      </c>
      <c r="Z30" s="210">
        <v>0</v>
      </c>
      <c r="AA30" s="209">
        <v>0</v>
      </c>
      <c r="AB30" s="44"/>
      <c r="AC30" s="17">
        <v>0</v>
      </c>
      <c r="AD30" s="17">
        <v>0</v>
      </c>
      <c r="AE30" s="17">
        <v>0</v>
      </c>
      <c r="AF30" s="17">
        <v>0</v>
      </c>
      <c r="AG30" s="208">
        <v>0.58333333333333337</v>
      </c>
      <c r="AH30" s="209">
        <v>11.01545634920635</v>
      </c>
      <c r="AI30" s="208">
        <v>7</v>
      </c>
      <c r="AJ30" s="44"/>
      <c r="AK30" s="44"/>
      <c r="AL30" s="44"/>
      <c r="AM30" s="44"/>
      <c r="AN30" s="44"/>
    </row>
    <row r="31" spans="1:40" ht="15.6">
      <c r="A31" s="48">
        <v>29</v>
      </c>
      <c r="B31" s="5" t="s">
        <v>440</v>
      </c>
      <c r="C31" s="5" t="s">
        <v>559</v>
      </c>
      <c r="D31" s="5" t="s">
        <v>560</v>
      </c>
      <c r="E31" s="34"/>
      <c r="F31" s="34" t="s">
        <v>94</v>
      </c>
      <c r="G31" s="227" t="s">
        <v>95</v>
      </c>
      <c r="H31" s="227" t="s">
        <v>548</v>
      </c>
      <c r="I31" s="227"/>
      <c r="J31" s="34" t="s">
        <v>97</v>
      </c>
      <c r="K31" s="227"/>
      <c r="L31" s="227" t="s">
        <v>456</v>
      </c>
      <c r="M31" s="228"/>
      <c r="N31" s="228" t="s">
        <v>101</v>
      </c>
      <c r="O31" s="228"/>
      <c r="P31" s="228" t="s">
        <v>561</v>
      </c>
      <c r="Q31" s="227" t="s">
        <v>492</v>
      </c>
      <c r="R31" s="227"/>
      <c r="S31" s="227"/>
      <c r="T31" s="227"/>
      <c r="U31" s="227"/>
      <c r="V31" s="227"/>
      <c r="W31" s="212">
        <v>23.5</v>
      </c>
      <c r="X31" s="213">
        <v>3.5460992907801418E-3</v>
      </c>
      <c r="Y31" s="210">
        <v>0.25</v>
      </c>
      <c r="Z31" s="210">
        <v>2.6666666666666665</v>
      </c>
      <c r="AA31" s="209">
        <v>2.4454339646464653</v>
      </c>
      <c r="AB31" s="44"/>
      <c r="AC31" s="17">
        <v>0</v>
      </c>
      <c r="AD31" s="17">
        <v>8.3333333333333329E-2</v>
      </c>
      <c r="AE31" s="17">
        <v>140.11626157407409</v>
      </c>
      <c r="AF31" s="17">
        <v>0</v>
      </c>
      <c r="AG31" s="208">
        <v>99.25</v>
      </c>
      <c r="AH31" s="209">
        <v>1.962893642859503</v>
      </c>
      <c r="AI31" s="208">
        <v>1191</v>
      </c>
      <c r="AJ31" s="44"/>
      <c r="AK31" s="44"/>
      <c r="AL31" s="44"/>
      <c r="AM31" s="44"/>
      <c r="AN31" s="44"/>
    </row>
    <row r="32" spans="1:40" ht="15.6">
      <c r="A32" s="48">
        <v>30</v>
      </c>
      <c r="B32" s="5" t="s">
        <v>440</v>
      </c>
      <c r="C32" s="5" t="s">
        <v>562</v>
      </c>
      <c r="D32" s="5" t="s">
        <v>563</v>
      </c>
      <c r="E32" s="34"/>
      <c r="F32" s="34" t="s">
        <v>94</v>
      </c>
      <c r="G32" s="227" t="s">
        <v>95</v>
      </c>
      <c r="H32" s="227" t="s">
        <v>554</v>
      </c>
      <c r="I32" s="44"/>
      <c r="J32" s="205" t="s">
        <v>463</v>
      </c>
      <c r="K32" s="227"/>
      <c r="L32" s="227" t="s">
        <v>558</v>
      </c>
      <c r="M32" s="228"/>
      <c r="N32" s="228" t="s">
        <v>101</v>
      </c>
      <c r="O32" s="228"/>
      <c r="P32" s="228" t="s">
        <v>452</v>
      </c>
      <c r="Q32" s="227" t="s">
        <v>564</v>
      </c>
      <c r="R32" s="227"/>
      <c r="S32" s="227"/>
      <c r="T32" s="227"/>
      <c r="U32" s="227"/>
      <c r="V32" s="227"/>
      <c r="W32" s="212">
        <v>7.833333333333333</v>
      </c>
      <c r="X32" s="213">
        <v>0</v>
      </c>
      <c r="Y32" s="210">
        <v>0</v>
      </c>
      <c r="Z32" s="210">
        <v>0.16666666666666666</v>
      </c>
      <c r="AA32" s="209">
        <v>3.9557247911020776</v>
      </c>
      <c r="AB32" s="44"/>
      <c r="AC32" s="17">
        <v>0</v>
      </c>
      <c r="AD32" s="17">
        <v>0</v>
      </c>
      <c r="AE32" s="17">
        <v>0</v>
      </c>
      <c r="AF32" s="17">
        <v>0</v>
      </c>
      <c r="AG32" s="208">
        <v>0.33333333333333331</v>
      </c>
      <c r="AH32" s="209">
        <v>13.550231481481482</v>
      </c>
      <c r="AI32" s="208">
        <v>4</v>
      </c>
      <c r="AJ32" s="44"/>
      <c r="AK32" s="44"/>
      <c r="AL32" s="44"/>
      <c r="AM32" s="44"/>
      <c r="AN32" s="44"/>
    </row>
    <row r="33" spans="1:40" ht="15.6">
      <c r="A33" s="48">
        <v>31</v>
      </c>
      <c r="B33" s="5" t="s">
        <v>440</v>
      </c>
      <c r="C33" s="5" t="s">
        <v>450</v>
      </c>
      <c r="D33" s="5" t="s">
        <v>451</v>
      </c>
      <c r="E33" s="44"/>
      <c r="F33" s="34" t="s">
        <v>94</v>
      </c>
      <c r="G33" s="227" t="s">
        <v>141</v>
      </c>
      <c r="H33" s="227" t="s">
        <v>443</v>
      </c>
      <c r="I33" s="227"/>
      <c r="J33" s="34" t="s">
        <v>97</v>
      </c>
      <c r="K33" s="227"/>
      <c r="L33" s="227" t="s">
        <v>172</v>
      </c>
      <c r="M33" s="230"/>
      <c r="N33" s="230" t="s">
        <v>101</v>
      </c>
      <c r="O33" s="230"/>
      <c r="P33" s="230" t="s">
        <v>452</v>
      </c>
      <c r="Q33" s="227"/>
      <c r="R33" s="227"/>
      <c r="S33" s="227"/>
      <c r="T33" s="227"/>
      <c r="U33" s="227"/>
      <c r="V33" s="227"/>
      <c r="W33" s="212">
        <v>18.333333333333332</v>
      </c>
      <c r="X33" s="213">
        <v>0.39090909090909093</v>
      </c>
      <c r="Y33" s="210">
        <v>1.4166666666666667</v>
      </c>
      <c r="Z33" s="210">
        <v>5.916666666666667</v>
      </c>
      <c r="AA33" s="209">
        <v>1.7755087584579772</v>
      </c>
      <c r="AB33" s="44"/>
      <c r="AC33" s="17">
        <v>0</v>
      </c>
      <c r="AD33" s="17">
        <v>0.16666666666666666</v>
      </c>
      <c r="AE33" s="17">
        <v>38.674467592592592</v>
      </c>
      <c r="AF33" s="17">
        <v>1</v>
      </c>
      <c r="AG33" s="208">
        <v>165</v>
      </c>
      <c r="AH33" s="209">
        <v>5.0040499735847046</v>
      </c>
      <c r="AI33" s="208">
        <v>1980</v>
      </c>
      <c r="AJ33" s="44"/>
      <c r="AK33" s="44"/>
      <c r="AL33" s="44"/>
      <c r="AM33" s="44"/>
      <c r="AN33" s="44"/>
    </row>
    <row r="34" spans="1:40" ht="15.6">
      <c r="A34" s="48">
        <v>32</v>
      </c>
      <c r="B34" s="5" t="s">
        <v>440</v>
      </c>
      <c r="C34" s="5" t="s">
        <v>565</v>
      </c>
      <c r="D34" s="5" t="s">
        <v>566</v>
      </c>
      <c r="E34" s="44"/>
      <c r="F34" s="34" t="s">
        <v>94</v>
      </c>
      <c r="G34" s="227" t="s">
        <v>128</v>
      </c>
      <c r="H34" s="227" t="s">
        <v>548</v>
      </c>
      <c r="I34" s="227"/>
      <c r="J34" s="34" t="s">
        <v>97</v>
      </c>
      <c r="K34" s="227"/>
      <c r="L34" s="44" t="s">
        <v>456</v>
      </c>
      <c r="M34" s="228"/>
      <c r="N34" s="228" t="s">
        <v>101</v>
      </c>
      <c r="O34" s="228"/>
      <c r="P34" s="228" t="s">
        <v>452</v>
      </c>
      <c r="Q34" s="227"/>
      <c r="R34" s="227"/>
      <c r="S34" s="227"/>
      <c r="T34" s="227"/>
      <c r="U34" s="227"/>
      <c r="V34" s="227"/>
      <c r="W34" s="212">
        <v>0.58333333333333337</v>
      </c>
      <c r="X34" s="213">
        <v>0.5714285714285714</v>
      </c>
      <c r="Y34" s="210">
        <v>0</v>
      </c>
      <c r="Z34" s="210">
        <v>0.16666666666666666</v>
      </c>
      <c r="AA34" s="209">
        <v>3.8313587962962972</v>
      </c>
      <c r="AB34" s="44"/>
      <c r="AC34" s="17">
        <v>0</v>
      </c>
      <c r="AD34" s="17">
        <v>0</v>
      </c>
      <c r="AE34" s="17">
        <v>0</v>
      </c>
      <c r="AF34" s="17">
        <v>0</v>
      </c>
      <c r="AG34" s="208">
        <v>45.833333333333336</v>
      </c>
      <c r="AH34" s="209">
        <v>13.261658960166894</v>
      </c>
      <c r="AI34" s="208">
        <v>550</v>
      </c>
      <c r="AJ34" s="44"/>
      <c r="AK34" s="44"/>
      <c r="AL34" s="44"/>
      <c r="AM34" s="44"/>
      <c r="AN34" s="44"/>
    </row>
    <row r="35" spans="1:40" ht="15.6">
      <c r="A35" s="48">
        <v>33</v>
      </c>
      <c r="B35" s="5" t="s">
        <v>440</v>
      </c>
      <c r="C35" s="5" t="s">
        <v>567</v>
      </c>
      <c r="D35" s="5" t="s">
        <v>568</v>
      </c>
      <c r="E35" s="44"/>
      <c r="F35" s="34" t="s">
        <v>94</v>
      </c>
      <c r="G35" s="227" t="s">
        <v>95</v>
      </c>
      <c r="H35" s="227" t="s">
        <v>554</v>
      </c>
      <c r="I35" s="227"/>
      <c r="J35" s="227" t="s">
        <v>463</v>
      </c>
      <c r="K35" s="227"/>
      <c r="L35" s="227" t="s">
        <v>456</v>
      </c>
      <c r="M35" s="228" t="s">
        <v>569</v>
      </c>
      <c r="N35" s="228" t="s">
        <v>113</v>
      </c>
      <c r="O35" s="228"/>
      <c r="P35" s="228" t="s">
        <v>452</v>
      </c>
      <c r="Q35" s="227"/>
      <c r="R35" s="227"/>
      <c r="S35" s="227"/>
      <c r="T35" s="227"/>
      <c r="U35" s="227"/>
      <c r="V35" s="227"/>
      <c r="W35" s="212">
        <v>0</v>
      </c>
      <c r="X35" s="213">
        <v>0</v>
      </c>
      <c r="Y35" s="210">
        <v>0</v>
      </c>
      <c r="Z35" s="210">
        <v>0</v>
      </c>
      <c r="AA35" s="209">
        <v>0</v>
      </c>
      <c r="AB35" s="44"/>
      <c r="AC35" s="17">
        <v>0</v>
      </c>
      <c r="AD35" s="17">
        <v>0</v>
      </c>
      <c r="AE35" s="17">
        <v>0</v>
      </c>
      <c r="AF35" s="17">
        <v>0</v>
      </c>
      <c r="AG35" s="208">
        <v>8.3333333333333329E-2</v>
      </c>
      <c r="AH35" s="209">
        <v>0</v>
      </c>
      <c r="AI35" s="208">
        <v>1</v>
      </c>
      <c r="AJ35" s="44"/>
      <c r="AK35" s="44"/>
      <c r="AL35" s="44"/>
      <c r="AM35" s="44"/>
      <c r="AN35" s="44"/>
    </row>
    <row r="36" spans="1:40" ht="15.6">
      <c r="A36" s="48">
        <v>34</v>
      </c>
      <c r="B36" s="5" t="s">
        <v>440</v>
      </c>
      <c r="C36" s="5" t="s">
        <v>570</v>
      </c>
      <c r="D36" s="5" t="s">
        <v>571</v>
      </c>
      <c r="E36" s="44"/>
      <c r="F36" s="34" t="s">
        <v>94</v>
      </c>
      <c r="G36" s="227" t="s">
        <v>95</v>
      </c>
      <c r="H36" s="227" t="s">
        <v>554</v>
      </c>
      <c r="I36" s="227"/>
      <c r="J36" s="227" t="s">
        <v>463</v>
      </c>
      <c r="K36" s="227"/>
      <c r="L36" s="227" t="s">
        <v>456</v>
      </c>
      <c r="M36" s="230" t="s">
        <v>569</v>
      </c>
      <c r="N36" s="230" t="s">
        <v>101</v>
      </c>
      <c r="O36" s="230"/>
      <c r="P36" s="230" t="s">
        <v>452</v>
      </c>
      <c r="Q36" s="227" t="s">
        <v>572</v>
      </c>
      <c r="R36" s="227"/>
      <c r="S36" s="227"/>
      <c r="T36" s="227"/>
      <c r="U36" s="227"/>
      <c r="V36" s="227"/>
      <c r="W36" s="212">
        <v>13.083333333333334</v>
      </c>
      <c r="X36" s="213">
        <v>6.369426751592357E-3</v>
      </c>
      <c r="Y36" s="210">
        <v>0.5</v>
      </c>
      <c r="Z36" s="210">
        <v>0.58333333333333337</v>
      </c>
      <c r="AA36" s="209">
        <v>5.5296113878824471</v>
      </c>
      <c r="AB36" s="44"/>
      <c r="AC36" s="17">
        <v>1</v>
      </c>
      <c r="AD36" s="17">
        <v>0</v>
      </c>
      <c r="AE36" s="17">
        <v>0</v>
      </c>
      <c r="AF36" s="17">
        <v>0</v>
      </c>
      <c r="AG36" s="208">
        <v>0.16666666666666666</v>
      </c>
      <c r="AH36" s="209">
        <v>9.8610416666666669</v>
      </c>
      <c r="AI36" s="208">
        <v>2</v>
      </c>
      <c r="AJ36" s="44"/>
      <c r="AK36" s="44"/>
      <c r="AL36" s="44"/>
      <c r="AM36" s="44"/>
      <c r="AN36" s="44"/>
    </row>
    <row r="37" spans="1:40" ht="15.6">
      <c r="A37" s="48">
        <v>35</v>
      </c>
      <c r="B37" s="5" t="s">
        <v>440</v>
      </c>
      <c r="C37" s="5" t="s">
        <v>573</v>
      </c>
      <c r="D37" s="5" t="s">
        <v>574</v>
      </c>
      <c r="E37" s="44"/>
      <c r="F37" s="34" t="s">
        <v>94</v>
      </c>
      <c r="G37" s="227" t="s">
        <v>141</v>
      </c>
      <c r="H37" s="227" t="s">
        <v>443</v>
      </c>
      <c r="I37" s="227"/>
      <c r="J37" s="227" t="s">
        <v>575</v>
      </c>
      <c r="K37" s="227"/>
      <c r="L37" s="227" t="s">
        <v>172</v>
      </c>
      <c r="M37" s="230" t="s">
        <v>457</v>
      </c>
      <c r="N37" s="230" t="s">
        <v>101</v>
      </c>
      <c r="O37" s="230" t="s">
        <v>445</v>
      </c>
      <c r="P37" s="44" t="s">
        <v>452</v>
      </c>
      <c r="Q37" s="227" t="s">
        <v>545</v>
      </c>
      <c r="R37" s="227"/>
      <c r="S37" s="227" t="s">
        <v>576</v>
      </c>
      <c r="T37" s="227"/>
      <c r="U37" s="227"/>
      <c r="V37" s="227"/>
      <c r="W37" s="212">
        <v>62.75</v>
      </c>
      <c r="X37" s="213">
        <v>1.0624169986719787E-2</v>
      </c>
      <c r="Y37" s="210">
        <v>1.4166666666666667</v>
      </c>
      <c r="Z37" s="210">
        <v>30.333333333333332</v>
      </c>
      <c r="AA37" s="209">
        <v>3.2056244247478092</v>
      </c>
      <c r="AB37" s="44"/>
      <c r="AC37" s="17">
        <v>0</v>
      </c>
      <c r="AD37" s="17">
        <v>8.3333333333333329E-2</v>
      </c>
      <c r="AE37" s="17">
        <v>44.134965277777781</v>
      </c>
      <c r="AF37" s="17">
        <v>0</v>
      </c>
      <c r="AG37" s="208">
        <v>133.33333333333334</v>
      </c>
      <c r="AH37" s="209">
        <v>3.2950416936015556</v>
      </c>
      <c r="AI37" s="208">
        <v>1600</v>
      </c>
      <c r="AJ37" s="44"/>
      <c r="AK37" s="44"/>
      <c r="AL37" s="44"/>
      <c r="AM37" s="44"/>
      <c r="AN37" s="44"/>
    </row>
    <row r="38" spans="1:40" ht="15.6">
      <c r="A38" s="48">
        <v>36</v>
      </c>
      <c r="B38" s="5" t="s">
        <v>440</v>
      </c>
      <c r="C38" s="5" t="s">
        <v>577</v>
      </c>
      <c r="D38" s="5" t="s">
        <v>578</v>
      </c>
      <c r="E38" s="44"/>
      <c r="F38" s="34" t="s">
        <v>94</v>
      </c>
      <c r="G38" s="227" t="s">
        <v>128</v>
      </c>
      <c r="H38" s="227" t="s">
        <v>548</v>
      </c>
      <c r="I38" s="227"/>
      <c r="J38" s="227" t="s">
        <v>463</v>
      </c>
      <c r="K38" s="227"/>
      <c r="L38" s="227" t="s">
        <v>456</v>
      </c>
      <c r="M38" s="228" t="s">
        <v>457</v>
      </c>
      <c r="N38" s="228" t="s">
        <v>101</v>
      </c>
      <c r="O38" s="228"/>
      <c r="P38" s="228" t="s">
        <v>452</v>
      </c>
      <c r="Q38" s="227"/>
      <c r="R38" s="227"/>
      <c r="S38" s="227"/>
      <c r="T38" s="227"/>
      <c r="U38" s="227"/>
      <c r="V38" s="227"/>
      <c r="W38" s="212">
        <v>0</v>
      </c>
      <c r="X38" s="213">
        <v>0</v>
      </c>
      <c r="Y38" s="210">
        <v>0</v>
      </c>
      <c r="Z38" s="210">
        <v>0</v>
      </c>
      <c r="AA38" s="209">
        <v>0</v>
      </c>
      <c r="AB38" s="44"/>
      <c r="AC38" s="17">
        <v>0</v>
      </c>
      <c r="AD38" s="17">
        <v>0</v>
      </c>
      <c r="AE38" s="17">
        <v>0</v>
      </c>
      <c r="AF38" s="17">
        <v>0</v>
      </c>
      <c r="AG38" s="208">
        <v>45.75</v>
      </c>
      <c r="AH38" s="209">
        <v>13.276729103483182</v>
      </c>
      <c r="AI38" s="208">
        <v>549</v>
      </c>
      <c r="AJ38" s="44"/>
      <c r="AK38" s="44"/>
      <c r="AL38" s="44"/>
      <c r="AM38" s="44"/>
      <c r="AN38" s="44"/>
    </row>
    <row r="39" spans="1:40" ht="15.6">
      <c r="A39" s="48">
        <v>37</v>
      </c>
      <c r="B39" s="5" t="s">
        <v>440</v>
      </c>
      <c r="C39" s="5" t="s">
        <v>579</v>
      </c>
      <c r="D39" s="5" t="s">
        <v>580</v>
      </c>
      <c r="E39" s="44"/>
      <c r="F39" s="34" t="s">
        <v>94</v>
      </c>
      <c r="G39" s="227" t="s">
        <v>141</v>
      </c>
      <c r="H39" s="227" t="s">
        <v>443</v>
      </c>
      <c r="I39" s="227"/>
      <c r="J39" s="227" t="s">
        <v>455</v>
      </c>
      <c r="K39" s="227"/>
      <c r="L39" s="227" t="s">
        <v>456</v>
      </c>
      <c r="M39" s="228" t="s">
        <v>457</v>
      </c>
      <c r="N39" s="228" t="s">
        <v>113</v>
      </c>
      <c r="O39" s="228"/>
      <c r="P39" s="228" t="s">
        <v>452</v>
      </c>
      <c r="Q39" s="227"/>
      <c r="R39" s="227"/>
      <c r="S39" s="227"/>
      <c r="T39" s="227"/>
      <c r="U39" s="227"/>
      <c r="V39" s="227"/>
      <c r="W39" s="212">
        <v>86.75</v>
      </c>
      <c r="X39" s="213">
        <v>1.4409221902017291E-2</v>
      </c>
      <c r="Y39" s="210">
        <v>1.75</v>
      </c>
      <c r="Z39" s="210">
        <v>32.5</v>
      </c>
      <c r="AA39" s="209">
        <v>2.744330134207241</v>
      </c>
      <c r="AB39" s="44"/>
      <c r="AC39" s="17">
        <v>3</v>
      </c>
      <c r="AD39" s="17">
        <v>8.3333333333333329E-2</v>
      </c>
      <c r="AE39" s="17">
        <v>29.853055555555557</v>
      </c>
      <c r="AF39" s="17">
        <v>0</v>
      </c>
      <c r="AG39" s="208">
        <v>39.166666666666664</v>
      </c>
      <c r="AH39" s="209">
        <v>5.3695939572968454</v>
      </c>
      <c r="AI39" s="208">
        <v>470</v>
      </c>
      <c r="AJ39" s="44"/>
      <c r="AK39" s="44"/>
      <c r="AL39" s="44"/>
      <c r="AM39" s="44"/>
      <c r="AN39" s="44"/>
    </row>
    <row r="40" spans="1:40" ht="15.6">
      <c r="A40" s="48">
        <v>38</v>
      </c>
      <c r="B40" s="5" t="s">
        <v>440</v>
      </c>
      <c r="C40" s="5" t="s">
        <v>453</v>
      </c>
      <c r="D40" s="5" t="s">
        <v>454</v>
      </c>
      <c r="E40" s="44"/>
      <c r="F40" s="34" t="s">
        <v>94</v>
      </c>
      <c r="G40" s="227" t="s">
        <v>141</v>
      </c>
      <c r="H40" s="227" t="s">
        <v>443</v>
      </c>
      <c r="I40" s="227"/>
      <c r="J40" s="227" t="s">
        <v>455</v>
      </c>
      <c r="K40" s="227"/>
      <c r="L40" s="227" t="s">
        <v>456</v>
      </c>
      <c r="M40" s="228" t="s">
        <v>457</v>
      </c>
      <c r="N40" s="228" t="s">
        <v>101</v>
      </c>
      <c r="O40" s="228"/>
      <c r="P40" s="228" t="s">
        <v>452</v>
      </c>
      <c r="Q40" s="227"/>
      <c r="R40" s="227"/>
      <c r="S40" s="227"/>
      <c r="T40" s="227"/>
      <c r="U40" s="227"/>
      <c r="V40" s="227"/>
      <c r="W40" s="212">
        <v>19.5</v>
      </c>
      <c r="X40" s="213">
        <v>2.564102564102564E-2</v>
      </c>
      <c r="Y40" s="210">
        <v>0.83333333333333337</v>
      </c>
      <c r="Z40" s="210">
        <v>6.416666666666667</v>
      </c>
      <c r="AA40" s="209">
        <v>3.1964009452160491</v>
      </c>
      <c r="AB40" s="44"/>
      <c r="AC40" s="17">
        <v>1</v>
      </c>
      <c r="AD40" s="17">
        <v>8.3333333333333329E-2</v>
      </c>
      <c r="AE40" s="17">
        <v>42.895162037037039</v>
      </c>
      <c r="AF40" s="17">
        <v>0</v>
      </c>
      <c r="AG40" s="208">
        <v>154.58333333333334</v>
      </c>
      <c r="AH40" s="209">
        <v>5.0076628141214341</v>
      </c>
      <c r="AI40" s="208">
        <v>1855</v>
      </c>
      <c r="AJ40" s="44"/>
      <c r="AK40" s="44"/>
      <c r="AL40" s="44"/>
      <c r="AM40" s="44"/>
      <c r="AN40" s="44"/>
    </row>
    <row r="41" spans="1:40" ht="15.6">
      <c r="A41" s="48">
        <v>39</v>
      </c>
      <c r="B41" s="5" t="s">
        <v>440</v>
      </c>
      <c r="C41" s="5" t="s">
        <v>581</v>
      </c>
      <c r="D41" s="5" t="s">
        <v>582</v>
      </c>
      <c r="E41" s="44"/>
      <c r="F41" s="34" t="s">
        <v>94</v>
      </c>
      <c r="G41" s="227" t="s">
        <v>128</v>
      </c>
      <c r="H41" s="227" t="s">
        <v>548</v>
      </c>
      <c r="I41" s="227"/>
      <c r="J41" s="227" t="s">
        <v>455</v>
      </c>
      <c r="K41" s="227"/>
      <c r="L41" s="227" t="s">
        <v>456</v>
      </c>
      <c r="M41" s="228" t="s">
        <v>457</v>
      </c>
      <c r="N41" s="228" t="s">
        <v>101</v>
      </c>
      <c r="O41" s="228"/>
      <c r="P41" s="228" t="s">
        <v>452</v>
      </c>
      <c r="Q41" s="227"/>
      <c r="R41" s="227"/>
      <c r="S41" s="227"/>
      <c r="T41" s="227"/>
      <c r="U41" s="227"/>
      <c r="V41" s="227"/>
      <c r="W41" s="212">
        <v>0.66666666666666663</v>
      </c>
      <c r="X41" s="213">
        <v>0.375</v>
      </c>
      <c r="Y41" s="210">
        <v>0.16666666666666666</v>
      </c>
      <c r="Z41" s="210">
        <v>0.25</v>
      </c>
      <c r="AA41" s="209">
        <v>3.3990104166666666</v>
      </c>
      <c r="AB41" s="44"/>
      <c r="AC41" s="17">
        <v>0</v>
      </c>
      <c r="AD41" s="17">
        <v>0</v>
      </c>
      <c r="AE41" s="17">
        <v>0</v>
      </c>
      <c r="AF41" s="17">
        <v>0</v>
      </c>
      <c r="AG41" s="208">
        <v>68.666666666666671</v>
      </c>
      <c r="AH41" s="209">
        <v>9.4442303150177018</v>
      </c>
      <c r="AI41" s="208">
        <v>824</v>
      </c>
      <c r="AJ41" s="44"/>
      <c r="AK41" s="44"/>
      <c r="AL41" s="44"/>
      <c r="AM41" s="44"/>
      <c r="AN41" s="44"/>
    </row>
    <row r="42" spans="1:40" ht="15.6">
      <c r="A42" s="48">
        <v>40</v>
      </c>
      <c r="B42" s="5" t="s">
        <v>440</v>
      </c>
      <c r="C42" s="5" t="s">
        <v>583</v>
      </c>
      <c r="D42" s="5" t="s">
        <v>584</v>
      </c>
      <c r="E42" s="44"/>
      <c r="F42" s="34" t="s">
        <v>94</v>
      </c>
      <c r="G42" s="227" t="s">
        <v>128</v>
      </c>
      <c r="H42" s="227" t="s">
        <v>548</v>
      </c>
      <c r="I42" s="227"/>
      <c r="J42" s="227" t="s">
        <v>585</v>
      </c>
      <c r="K42" s="227"/>
      <c r="L42" s="227" t="s">
        <v>456</v>
      </c>
      <c r="M42" s="228" t="s">
        <v>569</v>
      </c>
      <c r="N42" s="228" t="s">
        <v>113</v>
      </c>
      <c r="O42" s="228"/>
      <c r="P42" s="228" t="s">
        <v>452</v>
      </c>
      <c r="Q42" s="227"/>
      <c r="R42" s="227"/>
      <c r="S42" s="227"/>
      <c r="T42" s="227"/>
      <c r="U42" s="227"/>
      <c r="V42" s="227"/>
      <c r="W42" s="212">
        <v>0</v>
      </c>
      <c r="X42" s="213">
        <v>0</v>
      </c>
      <c r="Y42" s="210">
        <v>0</v>
      </c>
      <c r="Z42" s="210">
        <v>0</v>
      </c>
      <c r="AA42" s="209">
        <v>0</v>
      </c>
      <c r="AB42" s="44"/>
      <c r="AC42" s="17">
        <v>0</v>
      </c>
      <c r="AD42" s="17">
        <v>0</v>
      </c>
      <c r="AE42" s="17">
        <v>0</v>
      </c>
      <c r="AF42" s="17">
        <v>0</v>
      </c>
      <c r="AG42" s="208">
        <v>68.083333333333329</v>
      </c>
      <c r="AH42" s="209">
        <v>9.5425528891233213</v>
      </c>
      <c r="AI42" s="208">
        <v>817</v>
      </c>
      <c r="AJ42" s="44"/>
      <c r="AK42" s="44"/>
      <c r="AL42" s="44"/>
      <c r="AM42" s="44"/>
      <c r="AN42" s="44"/>
    </row>
    <row r="43" spans="1:40" ht="15.6">
      <c r="A43" s="48">
        <v>41</v>
      </c>
      <c r="B43" s="5" t="s">
        <v>440</v>
      </c>
      <c r="C43" s="5" t="s">
        <v>586</v>
      </c>
      <c r="D43" s="5" t="s">
        <v>587</v>
      </c>
      <c r="E43" s="44"/>
      <c r="F43" s="34" t="s">
        <v>94</v>
      </c>
      <c r="G43" s="227" t="s">
        <v>95</v>
      </c>
      <c r="H43" s="227" t="s">
        <v>554</v>
      </c>
      <c r="I43" s="227"/>
      <c r="J43" s="34" t="s">
        <v>97</v>
      </c>
      <c r="K43" s="227"/>
      <c r="L43" s="227" t="s">
        <v>558</v>
      </c>
      <c r="M43" s="228" t="s">
        <v>569</v>
      </c>
      <c r="N43" s="228" t="s">
        <v>113</v>
      </c>
      <c r="O43" s="228"/>
      <c r="P43" s="228" t="s">
        <v>452</v>
      </c>
      <c r="Q43" s="227"/>
      <c r="R43" s="227"/>
      <c r="S43" s="227"/>
      <c r="T43" s="227"/>
      <c r="U43" s="227"/>
      <c r="V43" s="227"/>
      <c r="W43" s="212">
        <v>0</v>
      </c>
      <c r="X43" s="213">
        <v>0</v>
      </c>
      <c r="Y43" s="210">
        <v>0</v>
      </c>
      <c r="Z43" s="210">
        <v>0</v>
      </c>
      <c r="AA43" s="209">
        <v>0</v>
      </c>
      <c r="AB43" s="44"/>
      <c r="AC43" s="17">
        <v>0</v>
      </c>
      <c r="AD43" s="17">
        <v>0</v>
      </c>
      <c r="AE43" s="17">
        <v>0</v>
      </c>
      <c r="AF43" s="17">
        <v>0</v>
      </c>
      <c r="AG43" s="208">
        <v>0</v>
      </c>
      <c r="AH43" s="209">
        <v>0</v>
      </c>
      <c r="AI43" s="208">
        <v>0</v>
      </c>
      <c r="AJ43" s="44"/>
      <c r="AK43" s="44"/>
      <c r="AL43" s="44"/>
      <c r="AM43" s="44"/>
      <c r="AN43" s="44"/>
    </row>
    <row r="44" spans="1:40" ht="15.6">
      <c r="A44" s="48">
        <v>42</v>
      </c>
      <c r="B44" s="5" t="s">
        <v>440</v>
      </c>
      <c r="C44" s="5" t="s">
        <v>588</v>
      </c>
      <c r="D44" s="5" t="s">
        <v>589</v>
      </c>
      <c r="E44" s="44"/>
      <c r="F44" s="34" t="s">
        <v>94</v>
      </c>
      <c r="G44" s="227" t="s">
        <v>95</v>
      </c>
      <c r="H44" s="227" t="s">
        <v>554</v>
      </c>
      <c r="I44" s="227"/>
      <c r="J44" s="34" t="s">
        <v>97</v>
      </c>
      <c r="K44" s="227"/>
      <c r="L44" s="227" t="s">
        <v>558</v>
      </c>
      <c r="M44" s="228" t="s">
        <v>569</v>
      </c>
      <c r="N44" s="228" t="s">
        <v>101</v>
      </c>
      <c r="O44" s="228"/>
      <c r="P44" s="228" t="s">
        <v>452</v>
      </c>
      <c r="Q44" s="227"/>
      <c r="R44" s="227"/>
      <c r="S44" s="227"/>
      <c r="T44" s="227"/>
      <c r="U44" s="227"/>
      <c r="V44" s="227"/>
      <c r="W44" s="212">
        <v>0.83333333333333337</v>
      </c>
      <c r="X44" s="213">
        <v>0</v>
      </c>
      <c r="Y44" s="210">
        <v>0</v>
      </c>
      <c r="Z44" s="210">
        <v>0.16666666666666666</v>
      </c>
      <c r="AA44" s="209">
        <v>2.6750564236111112</v>
      </c>
      <c r="AB44" s="44"/>
      <c r="AC44" s="17">
        <v>0</v>
      </c>
      <c r="AD44" s="17">
        <v>0</v>
      </c>
      <c r="AE44" s="17">
        <v>0</v>
      </c>
      <c r="AF44" s="17">
        <v>0</v>
      </c>
      <c r="AG44" s="208">
        <v>0</v>
      </c>
      <c r="AH44" s="209">
        <v>0</v>
      </c>
      <c r="AI44" s="208">
        <v>0</v>
      </c>
      <c r="AJ44" s="44"/>
      <c r="AK44" s="44"/>
      <c r="AL44" s="44"/>
      <c r="AM44" s="44"/>
      <c r="AN44" s="44"/>
    </row>
    <row r="45" spans="1:40" ht="15.6">
      <c r="A45" s="48">
        <v>43</v>
      </c>
      <c r="B45" s="5" t="s">
        <v>440</v>
      </c>
      <c r="C45" s="5" t="s">
        <v>590</v>
      </c>
      <c r="D45" s="5" t="s">
        <v>591</v>
      </c>
      <c r="E45" s="44"/>
      <c r="F45" s="34" t="s">
        <v>94</v>
      </c>
      <c r="G45" s="227" t="s">
        <v>95</v>
      </c>
      <c r="H45" s="227" t="s">
        <v>548</v>
      </c>
      <c r="I45" s="227"/>
      <c r="J45" s="227" t="s">
        <v>592</v>
      </c>
      <c r="K45" s="227"/>
      <c r="L45" s="227" t="s">
        <v>456</v>
      </c>
      <c r="M45" s="228" t="s">
        <v>457</v>
      </c>
      <c r="N45" s="228" t="s">
        <v>101</v>
      </c>
      <c r="O45" s="228"/>
      <c r="P45" s="228" t="s">
        <v>452</v>
      </c>
      <c r="Q45" s="227"/>
      <c r="R45" s="227"/>
      <c r="S45" s="227"/>
      <c r="T45" s="227"/>
      <c r="U45" s="227"/>
      <c r="V45" s="227"/>
      <c r="W45" s="212">
        <v>0</v>
      </c>
      <c r="X45" s="213">
        <v>0</v>
      </c>
      <c r="Y45" s="210">
        <v>0</v>
      </c>
      <c r="Z45" s="210">
        <v>0</v>
      </c>
      <c r="AA45" s="209">
        <v>0</v>
      </c>
      <c r="AB45" s="44"/>
      <c r="AC45" s="17">
        <v>0</v>
      </c>
      <c r="AD45" s="17">
        <v>0</v>
      </c>
      <c r="AE45" s="17">
        <v>0</v>
      </c>
      <c r="AF45" s="17">
        <v>0</v>
      </c>
      <c r="AG45" s="208">
        <v>88.833333333333329</v>
      </c>
      <c r="AH45" s="209">
        <v>6.7260991088482331</v>
      </c>
      <c r="AI45" s="208">
        <v>1066</v>
      </c>
      <c r="AJ45" s="44"/>
      <c r="AK45" s="44"/>
      <c r="AL45" s="44"/>
      <c r="AM45" s="44"/>
      <c r="AN45" s="44"/>
    </row>
    <row r="46" spans="1:40" ht="15.6">
      <c r="A46" s="48">
        <v>44</v>
      </c>
      <c r="B46" s="5" t="s">
        <v>440</v>
      </c>
      <c r="C46" s="5" t="s">
        <v>593</v>
      </c>
      <c r="D46" s="5" t="s">
        <v>594</v>
      </c>
      <c r="E46" s="44"/>
      <c r="F46" s="34" t="s">
        <v>94</v>
      </c>
      <c r="G46" s="227" t="s">
        <v>141</v>
      </c>
      <c r="H46" s="227" t="s">
        <v>548</v>
      </c>
      <c r="I46" s="227"/>
      <c r="J46" s="227" t="s">
        <v>455</v>
      </c>
      <c r="K46" s="227"/>
      <c r="L46" s="227" t="s">
        <v>456</v>
      </c>
      <c r="M46" s="228" t="s">
        <v>457</v>
      </c>
      <c r="N46" s="228" t="s">
        <v>101</v>
      </c>
      <c r="O46" s="228"/>
      <c r="P46" s="228" t="s">
        <v>452</v>
      </c>
      <c r="Q46" s="227"/>
      <c r="R46" s="227"/>
      <c r="S46" s="227"/>
      <c r="T46" s="227"/>
      <c r="U46" s="227"/>
      <c r="V46" s="227"/>
      <c r="W46" s="212">
        <v>7.583333333333333</v>
      </c>
      <c r="X46" s="213">
        <v>0.46153846153846156</v>
      </c>
      <c r="Y46" s="210">
        <v>0.25</v>
      </c>
      <c r="Z46" s="210">
        <v>1.0833333333333333</v>
      </c>
      <c r="AA46" s="209">
        <v>3.3832648454239362</v>
      </c>
      <c r="AB46" s="44"/>
      <c r="AC46" s="17">
        <v>0</v>
      </c>
      <c r="AD46" s="17">
        <v>0</v>
      </c>
      <c r="AE46" s="17">
        <v>0</v>
      </c>
      <c r="AF46" s="17">
        <v>0</v>
      </c>
      <c r="AG46" s="208">
        <v>89.916666666666671</v>
      </c>
      <c r="AH46" s="209">
        <v>8.5410022508107417</v>
      </c>
      <c r="AI46" s="208">
        <v>1079</v>
      </c>
      <c r="AJ46" s="44"/>
      <c r="AK46" s="44"/>
      <c r="AL46" s="44"/>
      <c r="AM46" s="44"/>
      <c r="AN46" s="44"/>
    </row>
    <row r="47" spans="1:40" ht="15.6">
      <c r="A47" s="48">
        <v>45</v>
      </c>
      <c r="B47" s="5" t="s">
        <v>440</v>
      </c>
      <c r="C47" s="5" t="s">
        <v>595</v>
      </c>
      <c r="D47" s="5" t="s">
        <v>596</v>
      </c>
      <c r="E47" s="44"/>
      <c r="F47" s="34" t="s">
        <v>94</v>
      </c>
      <c r="G47" s="227" t="s">
        <v>128</v>
      </c>
      <c r="H47" s="227" t="s">
        <v>554</v>
      </c>
      <c r="I47" s="227"/>
      <c r="J47" s="227" t="s">
        <v>455</v>
      </c>
      <c r="K47" s="227"/>
      <c r="L47" s="227" t="s">
        <v>456</v>
      </c>
      <c r="M47" s="228" t="s">
        <v>457</v>
      </c>
      <c r="N47" s="228" t="s">
        <v>101</v>
      </c>
      <c r="O47" s="228"/>
      <c r="P47" s="228" t="s">
        <v>452</v>
      </c>
      <c r="Q47" s="227"/>
      <c r="R47" s="227"/>
      <c r="S47" s="227"/>
      <c r="T47" s="227"/>
      <c r="U47" s="227"/>
      <c r="V47" s="227"/>
      <c r="W47" s="212">
        <v>2.9166666666666665</v>
      </c>
      <c r="X47" s="213">
        <v>2.8571428571428571E-2</v>
      </c>
      <c r="Y47" s="210">
        <v>0.33333333333333331</v>
      </c>
      <c r="Z47" s="210">
        <v>0.5</v>
      </c>
      <c r="AA47" s="209">
        <v>2.9935801504629627</v>
      </c>
      <c r="AB47" s="44"/>
      <c r="AC47" s="17">
        <v>0</v>
      </c>
      <c r="AD47" s="17">
        <v>0</v>
      </c>
      <c r="AE47" s="17">
        <v>0</v>
      </c>
      <c r="AF47" s="17">
        <v>0</v>
      </c>
      <c r="AG47" s="208">
        <v>29.166666666666668</v>
      </c>
      <c r="AH47" s="209">
        <v>5.42819794615475</v>
      </c>
      <c r="AI47" s="208">
        <v>350</v>
      </c>
      <c r="AJ47" s="44"/>
      <c r="AK47" s="44"/>
      <c r="AL47" s="44"/>
      <c r="AM47" s="44"/>
      <c r="AN47" s="44"/>
    </row>
    <row r="48" spans="1:40" ht="15.6">
      <c r="A48" s="48">
        <v>46</v>
      </c>
      <c r="B48" s="5" t="s">
        <v>440</v>
      </c>
      <c r="C48" s="5" t="s">
        <v>597</v>
      </c>
      <c r="D48" s="5" t="s">
        <v>598</v>
      </c>
      <c r="E48" s="44"/>
      <c r="F48" s="34" t="s">
        <v>94</v>
      </c>
      <c r="G48" s="227" t="s">
        <v>141</v>
      </c>
      <c r="H48" s="227" t="s">
        <v>141</v>
      </c>
      <c r="I48" s="227"/>
      <c r="J48" s="227" t="s">
        <v>592</v>
      </c>
      <c r="K48" s="227"/>
      <c r="L48" s="227" t="s">
        <v>456</v>
      </c>
      <c r="M48" s="228" t="s">
        <v>457</v>
      </c>
      <c r="N48" s="228" t="s">
        <v>101</v>
      </c>
      <c r="O48" s="228"/>
      <c r="P48" s="228" t="s">
        <v>452</v>
      </c>
      <c r="Q48" s="227"/>
      <c r="R48" s="227"/>
      <c r="S48" s="227"/>
      <c r="T48" s="227"/>
      <c r="U48" s="227"/>
      <c r="V48" s="227"/>
      <c r="W48" s="212">
        <v>0.25</v>
      </c>
      <c r="X48" s="213">
        <v>0</v>
      </c>
      <c r="Y48" s="210">
        <v>0</v>
      </c>
      <c r="Z48" s="210">
        <v>8.3333333333333329E-2</v>
      </c>
      <c r="AA48" s="209">
        <v>8.2546585648148145</v>
      </c>
      <c r="AB48" s="44"/>
      <c r="AC48" s="17">
        <v>0</v>
      </c>
      <c r="AD48" s="17">
        <v>0</v>
      </c>
      <c r="AE48" s="17">
        <v>0</v>
      </c>
      <c r="AF48" s="17">
        <v>0</v>
      </c>
      <c r="AG48" s="208">
        <v>0.83333333333333337</v>
      </c>
      <c r="AH48" s="209">
        <v>6.6363194444444442</v>
      </c>
      <c r="AI48" s="208">
        <v>10</v>
      </c>
      <c r="AJ48" s="44"/>
      <c r="AK48" s="44"/>
      <c r="AL48" s="44"/>
      <c r="AM48" s="44"/>
      <c r="AN48" s="44"/>
    </row>
    <row r="49" spans="1:40" ht="15.6">
      <c r="A49" s="48">
        <v>47</v>
      </c>
      <c r="B49" s="5" t="s">
        <v>440</v>
      </c>
      <c r="C49" s="5" t="s">
        <v>599</v>
      </c>
      <c r="D49" s="5" t="s">
        <v>600</v>
      </c>
      <c r="E49" s="44"/>
      <c r="F49" s="34" t="s">
        <v>94</v>
      </c>
      <c r="G49" s="227" t="s">
        <v>128</v>
      </c>
      <c r="H49" s="227" t="s">
        <v>554</v>
      </c>
      <c r="I49" s="227"/>
      <c r="J49" s="227" t="s">
        <v>463</v>
      </c>
      <c r="K49" s="227"/>
      <c r="L49" s="227" t="s">
        <v>456</v>
      </c>
      <c r="M49" s="228" t="s">
        <v>457</v>
      </c>
      <c r="N49" s="228" t="s">
        <v>101</v>
      </c>
      <c r="O49" s="228"/>
      <c r="P49" s="228" t="s">
        <v>601</v>
      </c>
      <c r="Q49" s="227" t="s">
        <v>492</v>
      </c>
      <c r="R49" s="227"/>
      <c r="S49" s="227"/>
      <c r="T49" s="227"/>
      <c r="U49" s="227" t="s">
        <v>134</v>
      </c>
      <c r="V49" s="227" t="s">
        <v>449</v>
      </c>
      <c r="W49" s="212">
        <v>8.3333333333333329E-2</v>
      </c>
      <c r="X49" s="213">
        <v>0</v>
      </c>
      <c r="Y49" s="210">
        <v>0</v>
      </c>
      <c r="Z49" s="210">
        <v>0</v>
      </c>
      <c r="AA49" s="209">
        <v>0.11898148148148148</v>
      </c>
      <c r="AB49" s="44"/>
      <c r="AC49" s="17">
        <v>0</v>
      </c>
      <c r="AD49" s="17">
        <v>0</v>
      </c>
      <c r="AE49" s="17">
        <v>0</v>
      </c>
      <c r="AF49" s="17">
        <v>0</v>
      </c>
      <c r="AG49" s="208">
        <v>10.75</v>
      </c>
      <c r="AH49" s="209">
        <v>4.6255099637681152</v>
      </c>
      <c r="AI49" s="208">
        <v>129</v>
      </c>
      <c r="AJ49" s="44"/>
      <c r="AK49" s="44"/>
      <c r="AL49" s="44"/>
      <c r="AM49" s="44"/>
      <c r="AN49" s="44"/>
    </row>
    <row r="50" spans="1:40" ht="15.6">
      <c r="A50" s="48">
        <v>48</v>
      </c>
      <c r="B50" s="5" t="s">
        <v>440</v>
      </c>
      <c r="C50" s="5" t="s">
        <v>602</v>
      </c>
      <c r="D50" s="5" t="s">
        <v>603</v>
      </c>
      <c r="E50" s="44"/>
      <c r="F50" s="34" t="s">
        <v>94</v>
      </c>
      <c r="G50" s="227" t="s">
        <v>95</v>
      </c>
      <c r="H50" s="227" t="s">
        <v>548</v>
      </c>
      <c r="I50" s="227"/>
      <c r="J50" s="227"/>
      <c r="K50" s="227"/>
      <c r="L50" s="227" t="s">
        <v>558</v>
      </c>
      <c r="M50" s="228" t="s">
        <v>569</v>
      </c>
      <c r="N50" s="228" t="s">
        <v>113</v>
      </c>
      <c r="O50" s="228"/>
      <c r="P50" s="228" t="s">
        <v>452</v>
      </c>
      <c r="Q50" s="227"/>
      <c r="R50" s="227"/>
      <c r="S50" s="227"/>
      <c r="T50" s="227"/>
      <c r="U50" s="227"/>
      <c r="V50" s="227"/>
      <c r="W50" s="212">
        <v>4.75</v>
      </c>
      <c r="X50" s="213">
        <v>0</v>
      </c>
      <c r="Y50" s="210">
        <v>0</v>
      </c>
      <c r="Z50" s="210">
        <v>1.1666666666666667</v>
      </c>
      <c r="AA50" s="209">
        <v>5.493449074074074</v>
      </c>
      <c r="AB50" s="44"/>
      <c r="AC50" s="17">
        <v>0</v>
      </c>
      <c r="AD50" s="17">
        <v>0</v>
      </c>
      <c r="AE50" s="17">
        <v>0</v>
      </c>
      <c r="AF50" s="17">
        <v>0</v>
      </c>
      <c r="AG50" s="208">
        <v>57</v>
      </c>
      <c r="AH50" s="209">
        <v>11.964533127177109</v>
      </c>
      <c r="AI50" s="208">
        <v>684</v>
      </c>
      <c r="AJ50" s="44"/>
      <c r="AK50" s="44"/>
      <c r="AL50" s="44"/>
      <c r="AM50" s="44"/>
      <c r="AN50" s="44"/>
    </row>
    <row r="51" spans="1:40" ht="15.6">
      <c r="A51" s="48">
        <v>49</v>
      </c>
      <c r="B51" s="5" t="s">
        <v>440</v>
      </c>
      <c r="C51" s="5" t="s">
        <v>604</v>
      </c>
      <c r="D51" s="5" t="s">
        <v>605</v>
      </c>
      <c r="E51" s="44"/>
      <c r="F51" s="34" t="s">
        <v>94</v>
      </c>
      <c r="G51" s="227" t="s">
        <v>95</v>
      </c>
      <c r="H51" s="227" t="s">
        <v>548</v>
      </c>
      <c r="I51" s="227"/>
      <c r="J51" s="227" t="s">
        <v>455</v>
      </c>
      <c r="K51" s="227"/>
      <c r="L51" s="227" t="s">
        <v>172</v>
      </c>
      <c r="M51" s="228" t="s">
        <v>457</v>
      </c>
      <c r="N51" s="228" t="s">
        <v>113</v>
      </c>
      <c r="O51" s="228" t="s">
        <v>445</v>
      </c>
      <c r="P51" s="228" t="s">
        <v>445</v>
      </c>
      <c r="Q51" s="227" t="s">
        <v>545</v>
      </c>
      <c r="R51" s="227"/>
      <c r="S51" s="227"/>
      <c r="T51" s="227"/>
      <c r="U51" s="227"/>
      <c r="V51" s="227"/>
      <c r="W51" s="212">
        <v>51.25</v>
      </c>
      <c r="X51" s="213">
        <v>5.2032520325203252E-2</v>
      </c>
      <c r="Y51" s="210">
        <v>3</v>
      </c>
      <c r="Z51" s="210">
        <v>24.25</v>
      </c>
      <c r="AA51" s="209">
        <v>3.5800685094209928</v>
      </c>
      <c r="AB51" s="44"/>
      <c r="AC51" s="17">
        <v>0</v>
      </c>
      <c r="AD51" s="17">
        <v>0.16666666666666666</v>
      </c>
      <c r="AE51" s="17">
        <v>62.878726851851852</v>
      </c>
      <c r="AF51" s="17">
        <v>0</v>
      </c>
      <c r="AG51" s="208">
        <v>12.166666666666666</v>
      </c>
      <c r="AH51" s="209">
        <v>6.8948446023542935</v>
      </c>
      <c r="AI51" s="208">
        <v>146</v>
      </c>
      <c r="AJ51" s="44"/>
      <c r="AK51" s="44"/>
      <c r="AL51" s="44"/>
      <c r="AM51" s="44"/>
      <c r="AN51" s="44"/>
    </row>
    <row r="52" spans="1:40" ht="15.6">
      <c r="A52" s="48">
        <v>50</v>
      </c>
      <c r="B52" s="5" t="s">
        <v>440</v>
      </c>
      <c r="C52" s="5" t="s">
        <v>606</v>
      </c>
      <c r="D52" s="5" t="s">
        <v>607</v>
      </c>
      <c r="E52" s="44"/>
      <c r="F52" s="34" t="s">
        <v>94</v>
      </c>
      <c r="G52" s="227" t="s">
        <v>95</v>
      </c>
      <c r="H52" s="227" t="s">
        <v>554</v>
      </c>
      <c r="I52" s="227"/>
      <c r="J52" s="227" t="s">
        <v>455</v>
      </c>
      <c r="K52" s="227"/>
      <c r="L52" s="227" t="s">
        <v>456</v>
      </c>
      <c r="M52" s="228" t="s">
        <v>457</v>
      </c>
      <c r="N52" s="228" t="s">
        <v>101</v>
      </c>
      <c r="O52" s="228"/>
      <c r="P52" s="228" t="s">
        <v>452</v>
      </c>
      <c r="Q52" s="227"/>
      <c r="R52" s="227"/>
      <c r="S52" s="227"/>
      <c r="T52" s="227"/>
      <c r="U52" s="227"/>
      <c r="V52" s="227"/>
      <c r="W52" s="212">
        <v>0.16666666666666666</v>
      </c>
      <c r="X52" s="213">
        <v>0</v>
      </c>
      <c r="Y52" s="210">
        <v>0</v>
      </c>
      <c r="Z52" s="210">
        <v>0</v>
      </c>
      <c r="AA52" s="209">
        <v>9.9270833333333336E-2</v>
      </c>
      <c r="AB52" s="44"/>
      <c r="AC52" s="17">
        <v>0</v>
      </c>
      <c r="AD52" s="17">
        <v>0</v>
      </c>
      <c r="AE52" s="17">
        <v>0</v>
      </c>
      <c r="AF52" s="17">
        <v>0</v>
      </c>
      <c r="AG52" s="208">
        <v>0</v>
      </c>
      <c r="AH52" s="209">
        <v>0</v>
      </c>
      <c r="AI52" s="208">
        <v>0</v>
      </c>
      <c r="AJ52" s="44"/>
      <c r="AK52" s="44"/>
      <c r="AL52" s="44"/>
      <c r="AM52" s="44"/>
      <c r="AN52" s="44"/>
    </row>
    <row r="53" spans="1:40" ht="15.6">
      <c r="A53" s="48">
        <v>51</v>
      </c>
      <c r="B53" s="5" t="s">
        <v>440</v>
      </c>
      <c r="C53" s="5" t="s">
        <v>608</v>
      </c>
      <c r="D53" s="5" t="s">
        <v>609</v>
      </c>
      <c r="E53" s="44"/>
      <c r="F53" s="34" t="s">
        <v>94</v>
      </c>
      <c r="G53" s="227" t="s">
        <v>141</v>
      </c>
      <c r="H53" s="227" t="s">
        <v>443</v>
      </c>
      <c r="I53" s="227"/>
      <c r="J53" s="227" t="s">
        <v>463</v>
      </c>
      <c r="K53" s="227"/>
      <c r="L53" s="227" t="s">
        <v>172</v>
      </c>
      <c r="M53" s="228" t="s">
        <v>457</v>
      </c>
      <c r="N53" s="228" t="s">
        <v>101</v>
      </c>
      <c r="O53" s="228" t="s">
        <v>445</v>
      </c>
      <c r="P53" s="228" t="s">
        <v>445</v>
      </c>
      <c r="Q53" s="227" t="s">
        <v>545</v>
      </c>
      <c r="R53" s="227"/>
      <c r="S53" s="227"/>
      <c r="T53" s="227"/>
      <c r="U53" s="227"/>
      <c r="V53" s="227"/>
      <c r="W53" s="212">
        <v>1.0833333333333333</v>
      </c>
      <c r="X53" s="213">
        <v>0.15384615384615385</v>
      </c>
      <c r="Y53" s="210">
        <v>0</v>
      </c>
      <c r="Z53" s="210">
        <v>8.3333333333333329E-2</v>
      </c>
      <c r="AA53" s="209">
        <v>7.2648976139601142</v>
      </c>
      <c r="AB53" s="44"/>
      <c r="AC53" s="17">
        <v>1</v>
      </c>
      <c r="AD53" s="17">
        <v>0</v>
      </c>
      <c r="AE53" s="17">
        <v>0</v>
      </c>
      <c r="AF53" s="17">
        <v>0</v>
      </c>
      <c r="AG53" s="208">
        <v>4</v>
      </c>
      <c r="AH53" s="209">
        <v>4.5997268518518535</v>
      </c>
      <c r="AI53" s="208">
        <v>48</v>
      </c>
      <c r="AJ53" s="44"/>
      <c r="AK53" s="44"/>
      <c r="AL53" s="44"/>
      <c r="AM53" s="44"/>
      <c r="AN53" s="44"/>
    </row>
    <row r="54" spans="1:40" ht="15.6">
      <c r="A54" s="48">
        <v>52</v>
      </c>
      <c r="B54" s="5" t="s">
        <v>440</v>
      </c>
      <c r="C54" s="5" t="s">
        <v>610</v>
      </c>
      <c r="D54" s="5" t="s">
        <v>611</v>
      </c>
      <c r="E54" s="44"/>
      <c r="F54" s="34" t="s">
        <v>94</v>
      </c>
      <c r="G54" s="227" t="s">
        <v>95</v>
      </c>
      <c r="H54" s="227" t="s">
        <v>554</v>
      </c>
      <c r="I54" s="227"/>
      <c r="J54" s="227" t="s">
        <v>612</v>
      </c>
      <c r="K54" s="227"/>
      <c r="L54" s="227" t="s">
        <v>558</v>
      </c>
      <c r="M54" s="228" t="s">
        <v>569</v>
      </c>
      <c r="N54" s="228" t="s">
        <v>101</v>
      </c>
      <c r="O54" s="228"/>
      <c r="P54" s="228" t="s">
        <v>452</v>
      </c>
      <c r="Q54" s="227"/>
      <c r="R54" s="227"/>
      <c r="S54" s="227"/>
      <c r="T54" s="227"/>
      <c r="U54" s="227"/>
      <c r="V54" s="227"/>
      <c r="W54" s="212">
        <v>0</v>
      </c>
      <c r="X54" s="213">
        <v>0</v>
      </c>
      <c r="Y54" s="210">
        <v>0</v>
      </c>
      <c r="Z54" s="210">
        <v>0</v>
      </c>
      <c r="AA54" s="209">
        <v>0</v>
      </c>
      <c r="AB54" s="44"/>
      <c r="AC54" s="17">
        <v>0</v>
      </c>
      <c r="AD54" s="17">
        <v>0</v>
      </c>
      <c r="AE54" s="17">
        <v>0</v>
      </c>
      <c r="AF54" s="17">
        <v>0</v>
      </c>
      <c r="AG54" s="208">
        <v>0.58333333333333337</v>
      </c>
      <c r="AH54" s="209">
        <v>5.5630486111111113</v>
      </c>
      <c r="AI54" s="208">
        <v>7</v>
      </c>
      <c r="AJ54" s="44"/>
      <c r="AK54" s="44"/>
      <c r="AL54" s="44"/>
      <c r="AM54" s="44"/>
      <c r="AN54" s="44"/>
    </row>
    <row r="55" spans="1:40" ht="15.6">
      <c r="A55" s="48">
        <v>53</v>
      </c>
      <c r="B55" s="5" t="s">
        <v>440</v>
      </c>
      <c r="C55" s="5" t="s">
        <v>613</v>
      </c>
      <c r="D55" s="5" t="s">
        <v>614</v>
      </c>
      <c r="E55" s="44"/>
      <c r="F55" s="34" t="s">
        <v>94</v>
      </c>
      <c r="G55" s="227" t="s">
        <v>141</v>
      </c>
      <c r="H55" s="227" t="s">
        <v>443</v>
      </c>
      <c r="I55" s="227"/>
      <c r="J55" s="227" t="s">
        <v>592</v>
      </c>
      <c r="K55" s="227"/>
      <c r="L55" s="227" t="s">
        <v>172</v>
      </c>
      <c r="M55" s="228" t="s">
        <v>457</v>
      </c>
      <c r="N55" s="228" t="s">
        <v>101</v>
      </c>
      <c r="O55" s="228" t="s">
        <v>445</v>
      </c>
      <c r="P55" s="228" t="s">
        <v>445</v>
      </c>
      <c r="Q55" s="227" t="s">
        <v>545</v>
      </c>
      <c r="R55" s="227"/>
      <c r="S55" s="227"/>
      <c r="T55" s="227"/>
      <c r="U55" s="227"/>
      <c r="V55" s="227"/>
      <c r="W55" s="212">
        <v>26.416666666666668</v>
      </c>
      <c r="X55" s="213">
        <v>6.3091482649842269E-3</v>
      </c>
      <c r="Y55" s="210">
        <v>0.58333333333333337</v>
      </c>
      <c r="Z55" s="210">
        <v>5.666666666666667</v>
      </c>
      <c r="AA55" s="209">
        <v>3.7071664169356064</v>
      </c>
      <c r="AB55" s="44"/>
      <c r="AC55" s="17">
        <v>0</v>
      </c>
      <c r="AD55" s="17">
        <v>0</v>
      </c>
      <c r="AE55" s="17">
        <v>0</v>
      </c>
      <c r="AF55" s="17">
        <v>0</v>
      </c>
      <c r="AG55" s="208">
        <v>18</v>
      </c>
      <c r="AH55" s="209">
        <v>8.311594882108885</v>
      </c>
      <c r="AI55" s="208">
        <v>216</v>
      </c>
      <c r="AJ55" s="44"/>
      <c r="AK55" s="44"/>
      <c r="AL55" s="44"/>
      <c r="AM55" s="44"/>
      <c r="AN55" s="44"/>
    </row>
    <row r="56" spans="1:40" ht="15.6">
      <c r="A56" s="48">
        <v>54</v>
      </c>
      <c r="B56" s="5" t="s">
        <v>440</v>
      </c>
      <c r="C56" s="5" t="s">
        <v>615</v>
      </c>
      <c r="D56" s="5" t="s">
        <v>616</v>
      </c>
      <c r="E56" s="44"/>
      <c r="F56" s="34" t="s">
        <v>94</v>
      </c>
      <c r="G56" s="227" t="s">
        <v>128</v>
      </c>
      <c r="H56" s="227" t="s">
        <v>443</v>
      </c>
      <c r="I56" s="227"/>
      <c r="J56" s="227" t="s">
        <v>585</v>
      </c>
      <c r="K56" s="227"/>
      <c r="L56" s="227" t="s">
        <v>456</v>
      </c>
      <c r="M56" s="228" t="s">
        <v>457</v>
      </c>
      <c r="N56" s="228" t="s">
        <v>101</v>
      </c>
      <c r="O56" s="228"/>
      <c r="P56" s="228" t="s">
        <v>452</v>
      </c>
      <c r="Q56" s="227"/>
      <c r="R56" s="227"/>
      <c r="S56" s="227"/>
      <c r="T56" s="227"/>
      <c r="U56" s="227"/>
      <c r="V56" s="227"/>
      <c r="W56" s="212">
        <v>0.16666666666666666</v>
      </c>
      <c r="X56" s="213">
        <v>1</v>
      </c>
      <c r="Y56" s="210">
        <v>0</v>
      </c>
      <c r="Z56" s="210">
        <v>0</v>
      </c>
      <c r="AA56" s="209">
        <v>9.5640432098765427E-3</v>
      </c>
      <c r="AB56" s="44"/>
      <c r="AC56" s="17">
        <v>0</v>
      </c>
      <c r="AD56" s="17">
        <v>0</v>
      </c>
      <c r="AE56" s="17">
        <v>0</v>
      </c>
      <c r="AF56" s="17">
        <v>0</v>
      </c>
      <c r="AG56" s="208">
        <v>109.08333333333333</v>
      </c>
      <c r="AH56" s="209">
        <v>5.6286785373006714</v>
      </c>
      <c r="AI56" s="208">
        <v>1309</v>
      </c>
      <c r="AJ56" s="44"/>
      <c r="AK56" s="44"/>
      <c r="AL56" s="44"/>
      <c r="AM56" s="44"/>
      <c r="AN56" s="44"/>
    </row>
    <row r="57" spans="1:40" ht="15.6">
      <c r="A57" s="48">
        <v>55</v>
      </c>
      <c r="B57" s="5" t="s">
        <v>440</v>
      </c>
      <c r="C57" s="5" t="s">
        <v>617</v>
      </c>
      <c r="D57" s="5" t="s">
        <v>618</v>
      </c>
      <c r="E57" s="44"/>
      <c r="F57" s="34" t="s">
        <v>94</v>
      </c>
      <c r="G57" s="227" t="s">
        <v>128</v>
      </c>
      <c r="H57" s="227" t="s">
        <v>548</v>
      </c>
      <c r="I57" s="227"/>
      <c r="J57" s="227" t="s">
        <v>585</v>
      </c>
      <c r="K57" s="227"/>
      <c r="L57" s="227" t="s">
        <v>456</v>
      </c>
      <c r="M57" s="228" t="s">
        <v>457</v>
      </c>
      <c r="N57" s="228" t="s">
        <v>113</v>
      </c>
      <c r="O57" s="228"/>
      <c r="P57" s="228" t="s">
        <v>452</v>
      </c>
      <c r="Q57" s="227"/>
      <c r="R57" s="227"/>
      <c r="S57" s="227"/>
      <c r="T57" s="227"/>
      <c r="U57" s="227"/>
      <c r="V57" s="227"/>
      <c r="W57" s="212">
        <v>13.583333333333334</v>
      </c>
      <c r="X57" s="213">
        <v>6.1349693251533742E-2</v>
      </c>
      <c r="Y57" s="210">
        <v>8.3333333333333329E-2</v>
      </c>
      <c r="Z57" s="210">
        <v>1.0833333333333333</v>
      </c>
      <c r="AA57" s="209">
        <v>4.0765051424050629</v>
      </c>
      <c r="AB57" s="44"/>
      <c r="AC57" s="17">
        <v>0</v>
      </c>
      <c r="AD57" s="17">
        <v>0</v>
      </c>
      <c r="AE57" s="17">
        <v>0</v>
      </c>
      <c r="AF57" s="17">
        <v>0</v>
      </c>
      <c r="AG57" s="208">
        <v>139.58333333333334</v>
      </c>
      <c r="AH57" s="209">
        <v>5.2907291906461227</v>
      </c>
      <c r="AI57" s="208">
        <v>1675</v>
      </c>
      <c r="AJ57" s="44"/>
      <c r="AK57" s="44"/>
      <c r="AL57" s="44"/>
      <c r="AM57" s="44"/>
      <c r="AN57" s="44"/>
    </row>
    <row r="58" spans="1:40" ht="15.6">
      <c r="A58" s="48">
        <v>56</v>
      </c>
      <c r="B58" s="5" t="s">
        <v>440</v>
      </c>
      <c r="C58" s="5" t="s">
        <v>619</v>
      </c>
      <c r="D58" s="5" t="s">
        <v>620</v>
      </c>
      <c r="E58" s="44"/>
      <c r="F58" s="34" t="s">
        <v>94</v>
      </c>
      <c r="G58" s="227" t="s">
        <v>95</v>
      </c>
      <c r="H58" s="227" t="s">
        <v>554</v>
      </c>
      <c r="I58" s="227"/>
      <c r="J58" s="227" t="s">
        <v>463</v>
      </c>
      <c r="K58" s="227"/>
      <c r="L58" s="227" t="s">
        <v>558</v>
      </c>
      <c r="M58" s="230" t="s">
        <v>569</v>
      </c>
      <c r="N58" s="230" t="s">
        <v>101</v>
      </c>
      <c r="O58" s="230"/>
      <c r="P58" s="230" t="s">
        <v>452</v>
      </c>
      <c r="Q58" s="227"/>
      <c r="R58" s="227"/>
      <c r="S58" s="227"/>
      <c r="T58" s="227"/>
      <c r="U58" s="227"/>
      <c r="V58" s="227"/>
      <c r="W58" s="212">
        <v>77.583333333333329</v>
      </c>
      <c r="X58" s="213">
        <v>0</v>
      </c>
      <c r="Y58" s="210">
        <v>0.25</v>
      </c>
      <c r="Z58" s="210">
        <v>10.333333333333334</v>
      </c>
      <c r="AA58" s="209">
        <v>3.6944767747799467</v>
      </c>
      <c r="AB58" s="44"/>
      <c r="AC58" s="17">
        <v>2</v>
      </c>
      <c r="AD58" s="17">
        <v>0.16666666666666666</v>
      </c>
      <c r="AE58" s="17">
        <v>25.083125000000003</v>
      </c>
      <c r="AF58" s="17">
        <v>0</v>
      </c>
      <c r="AG58" s="208">
        <v>1.0833333333333333</v>
      </c>
      <c r="AH58" s="209">
        <v>8.9761882716049382</v>
      </c>
      <c r="AI58" s="208">
        <v>13</v>
      </c>
      <c r="AJ58" s="44"/>
      <c r="AK58" s="44"/>
      <c r="AL58" s="44"/>
      <c r="AM58" s="44"/>
      <c r="AN58" s="44"/>
    </row>
    <row r="59" spans="1:40" ht="15.6">
      <c r="A59" s="48">
        <v>57</v>
      </c>
      <c r="B59" s="5" t="s">
        <v>440</v>
      </c>
      <c r="C59" s="5" t="s">
        <v>621</v>
      </c>
      <c r="D59" s="5" t="s">
        <v>622</v>
      </c>
      <c r="E59" s="44"/>
      <c r="F59" s="34" t="s">
        <v>94</v>
      </c>
      <c r="G59" s="227" t="s">
        <v>128</v>
      </c>
      <c r="H59" s="227" t="s">
        <v>548</v>
      </c>
      <c r="I59" s="227"/>
      <c r="J59" s="227" t="s">
        <v>463</v>
      </c>
      <c r="K59" s="227"/>
      <c r="L59" s="227" t="s">
        <v>456</v>
      </c>
      <c r="M59" s="228" t="s">
        <v>569</v>
      </c>
      <c r="N59" s="228" t="s">
        <v>101</v>
      </c>
      <c r="O59" s="228"/>
      <c r="P59" s="228" t="s">
        <v>452</v>
      </c>
      <c r="Q59" s="227"/>
      <c r="R59" s="227"/>
      <c r="S59" s="227"/>
      <c r="T59" s="227"/>
      <c r="U59" s="227"/>
      <c r="V59" s="227"/>
      <c r="W59" s="212">
        <v>8.1666666666666661</v>
      </c>
      <c r="X59" s="213">
        <v>1.020408163265306E-2</v>
      </c>
      <c r="Y59" s="210">
        <v>8.3333333333333329E-2</v>
      </c>
      <c r="Z59" s="210">
        <v>1.9166666666666667</v>
      </c>
      <c r="AA59" s="209">
        <v>6.1173791024935831</v>
      </c>
      <c r="AB59" s="44"/>
      <c r="AC59" s="17">
        <v>0</v>
      </c>
      <c r="AD59" s="17">
        <v>0</v>
      </c>
      <c r="AE59" s="17">
        <v>0</v>
      </c>
      <c r="AF59" s="17">
        <v>0</v>
      </c>
      <c r="AG59" s="208">
        <v>45.75</v>
      </c>
      <c r="AH59" s="209">
        <v>13.292574843764408</v>
      </c>
      <c r="AI59" s="208">
        <v>549</v>
      </c>
      <c r="AJ59" s="44"/>
      <c r="AK59" s="44"/>
      <c r="AL59" s="44"/>
      <c r="AM59" s="44"/>
      <c r="AN59" s="44"/>
    </row>
    <row r="60" spans="1:40" ht="14.45">
      <c r="A60" s="48">
        <v>58</v>
      </c>
      <c r="B60" s="5" t="s">
        <v>623</v>
      </c>
      <c r="C60" s="5" t="s">
        <v>624</v>
      </c>
      <c r="D60" s="5" t="s">
        <v>625</v>
      </c>
      <c r="E60" s="44"/>
      <c r="F60" s="34" t="s">
        <v>94</v>
      </c>
      <c r="G60" s="44"/>
      <c r="H60" s="44"/>
      <c r="I60" s="44"/>
      <c r="J60" s="44"/>
      <c r="K60" s="44"/>
      <c r="L60" s="44"/>
      <c r="M60" s="50"/>
      <c r="N60" s="50"/>
      <c r="O60" s="50"/>
      <c r="P60" s="44"/>
      <c r="Q60" s="44"/>
      <c r="R60" s="44"/>
      <c r="S60" s="44"/>
      <c r="T60" s="44"/>
      <c r="U60" s="44"/>
      <c r="V60" s="44"/>
      <c r="W60" s="212">
        <v>0.16666666666666666</v>
      </c>
      <c r="X60" s="213">
        <v>0</v>
      </c>
      <c r="Y60" s="210">
        <v>0</v>
      </c>
      <c r="Z60" s="210">
        <v>0</v>
      </c>
      <c r="AA60" s="209">
        <v>8.6702083333333331</v>
      </c>
      <c r="AB60" s="44"/>
      <c r="AC60" s="17">
        <v>0</v>
      </c>
      <c r="AD60" s="17">
        <v>0</v>
      </c>
      <c r="AE60" s="17">
        <v>0</v>
      </c>
      <c r="AF60" s="17">
        <v>0</v>
      </c>
      <c r="AG60" s="208">
        <v>25</v>
      </c>
      <c r="AH60" s="209">
        <v>3.0398240651365676</v>
      </c>
      <c r="AI60" s="208">
        <v>300</v>
      </c>
      <c r="AJ60" s="44"/>
      <c r="AK60" s="44"/>
      <c r="AL60" s="44"/>
      <c r="AM60" s="44"/>
      <c r="AN60" s="44"/>
    </row>
    <row r="61" spans="1:40" ht="14.45">
      <c r="A61" s="48">
        <v>59</v>
      </c>
      <c r="B61" s="5" t="s">
        <v>626</v>
      </c>
      <c r="C61" s="5" t="s">
        <v>627</v>
      </c>
      <c r="D61" s="5" t="s">
        <v>628</v>
      </c>
      <c r="E61" s="34"/>
      <c r="F61" s="34" t="s">
        <v>94</v>
      </c>
      <c r="G61" s="34" t="s">
        <v>128</v>
      </c>
      <c r="H61" s="34" t="s">
        <v>236</v>
      </c>
      <c r="I61" s="34" t="s">
        <v>629</v>
      </c>
      <c r="J61" s="34" t="s">
        <v>97</v>
      </c>
      <c r="K61" s="34" t="s">
        <v>98</v>
      </c>
      <c r="L61" s="34" t="s">
        <v>172</v>
      </c>
      <c r="M61" s="34" t="s">
        <v>153</v>
      </c>
      <c r="N61" s="34" t="s">
        <v>101</v>
      </c>
      <c r="O61" s="48" t="s">
        <v>114</v>
      </c>
      <c r="P61" s="48" t="s">
        <v>114</v>
      </c>
      <c r="Q61" s="48" t="s">
        <v>143</v>
      </c>
      <c r="R61" s="48" t="s">
        <v>630</v>
      </c>
      <c r="S61" s="48" t="s">
        <v>631</v>
      </c>
      <c r="T61" s="48" t="s">
        <v>632</v>
      </c>
      <c r="U61" s="48" t="s">
        <v>106</v>
      </c>
      <c r="V61" s="48" t="s">
        <v>119</v>
      </c>
      <c r="W61" s="212">
        <v>0</v>
      </c>
      <c r="X61" s="213">
        <v>0</v>
      </c>
      <c r="Y61" s="210">
        <v>0</v>
      </c>
      <c r="Z61" s="210">
        <v>0</v>
      </c>
      <c r="AA61" s="209">
        <v>0</v>
      </c>
      <c r="AB61" s="48"/>
      <c r="AC61" s="17">
        <v>0</v>
      </c>
      <c r="AD61" s="17">
        <v>0</v>
      </c>
      <c r="AE61" s="17">
        <v>0</v>
      </c>
      <c r="AF61" s="17">
        <v>0</v>
      </c>
      <c r="AG61" s="208">
        <v>0</v>
      </c>
      <c r="AH61" s="209">
        <v>0</v>
      </c>
      <c r="AI61" s="208">
        <v>0</v>
      </c>
      <c r="AJ61" s="48"/>
      <c r="AK61" s="48"/>
      <c r="AL61" s="48"/>
      <c r="AM61" s="48"/>
      <c r="AN61" s="48"/>
    </row>
    <row r="62" spans="1:40" ht="14.45">
      <c r="A62" s="48">
        <v>60</v>
      </c>
      <c r="B62" s="5" t="s">
        <v>626</v>
      </c>
      <c r="C62" s="5" t="s">
        <v>633</v>
      </c>
      <c r="D62" s="5" t="s">
        <v>634</v>
      </c>
      <c r="E62" s="44"/>
      <c r="F62" s="34" t="s">
        <v>94</v>
      </c>
      <c r="G62" s="34" t="s">
        <v>128</v>
      </c>
      <c r="H62" s="34" t="s">
        <v>96</v>
      </c>
      <c r="I62" s="206" t="s">
        <v>635</v>
      </c>
      <c r="J62" s="34" t="s">
        <v>112</v>
      </c>
      <c r="K62" s="34" t="s">
        <v>98</v>
      </c>
      <c r="L62" s="34" t="s">
        <v>172</v>
      </c>
      <c r="M62" s="34" t="s">
        <v>471</v>
      </c>
      <c r="N62" s="34" t="s">
        <v>101</v>
      </c>
      <c r="O62" s="48" t="s">
        <v>114</v>
      </c>
      <c r="P62" s="48" t="s">
        <v>114</v>
      </c>
      <c r="Q62" s="48" t="s">
        <v>143</v>
      </c>
      <c r="R62" s="48" t="s">
        <v>630</v>
      </c>
      <c r="S62" s="48" t="s">
        <v>636</v>
      </c>
      <c r="T62" s="48" t="s">
        <v>637</v>
      </c>
      <c r="U62" s="48" t="s">
        <v>156</v>
      </c>
      <c r="V62" s="48" t="s">
        <v>157</v>
      </c>
      <c r="W62" s="212">
        <v>0</v>
      </c>
      <c r="X62" s="213">
        <v>0</v>
      </c>
      <c r="Y62" s="210">
        <v>0</v>
      </c>
      <c r="Z62" s="210">
        <v>0</v>
      </c>
      <c r="AA62" s="209">
        <v>0</v>
      </c>
      <c r="AB62" s="48"/>
      <c r="AC62" s="17">
        <v>0</v>
      </c>
      <c r="AD62" s="17">
        <v>0</v>
      </c>
      <c r="AE62" s="17">
        <v>0</v>
      </c>
      <c r="AF62" s="17">
        <v>0</v>
      </c>
      <c r="AG62" s="208">
        <v>0.16666666666666666</v>
      </c>
      <c r="AH62" s="209">
        <v>3.1607002314814814</v>
      </c>
      <c r="AI62" s="208">
        <v>2</v>
      </c>
      <c r="AJ62" s="48"/>
      <c r="AK62" s="48"/>
      <c r="AL62" s="48"/>
      <c r="AM62" s="48"/>
      <c r="AN62" s="48"/>
    </row>
    <row r="63" spans="1:40" ht="14.45">
      <c r="A63" s="48">
        <v>61</v>
      </c>
      <c r="B63" s="5" t="s">
        <v>626</v>
      </c>
      <c r="C63" s="5" t="s">
        <v>638</v>
      </c>
      <c r="D63" s="5" t="s">
        <v>639</v>
      </c>
      <c r="E63" s="44"/>
      <c r="F63" s="34" t="s">
        <v>94</v>
      </c>
      <c r="G63" s="34" t="s">
        <v>95</v>
      </c>
      <c r="H63" s="34" t="s">
        <v>236</v>
      </c>
      <c r="I63" s="34" t="s">
        <v>629</v>
      </c>
      <c r="J63" s="34" t="s">
        <v>97</v>
      </c>
      <c r="K63" s="34" t="s">
        <v>98</v>
      </c>
      <c r="L63" s="34" t="s">
        <v>172</v>
      </c>
      <c r="M63" s="34" t="s">
        <v>153</v>
      </c>
      <c r="N63" s="34" t="s">
        <v>101</v>
      </c>
      <c r="O63" s="48" t="s">
        <v>114</v>
      </c>
      <c r="P63" s="48" t="s">
        <v>114</v>
      </c>
      <c r="Q63" s="48" t="s">
        <v>143</v>
      </c>
      <c r="R63" s="48" t="s">
        <v>630</v>
      </c>
      <c r="S63" s="48" t="s">
        <v>631</v>
      </c>
      <c r="T63" s="48" t="s">
        <v>640</v>
      </c>
      <c r="U63" s="48" t="s">
        <v>106</v>
      </c>
      <c r="V63" s="48" t="s">
        <v>119</v>
      </c>
      <c r="W63" s="212">
        <v>1</v>
      </c>
      <c r="X63" s="213">
        <v>0</v>
      </c>
      <c r="Y63" s="210">
        <v>0</v>
      </c>
      <c r="Z63" s="210">
        <v>0.16666666666666666</v>
      </c>
      <c r="AA63" s="209">
        <v>5.0494020061728397</v>
      </c>
      <c r="AB63" s="48"/>
      <c r="AC63" s="17">
        <v>0</v>
      </c>
      <c r="AD63" s="17">
        <v>0</v>
      </c>
      <c r="AE63" s="17">
        <v>0</v>
      </c>
      <c r="AF63" s="17">
        <v>0</v>
      </c>
      <c r="AG63" s="208">
        <v>0.25</v>
      </c>
      <c r="AH63" s="209">
        <v>15.962980324074074</v>
      </c>
      <c r="AI63" s="208">
        <v>3</v>
      </c>
      <c r="AJ63" s="48"/>
      <c r="AK63" s="48"/>
      <c r="AL63" s="48"/>
      <c r="AM63" s="48"/>
      <c r="AN63" s="48"/>
    </row>
    <row r="64" spans="1:40" ht="14.45">
      <c r="A64" s="48">
        <v>62</v>
      </c>
      <c r="B64" s="5" t="s">
        <v>626</v>
      </c>
      <c r="C64" s="5" t="s">
        <v>641</v>
      </c>
      <c r="D64" s="5" t="s">
        <v>642</v>
      </c>
      <c r="E64" s="44"/>
      <c r="F64" s="34" t="s">
        <v>94</v>
      </c>
      <c r="G64" s="34" t="s">
        <v>141</v>
      </c>
      <c r="H64" s="34" t="s">
        <v>96</v>
      </c>
      <c r="I64" s="34" t="s">
        <v>629</v>
      </c>
      <c r="J64" s="34" t="s">
        <v>97</v>
      </c>
      <c r="K64" s="34" t="s">
        <v>98</v>
      </c>
      <c r="L64" s="34" t="s">
        <v>172</v>
      </c>
      <c r="M64" s="34" t="s">
        <v>153</v>
      </c>
      <c r="N64" s="34" t="s">
        <v>101</v>
      </c>
      <c r="O64" s="48" t="s">
        <v>114</v>
      </c>
      <c r="P64" s="48" t="s">
        <v>114</v>
      </c>
      <c r="Q64" s="48" t="s">
        <v>143</v>
      </c>
      <c r="R64" s="48" t="s">
        <v>630</v>
      </c>
      <c r="S64" s="48" t="s">
        <v>631</v>
      </c>
      <c r="T64" s="48" t="s">
        <v>640</v>
      </c>
      <c r="U64" s="48" t="s">
        <v>106</v>
      </c>
      <c r="V64" s="48" t="s">
        <v>119</v>
      </c>
      <c r="W64" s="212">
        <v>0</v>
      </c>
      <c r="X64" s="213">
        <v>0</v>
      </c>
      <c r="Y64" s="210">
        <v>0</v>
      </c>
      <c r="Z64" s="210">
        <v>0</v>
      </c>
      <c r="AA64" s="209">
        <v>2.801236272609819</v>
      </c>
      <c r="AB64" s="48"/>
      <c r="AC64" s="17">
        <v>0</v>
      </c>
      <c r="AD64" s="17">
        <v>0</v>
      </c>
      <c r="AE64" s="17">
        <v>0</v>
      </c>
      <c r="AF64" s="17">
        <v>0</v>
      </c>
      <c r="AG64" s="208">
        <v>0</v>
      </c>
      <c r="AH64" s="209">
        <v>0</v>
      </c>
      <c r="AI64" s="208">
        <v>0</v>
      </c>
      <c r="AJ64" s="48"/>
      <c r="AK64" s="48"/>
      <c r="AL64" s="48"/>
      <c r="AM64" s="48"/>
      <c r="AN64" s="48"/>
    </row>
    <row r="65" spans="1:40" ht="14.45">
      <c r="A65" s="48">
        <v>63</v>
      </c>
      <c r="B65" s="5" t="s">
        <v>626</v>
      </c>
      <c r="C65" s="5" t="s">
        <v>643</v>
      </c>
      <c r="D65" s="5" t="s">
        <v>644</v>
      </c>
      <c r="E65" s="44"/>
      <c r="F65" s="34" t="s">
        <v>94</v>
      </c>
      <c r="G65" s="34" t="s">
        <v>141</v>
      </c>
      <c r="H65" s="34" t="s">
        <v>96</v>
      </c>
      <c r="I65" s="206" t="s">
        <v>629</v>
      </c>
      <c r="J65" s="34" t="s">
        <v>112</v>
      </c>
      <c r="K65" s="34" t="s">
        <v>98</v>
      </c>
      <c r="L65" s="34" t="s">
        <v>172</v>
      </c>
      <c r="M65" s="34" t="s">
        <v>471</v>
      </c>
      <c r="N65" s="34" t="s">
        <v>101</v>
      </c>
      <c r="O65" s="48" t="s">
        <v>114</v>
      </c>
      <c r="P65" s="48" t="s">
        <v>114</v>
      </c>
      <c r="Q65" s="48" t="s">
        <v>143</v>
      </c>
      <c r="R65" s="48" t="s">
        <v>630</v>
      </c>
      <c r="S65" s="48" t="s">
        <v>631</v>
      </c>
      <c r="T65" s="48" t="s">
        <v>640</v>
      </c>
      <c r="U65" s="48" t="s">
        <v>118</v>
      </c>
      <c r="V65" s="48" t="s">
        <v>119</v>
      </c>
      <c r="W65" s="212">
        <v>48.75</v>
      </c>
      <c r="X65" s="213">
        <v>1.3675213675213675E-2</v>
      </c>
      <c r="Y65" s="210">
        <v>1.8333333333333333</v>
      </c>
      <c r="Z65" s="210">
        <v>17.583333333333332</v>
      </c>
      <c r="AA65" s="209">
        <v>4.3855957641895138</v>
      </c>
      <c r="AB65" s="48"/>
      <c r="AC65" s="17">
        <v>20</v>
      </c>
      <c r="AD65" s="17">
        <v>0</v>
      </c>
      <c r="AE65" s="17">
        <v>0</v>
      </c>
      <c r="AF65" s="17">
        <v>0</v>
      </c>
      <c r="AG65" s="208">
        <v>49.75</v>
      </c>
      <c r="AH65" s="209">
        <v>4.3584930466180483</v>
      </c>
      <c r="AI65" s="208">
        <v>597</v>
      </c>
      <c r="AJ65" s="48"/>
      <c r="AK65" s="48"/>
      <c r="AL65" s="48"/>
      <c r="AM65" s="48"/>
      <c r="AN65" s="48"/>
    </row>
    <row r="66" spans="1:40" ht="14.45">
      <c r="A66" s="48">
        <v>64</v>
      </c>
      <c r="B66" s="5" t="s">
        <v>626</v>
      </c>
      <c r="C66" s="5" t="s">
        <v>645</v>
      </c>
      <c r="D66" s="5" t="s">
        <v>646</v>
      </c>
      <c r="E66" s="44"/>
      <c r="F66" s="34" t="s">
        <v>94</v>
      </c>
      <c r="G66" s="34" t="s">
        <v>141</v>
      </c>
      <c r="H66" s="34" t="s">
        <v>96</v>
      </c>
      <c r="I66" s="206" t="s">
        <v>629</v>
      </c>
      <c r="J66" s="34" t="s">
        <v>112</v>
      </c>
      <c r="K66" s="34" t="s">
        <v>98</v>
      </c>
      <c r="L66" s="34" t="s">
        <v>172</v>
      </c>
      <c r="M66" s="34" t="s">
        <v>471</v>
      </c>
      <c r="N66" s="34" t="s">
        <v>101</v>
      </c>
      <c r="O66" s="48" t="s">
        <v>114</v>
      </c>
      <c r="P66" s="48" t="s">
        <v>114</v>
      </c>
      <c r="Q66" s="48" t="s">
        <v>143</v>
      </c>
      <c r="R66" s="48" t="s">
        <v>630</v>
      </c>
      <c r="S66" s="48" t="s">
        <v>631</v>
      </c>
      <c r="T66" s="48" t="s">
        <v>640</v>
      </c>
      <c r="U66" s="48" t="s">
        <v>118</v>
      </c>
      <c r="V66" s="48" t="s">
        <v>119</v>
      </c>
      <c r="W66" s="212">
        <v>54.083333333333336</v>
      </c>
      <c r="X66" s="213">
        <v>2.0030816640986132E-2</v>
      </c>
      <c r="Y66" s="210">
        <v>0.58333333333333337</v>
      </c>
      <c r="Z66" s="210">
        <v>10.75</v>
      </c>
      <c r="AA66" s="209">
        <v>17.710023351917055</v>
      </c>
      <c r="AB66" s="48"/>
      <c r="AC66" s="17">
        <v>75</v>
      </c>
      <c r="AD66" s="17">
        <v>8.3333333333333329E-2</v>
      </c>
      <c r="AE66" s="17">
        <v>0</v>
      </c>
      <c r="AF66" s="17">
        <v>1</v>
      </c>
      <c r="AG66" s="208">
        <v>78</v>
      </c>
      <c r="AH66" s="209">
        <v>3.4005035816697311</v>
      </c>
      <c r="AI66" s="208">
        <v>936</v>
      </c>
      <c r="AJ66" s="48"/>
      <c r="AK66" s="48"/>
      <c r="AL66" s="48"/>
      <c r="AM66" s="48"/>
      <c r="AN66" s="48"/>
    </row>
    <row r="67" spans="1:40" ht="14.45">
      <c r="A67" s="48">
        <v>65</v>
      </c>
      <c r="B67" s="5" t="s">
        <v>626</v>
      </c>
      <c r="C67" s="5" t="s">
        <v>647</v>
      </c>
      <c r="D67" s="5" t="s">
        <v>648</v>
      </c>
      <c r="E67" s="44"/>
      <c r="F67" s="34" t="s">
        <v>94</v>
      </c>
      <c r="G67" s="34" t="s">
        <v>223</v>
      </c>
      <c r="H67" s="34" t="s">
        <v>149</v>
      </c>
      <c r="I67" s="206" t="s">
        <v>629</v>
      </c>
      <c r="J67" s="34" t="s">
        <v>112</v>
      </c>
      <c r="K67" s="34" t="s">
        <v>98</v>
      </c>
      <c r="L67" s="34" t="s">
        <v>172</v>
      </c>
      <c r="M67" s="34" t="s">
        <v>471</v>
      </c>
      <c r="N67" s="34" t="s">
        <v>216</v>
      </c>
      <c r="O67" s="48" t="s">
        <v>114</v>
      </c>
      <c r="P67" s="48" t="s">
        <v>114</v>
      </c>
      <c r="Q67" s="48" t="s">
        <v>143</v>
      </c>
      <c r="R67" s="48" t="s">
        <v>630</v>
      </c>
      <c r="S67" s="48" t="s">
        <v>631</v>
      </c>
      <c r="T67" s="48" t="s">
        <v>640</v>
      </c>
      <c r="U67" s="48" t="s">
        <v>118</v>
      </c>
      <c r="V67" s="48" t="s">
        <v>119</v>
      </c>
      <c r="W67" s="212">
        <v>51.333333333333336</v>
      </c>
      <c r="X67" s="213">
        <v>3.7337662337662336E-2</v>
      </c>
      <c r="Y67" s="210">
        <v>0.83333333333333337</v>
      </c>
      <c r="Z67" s="210">
        <v>12.083333333333334</v>
      </c>
      <c r="AA67" s="209">
        <v>6.4455666706011954</v>
      </c>
      <c r="AB67" s="48"/>
      <c r="AC67" s="17">
        <v>5</v>
      </c>
      <c r="AD67" s="17">
        <v>0</v>
      </c>
      <c r="AE67" s="17">
        <v>0</v>
      </c>
      <c r="AF67" s="17">
        <v>0</v>
      </c>
      <c r="AG67" s="208">
        <v>90.25</v>
      </c>
      <c r="AH67" s="209">
        <v>3.3543985218821253</v>
      </c>
      <c r="AI67" s="208">
        <v>1083</v>
      </c>
      <c r="AJ67" s="48"/>
      <c r="AK67" s="48"/>
      <c r="AL67" s="48"/>
      <c r="AM67" s="48"/>
      <c r="AN67" s="48"/>
    </row>
    <row r="68" spans="1:40" ht="14.45">
      <c r="A68" s="48">
        <v>66</v>
      </c>
      <c r="B68" s="5" t="s">
        <v>626</v>
      </c>
      <c r="C68" s="5" t="s">
        <v>649</v>
      </c>
      <c r="D68" s="5" t="s">
        <v>650</v>
      </c>
      <c r="E68" s="44"/>
      <c r="F68" s="34" t="s">
        <v>94</v>
      </c>
      <c r="G68" s="34" t="s">
        <v>128</v>
      </c>
      <c r="H68" s="34" t="s">
        <v>96</v>
      </c>
      <c r="I68" s="206" t="s">
        <v>629</v>
      </c>
      <c r="J68" s="34" t="s">
        <v>97</v>
      </c>
      <c r="K68" s="34" t="s">
        <v>98</v>
      </c>
      <c r="L68" s="34" t="s">
        <v>172</v>
      </c>
      <c r="M68" s="34" t="s">
        <v>153</v>
      </c>
      <c r="N68" s="34" t="s">
        <v>101</v>
      </c>
      <c r="O68" s="48" t="s">
        <v>114</v>
      </c>
      <c r="P68" s="48" t="s">
        <v>114</v>
      </c>
      <c r="Q68" s="48" t="s">
        <v>143</v>
      </c>
      <c r="R68" s="48" t="s">
        <v>630</v>
      </c>
      <c r="S68" s="48" t="s">
        <v>631</v>
      </c>
      <c r="T68" s="48" t="s">
        <v>640</v>
      </c>
      <c r="U68" s="48" t="s">
        <v>106</v>
      </c>
      <c r="V68" s="48" t="s">
        <v>119</v>
      </c>
      <c r="W68" s="212">
        <v>5.333333333333333</v>
      </c>
      <c r="X68" s="213">
        <v>0</v>
      </c>
      <c r="Y68" s="210">
        <v>0.16666666666666666</v>
      </c>
      <c r="Z68" s="210">
        <v>1.5</v>
      </c>
      <c r="AA68" s="209">
        <v>14.189533781828704</v>
      </c>
      <c r="AB68" s="48"/>
      <c r="AC68" s="17">
        <v>3</v>
      </c>
      <c r="AD68" s="17">
        <v>0</v>
      </c>
      <c r="AE68" s="17">
        <v>0</v>
      </c>
      <c r="AF68" s="17">
        <v>0</v>
      </c>
      <c r="AG68" s="208">
        <v>0.5</v>
      </c>
      <c r="AH68" s="209">
        <v>12.642725694444444</v>
      </c>
      <c r="AI68" s="208">
        <v>6</v>
      </c>
      <c r="AJ68" s="48"/>
      <c r="AK68" s="48"/>
      <c r="AL68" s="48"/>
      <c r="AM68" s="48"/>
      <c r="AN68" s="48"/>
    </row>
    <row r="69" spans="1:40" ht="14.45">
      <c r="A69" s="48">
        <v>67</v>
      </c>
      <c r="B69" s="5" t="s">
        <v>626</v>
      </c>
      <c r="C69" s="5" t="s">
        <v>651</v>
      </c>
      <c r="D69" s="5" t="s">
        <v>652</v>
      </c>
      <c r="E69" s="44"/>
      <c r="F69" s="34" t="s">
        <v>94</v>
      </c>
      <c r="G69" s="34" t="s">
        <v>141</v>
      </c>
      <c r="H69" s="34" t="s">
        <v>96</v>
      </c>
      <c r="I69" s="206" t="s">
        <v>629</v>
      </c>
      <c r="J69" s="34" t="s">
        <v>112</v>
      </c>
      <c r="K69" s="34" t="s">
        <v>98</v>
      </c>
      <c r="L69" s="34" t="s">
        <v>166</v>
      </c>
      <c r="M69" s="34" t="s">
        <v>153</v>
      </c>
      <c r="N69" s="34" t="s">
        <v>101</v>
      </c>
      <c r="O69" s="48" t="s">
        <v>114</v>
      </c>
      <c r="P69" s="48" t="s">
        <v>114</v>
      </c>
      <c r="Q69" s="48" t="s">
        <v>143</v>
      </c>
      <c r="R69" s="48" t="s">
        <v>630</v>
      </c>
      <c r="S69" s="48" t="s">
        <v>631</v>
      </c>
      <c r="T69" s="48" t="s">
        <v>640</v>
      </c>
      <c r="U69" s="48" t="s">
        <v>145</v>
      </c>
      <c r="V69" s="48" t="s">
        <v>119</v>
      </c>
      <c r="W69" s="212">
        <v>5.25</v>
      </c>
      <c r="X69" s="213">
        <v>1.5873015873015872E-2</v>
      </c>
      <c r="Y69" s="210">
        <v>0.16666666666666666</v>
      </c>
      <c r="Z69" s="210">
        <v>0.41666666666666669</v>
      </c>
      <c r="AA69" s="209">
        <v>2.4645721266901819</v>
      </c>
      <c r="AB69" s="48"/>
      <c r="AC69" s="17">
        <v>2</v>
      </c>
      <c r="AD69" s="17">
        <v>0</v>
      </c>
      <c r="AE69" s="17">
        <v>0</v>
      </c>
      <c r="AF69" s="17">
        <v>0</v>
      </c>
      <c r="AG69" s="208">
        <v>66.25</v>
      </c>
      <c r="AH69" s="209">
        <v>4.4730695654164041</v>
      </c>
      <c r="AI69" s="208">
        <v>795</v>
      </c>
      <c r="AJ69" s="48"/>
      <c r="AK69" s="48"/>
      <c r="AL69" s="48"/>
      <c r="AM69" s="48"/>
      <c r="AN69" s="48"/>
    </row>
    <row r="70" spans="1:40" ht="14.45">
      <c r="A70" s="48">
        <v>68</v>
      </c>
      <c r="B70" s="5" t="s">
        <v>626</v>
      </c>
      <c r="C70" s="5" t="s">
        <v>653</v>
      </c>
      <c r="D70" s="5" t="s">
        <v>654</v>
      </c>
      <c r="E70" s="44"/>
      <c r="F70" s="34" t="s">
        <v>94</v>
      </c>
      <c r="G70" s="34" t="s">
        <v>141</v>
      </c>
      <c r="H70" s="34" t="s">
        <v>96</v>
      </c>
      <c r="I70" s="34" t="s">
        <v>629</v>
      </c>
      <c r="J70" s="34" t="s">
        <v>112</v>
      </c>
      <c r="K70" s="34" t="s">
        <v>98</v>
      </c>
      <c r="L70" s="34" t="s">
        <v>172</v>
      </c>
      <c r="M70" s="34" t="s">
        <v>153</v>
      </c>
      <c r="N70" s="34" t="s">
        <v>101</v>
      </c>
      <c r="O70" s="48" t="s">
        <v>114</v>
      </c>
      <c r="P70" s="48" t="s">
        <v>114</v>
      </c>
      <c r="Q70" s="48" t="s">
        <v>143</v>
      </c>
      <c r="R70" s="48" t="s">
        <v>630</v>
      </c>
      <c r="S70" s="48" t="s">
        <v>631</v>
      </c>
      <c r="T70" s="48" t="s">
        <v>640</v>
      </c>
      <c r="U70" s="48" t="s">
        <v>106</v>
      </c>
      <c r="V70" s="48" t="s">
        <v>119</v>
      </c>
      <c r="W70" s="212">
        <v>0.33333333333333331</v>
      </c>
      <c r="X70" s="213">
        <v>0</v>
      </c>
      <c r="Y70" s="210">
        <v>0</v>
      </c>
      <c r="Z70" s="210">
        <v>8.3333333333333329E-2</v>
      </c>
      <c r="AA70" s="209">
        <v>19.095185185185183</v>
      </c>
      <c r="AB70" s="48"/>
      <c r="AC70" s="17">
        <v>0</v>
      </c>
      <c r="AD70" s="17">
        <v>0</v>
      </c>
      <c r="AE70" s="17">
        <v>0</v>
      </c>
      <c r="AF70" s="17">
        <v>0</v>
      </c>
      <c r="AG70" s="208">
        <v>0.5</v>
      </c>
      <c r="AH70" s="209">
        <v>7.4760387731481481</v>
      </c>
      <c r="AI70" s="208">
        <v>6</v>
      </c>
      <c r="AJ70" s="48"/>
      <c r="AK70" s="48"/>
      <c r="AL70" s="48"/>
      <c r="AM70" s="48"/>
      <c r="AN70" s="48"/>
    </row>
    <row r="71" spans="1:40" ht="14.45">
      <c r="A71" s="48">
        <v>69</v>
      </c>
      <c r="B71" s="5" t="s">
        <v>626</v>
      </c>
      <c r="C71" s="5" t="s">
        <v>655</v>
      </c>
      <c r="D71" s="5" t="s">
        <v>656</v>
      </c>
      <c r="E71" s="44"/>
      <c r="F71" s="34" t="s">
        <v>94</v>
      </c>
      <c r="G71" s="34" t="s">
        <v>128</v>
      </c>
      <c r="H71" s="34" t="s">
        <v>96</v>
      </c>
      <c r="I71" s="34" t="s">
        <v>629</v>
      </c>
      <c r="J71" s="34" t="s">
        <v>112</v>
      </c>
      <c r="K71" s="34" t="s">
        <v>98</v>
      </c>
      <c r="L71" s="34" t="s">
        <v>172</v>
      </c>
      <c r="M71" s="34" t="s">
        <v>153</v>
      </c>
      <c r="N71" s="34" t="s">
        <v>101</v>
      </c>
      <c r="O71" s="48" t="s">
        <v>102</v>
      </c>
      <c r="P71" s="48" t="s">
        <v>114</v>
      </c>
      <c r="Q71" s="48" t="s">
        <v>143</v>
      </c>
      <c r="R71" s="48" t="s">
        <v>630</v>
      </c>
      <c r="S71" s="48" t="s">
        <v>631</v>
      </c>
      <c r="T71" s="48" t="s">
        <v>640</v>
      </c>
      <c r="U71" s="48" t="s">
        <v>145</v>
      </c>
      <c r="V71" s="48" t="s">
        <v>119</v>
      </c>
      <c r="W71" s="212">
        <v>3.4166666666666665</v>
      </c>
      <c r="X71" s="213">
        <v>2.4390243902439025E-2</v>
      </c>
      <c r="Y71" s="210">
        <v>0.33333333333333331</v>
      </c>
      <c r="Z71" s="210">
        <v>0.33333333333333331</v>
      </c>
      <c r="AA71" s="209">
        <v>16.548289641203702</v>
      </c>
      <c r="AB71" s="48"/>
      <c r="AC71" s="17">
        <v>3</v>
      </c>
      <c r="AD71" s="17">
        <v>0</v>
      </c>
      <c r="AE71" s="17">
        <v>0</v>
      </c>
      <c r="AF71" s="17">
        <v>0</v>
      </c>
      <c r="AG71" s="208">
        <v>111.33333333333333</v>
      </c>
      <c r="AH71" s="209">
        <v>3.301008039427578</v>
      </c>
      <c r="AI71" s="208">
        <v>1336</v>
      </c>
      <c r="AJ71" s="48"/>
      <c r="AK71" s="48"/>
      <c r="AL71" s="48"/>
      <c r="AM71" s="48"/>
      <c r="AN71" s="48"/>
    </row>
    <row r="72" spans="1:40" ht="14.45">
      <c r="A72" s="48">
        <v>70</v>
      </c>
      <c r="B72" s="5" t="s">
        <v>626</v>
      </c>
      <c r="C72" s="5" t="s">
        <v>657</v>
      </c>
      <c r="D72" s="5" t="s">
        <v>658</v>
      </c>
      <c r="E72" s="44"/>
      <c r="F72" s="34" t="s">
        <v>94</v>
      </c>
      <c r="G72" s="34" t="s">
        <v>95</v>
      </c>
      <c r="H72" s="34" t="s">
        <v>96</v>
      </c>
      <c r="I72" s="34" t="s">
        <v>629</v>
      </c>
      <c r="J72" s="34" t="s">
        <v>112</v>
      </c>
      <c r="K72" s="34" t="s">
        <v>98</v>
      </c>
      <c r="L72" s="34" t="s">
        <v>172</v>
      </c>
      <c r="M72" s="34" t="s">
        <v>153</v>
      </c>
      <c r="N72" s="34" t="s">
        <v>101</v>
      </c>
      <c r="O72" s="48" t="s">
        <v>114</v>
      </c>
      <c r="P72" s="48" t="s">
        <v>114</v>
      </c>
      <c r="Q72" s="48" t="s">
        <v>143</v>
      </c>
      <c r="R72" s="48" t="s">
        <v>630</v>
      </c>
      <c r="S72" s="48" t="s">
        <v>631</v>
      </c>
      <c r="T72" s="48" t="s">
        <v>640</v>
      </c>
      <c r="U72" s="48" t="s">
        <v>145</v>
      </c>
      <c r="V72" s="48" t="s">
        <v>119</v>
      </c>
      <c r="W72" s="212">
        <v>2.0833333333333335</v>
      </c>
      <c r="X72" s="213">
        <v>0.16</v>
      </c>
      <c r="Y72" s="210">
        <v>0</v>
      </c>
      <c r="Z72" s="210">
        <v>0</v>
      </c>
      <c r="AA72" s="209">
        <v>1.5402014941077444</v>
      </c>
      <c r="AB72" s="48"/>
      <c r="AC72" s="17">
        <v>0</v>
      </c>
      <c r="AD72" s="17">
        <v>0</v>
      </c>
      <c r="AE72" s="17">
        <v>0</v>
      </c>
      <c r="AF72" s="17">
        <v>0</v>
      </c>
      <c r="AG72" s="208">
        <v>57</v>
      </c>
      <c r="AH72" s="209">
        <v>4.3019894462719295</v>
      </c>
      <c r="AI72" s="208">
        <v>684</v>
      </c>
      <c r="AJ72" s="48"/>
      <c r="AK72" s="48"/>
      <c r="AL72" s="48"/>
      <c r="AM72" s="48"/>
      <c r="AN72" s="48"/>
    </row>
    <row r="73" spans="1:40" ht="14.45">
      <c r="A73" s="48">
        <v>71</v>
      </c>
      <c r="B73" s="5" t="s">
        <v>626</v>
      </c>
      <c r="C73" s="5" t="s">
        <v>659</v>
      </c>
      <c r="D73" s="5" t="s">
        <v>660</v>
      </c>
      <c r="E73" s="44"/>
      <c r="F73" s="34" t="s">
        <v>94</v>
      </c>
      <c r="G73" s="34" t="s">
        <v>141</v>
      </c>
      <c r="H73" s="34" t="s">
        <v>96</v>
      </c>
      <c r="I73" s="34" t="s">
        <v>629</v>
      </c>
      <c r="J73" s="34" t="s">
        <v>112</v>
      </c>
      <c r="K73" s="34" t="s">
        <v>98</v>
      </c>
      <c r="L73" s="34" t="s">
        <v>172</v>
      </c>
      <c r="M73" s="34" t="s">
        <v>153</v>
      </c>
      <c r="N73" s="34" t="s">
        <v>101</v>
      </c>
      <c r="O73" s="48" t="s">
        <v>114</v>
      </c>
      <c r="P73" s="48" t="s">
        <v>114</v>
      </c>
      <c r="Q73" s="48" t="s">
        <v>143</v>
      </c>
      <c r="R73" s="48" t="s">
        <v>630</v>
      </c>
      <c r="S73" s="48" t="s">
        <v>631</v>
      </c>
      <c r="T73" s="48" t="s">
        <v>640</v>
      </c>
      <c r="U73" s="48" t="s">
        <v>145</v>
      </c>
      <c r="V73" s="48" t="s">
        <v>119</v>
      </c>
      <c r="W73" s="212">
        <v>1.5833333333333333</v>
      </c>
      <c r="X73" s="213">
        <v>5.2631578947368418E-2</v>
      </c>
      <c r="Y73" s="210">
        <v>0</v>
      </c>
      <c r="Z73" s="210">
        <v>0.83333333333333337</v>
      </c>
      <c r="AA73" s="209">
        <v>8.0768944931773898</v>
      </c>
      <c r="AB73" s="48"/>
      <c r="AC73" s="17">
        <v>1</v>
      </c>
      <c r="AD73" s="17">
        <v>0</v>
      </c>
      <c r="AE73" s="17">
        <v>0</v>
      </c>
      <c r="AF73" s="17">
        <v>0</v>
      </c>
      <c r="AG73" s="208">
        <v>59</v>
      </c>
      <c r="AH73" s="209">
        <v>4.6534827609158631</v>
      </c>
      <c r="AI73" s="208">
        <v>708</v>
      </c>
      <c r="AJ73" s="48"/>
      <c r="AK73" s="48"/>
      <c r="AL73" s="48"/>
      <c r="AM73" s="48"/>
      <c r="AN73" s="48"/>
    </row>
    <row r="74" spans="1:40" ht="14.45">
      <c r="A74" s="48">
        <v>72</v>
      </c>
      <c r="B74" s="5" t="s">
        <v>626</v>
      </c>
      <c r="C74" s="5" t="s">
        <v>661</v>
      </c>
      <c r="D74" s="5" t="s">
        <v>662</v>
      </c>
      <c r="E74" s="44"/>
      <c r="F74" s="34" t="s">
        <v>94</v>
      </c>
      <c r="G74" s="34" t="s">
        <v>128</v>
      </c>
      <c r="H74" s="34" t="s">
        <v>96</v>
      </c>
      <c r="I74" s="206" t="s">
        <v>629</v>
      </c>
      <c r="J74" s="34" t="s">
        <v>97</v>
      </c>
      <c r="K74" s="34" t="s">
        <v>98</v>
      </c>
      <c r="L74" s="34" t="s">
        <v>172</v>
      </c>
      <c r="M74" s="34" t="s">
        <v>471</v>
      </c>
      <c r="N74" s="34" t="s">
        <v>101</v>
      </c>
      <c r="O74" s="48" t="s">
        <v>114</v>
      </c>
      <c r="P74" s="48" t="s">
        <v>114</v>
      </c>
      <c r="Q74" s="48" t="s">
        <v>143</v>
      </c>
      <c r="R74" s="48" t="s">
        <v>630</v>
      </c>
      <c r="S74" s="48" t="s">
        <v>631</v>
      </c>
      <c r="T74" s="48" t="s">
        <v>640</v>
      </c>
      <c r="U74" s="48" t="s">
        <v>118</v>
      </c>
      <c r="V74" s="48" t="s">
        <v>157</v>
      </c>
      <c r="W74" s="212">
        <v>2.5833333333333335</v>
      </c>
      <c r="X74" s="213">
        <v>0</v>
      </c>
      <c r="Y74" s="210">
        <v>0</v>
      </c>
      <c r="Z74" s="210">
        <v>8.3333333333333329E-2</v>
      </c>
      <c r="AA74" s="209">
        <v>5.2933005401234565</v>
      </c>
      <c r="AB74" s="48"/>
      <c r="AC74" s="17">
        <v>0</v>
      </c>
      <c r="AD74" s="17">
        <v>0</v>
      </c>
      <c r="AE74" s="17">
        <v>0</v>
      </c>
      <c r="AF74" s="17">
        <v>0</v>
      </c>
      <c r="AG74" s="208">
        <v>25</v>
      </c>
      <c r="AH74" s="209">
        <v>5.8530124840966913</v>
      </c>
      <c r="AI74" s="208">
        <v>300</v>
      </c>
      <c r="AJ74" s="48"/>
      <c r="AK74" s="48"/>
      <c r="AL74" s="48"/>
      <c r="AM74" s="48"/>
      <c r="AN74" s="48"/>
    </row>
    <row r="75" spans="1:40" ht="14.45">
      <c r="A75" s="48">
        <v>73</v>
      </c>
      <c r="B75" s="5" t="s">
        <v>626</v>
      </c>
      <c r="C75" s="5" t="s">
        <v>663</v>
      </c>
      <c r="D75" s="5" t="s">
        <v>664</v>
      </c>
      <c r="E75" s="44"/>
      <c r="F75" s="34" t="s">
        <v>94</v>
      </c>
      <c r="G75" s="34" t="s">
        <v>95</v>
      </c>
      <c r="H75" s="34" t="s">
        <v>236</v>
      </c>
      <c r="I75" s="34" t="s">
        <v>629</v>
      </c>
      <c r="J75" s="207" t="s">
        <v>97</v>
      </c>
      <c r="K75" s="34" t="s">
        <v>98</v>
      </c>
      <c r="L75" s="34" t="s">
        <v>172</v>
      </c>
      <c r="M75" s="34" t="s">
        <v>153</v>
      </c>
      <c r="N75" s="34" t="s">
        <v>101</v>
      </c>
      <c r="O75" s="48" t="s">
        <v>114</v>
      </c>
      <c r="P75" s="48" t="s">
        <v>114</v>
      </c>
      <c r="Q75" s="48" t="s">
        <v>143</v>
      </c>
      <c r="R75" s="48" t="s">
        <v>630</v>
      </c>
      <c r="S75" s="48" t="s">
        <v>631</v>
      </c>
      <c r="T75" s="48" t="s">
        <v>640</v>
      </c>
      <c r="U75" s="48" t="s">
        <v>106</v>
      </c>
      <c r="V75" s="48" t="s">
        <v>119</v>
      </c>
      <c r="W75" s="212">
        <v>0</v>
      </c>
      <c r="X75" s="213">
        <v>0</v>
      </c>
      <c r="Y75" s="210">
        <v>0</v>
      </c>
      <c r="Z75" s="210">
        <v>0</v>
      </c>
      <c r="AA75" s="209">
        <v>0</v>
      </c>
      <c r="AB75" s="48"/>
      <c r="AC75" s="17">
        <v>0</v>
      </c>
      <c r="AD75" s="17">
        <v>0</v>
      </c>
      <c r="AE75" s="17">
        <v>0</v>
      </c>
      <c r="AF75" s="17">
        <v>0</v>
      </c>
      <c r="AG75" s="208">
        <v>0.16666666666666666</v>
      </c>
      <c r="AH75" s="209">
        <v>10.476689814814815</v>
      </c>
      <c r="AI75" s="208">
        <v>2</v>
      </c>
      <c r="AJ75" s="48"/>
      <c r="AK75" s="48"/>
      <c r="AL75" s="48"/>
      <c r="AM75" s="48"/>
      <c r="AN75" s="48"/>
    </row>
    <row r="76" spans="1:40" ht="14.45">
      <c r="A76" s="48">
        <v>74</v>
      </c>
      <c r="B76" s="5" t="s">
        <v>626</v>
      </c>
      <c r="C76" s="5" t="s">
        <v>665</v>
      </c>
      <c r="D76" s="5" t="s">
        <v>666</v>
      </c>
      <c r="E76" s="44"/>
      <c r="F76" s="34" t="s">
        <v>94</v>
      </c>
      <c r="G76" s="34" t="s">
        <v>141</v>
      </c>
      <c r="H76" s="34" t="s">
        <v>149</v>
      </c>
      <c r="I76" s="206" t="s">
        <v>629</v>
      </c>
      <c r="J76" s="34" t="s">
        <v>112</v>
      </c>
      <c r="K76" s="34" t="s">
        <v>98</v>
      </c>
      <c r="L76" s="34" t="s">
        <v>172</v>
      </c>
      <c r="M76" s="34" t="s">
        <v>471</v>
      </c>
      <c r="N76" s="34" t="s">
        <v>113</v>
      </c>
      <c r="O76" s="48" t="s">
        <v>114</v>
      </c>
      <c r="P76" s="48" t="s">
        <v>102</v>
      </c>
      <c r="Q76" s="48" t="s">
        <v>115</v>
      </c>
      <c r="R76" s="48" t="s">
        <v>667</v>
      </c>
      <c r="S76" s="48" t="s">
        <v>668</v>
      </c>
      <c r="T76" s="48" t="s">
        <v>669</v>
      </c>
      <c r="U76" s="48" t="s">
        <v>156</v>
      </c>
      <c r="V76" s="48" t="s">
        <v>157</v>
      </c>
      <c r="W76" s="212">
        <v>24.083333333333332</v>
      </c>
      <c r="X76" s="213">
        <v>1.0380622837370242E-2</v>
      </c>
      <c r="Y76" s="210">
        <v>7.083333333333333</v>
      </c>
      <c r="Z76" s="210">
        <v>6.083333333333333</v>
      </c>
      <c r="AA76" s="209">
        <v>2.8849334299116993</v>
      </c>
      <c r="AB76" s="48"/>
      <c r="AC76" s="17">
        <v>5</v>
      </c>
      <c r="AD76" s="17">
        <v>0</v>
      </c>
      <c r="AE76" s="17">
        <v>0</v>
      </c>
      <c r="AF76" s="17">
        <v>0</v>
      </c>
      <c r="AG76" s="208">
        <v>30.75</v>
      </c>
      <c r="AH76" s="209">
        <v>3.8410915954415992</v>
      </c>
      <c r="AI76" s="208">
        <v>369</v>
      </c>
      <c r="AJ76" s="48"/>
      <c r="AK76" s="48"/>
      <c r="AL76" s="48"/>
      <c r="AM76" s="48"/>
      <c r="AN76" s="48"/>
    </row>
    <row r="77" spans="1:40" ht="14.45">
      <c r="A77" s="48">
        <v>75</v>
      </c>
      <c r="B77" s="5" t="s">
        <v>626</v>
      </c>
      <c r="C77" s="5" t="s">
        <v>670</v>
      </c>
      <c r="D77" s="5" t="s">
        <v>671</v>
      </c>
      <c r="E77" s="44"/>
      <c r="F77" s="34" t="s">
        <v>94</v>
      </c>
      <c r="G77" s="34" t="s">
        <v>95</v>
      </c>
      <c r="H77" s="34" t="s">
        <v>236</v>
      </c>
      <c r="I77" s="34" t="s">
        <v>629</v>
      </c>
      <c r="J77" s="34" t="s">
        <v>112</v>
      </c>
      <c r="K77" s="34" t="s">
        <v>165</v>
      </c>
      <c r="L77" s="34" t="s">
        <v>172</v>
      </c>
      <c r="M77" s="34" t="s">
        <v>100</v>
      </c>
      <c r="N77" s="34" t="s">
        <v>517</v>
      </c>
      <c r="O77" s="48" t="s">
        <v>102</v>
      </c>
      <c r="P77" s="48" t="s">
        <v>114</v>
      </c>
      <c r="Q77" s="48" t="s">
        <v>143</v>
      </c>
      <c r="R77" s="48" t="s">
        <v>630</v>
      </c>
      <c r="S77" s="48" t="s">
        <v>636</v>
      </c>
      <c r="T77" s="48" t="s">
        <v>672</v>
      </c>
      <c r="U77" s="48" t="s">
        <v>145</v>
      </c>
      <c r="V77" s="48" t="s">
        <v>107</v>
      </c>
      <c r="W77" s="212">
        <v>0.41666666666666669</v>
      </c>
      <c r="X77" s="213">
        <v>0</v>
      </c>
      <c r="Y77" s="210">
        <v>0</v>
      </c>
      <c r="Z77" s="210">
        <v>8.3333333333333329E-2</v>
      </c>
      <c r="AA77" s="209">
        <v>4.7750297619047615</v>
      </c>
      <c r="AB77" s="48"/>
      <c r="AC77" s="17">
        <v>0</v>
      </c>
      <c r="AD77" s="17">
        <v>0</v>
      </c>
      <c r="AE77" s="17">
        <v>0</v>
      </c>
      <c r="AF77" s="17">
        <v>0</v>
      </c>
      <c r="AG77" s="208">
        <v>31.416666666666668</v>
      </c>
      <c r="AH77" s="209">
        <v>2.2848452063404472</v>
      </c>
      <c r="AI77" s="208">
        <v>377</v>
      </c>
      <c r="AJ77" s="143"/>
      <c r="AK77" s="143"/>
      <c r="AL77" s="143"/>
      <c r="AM77" s="143"/>
      <c r="AN77" s="143"/>
    </row>
    <row r="78" spans="1:40" ht="14.45">
      <c r="A78" s="48">
        <v>76</v>
      </c>
      <c r="B78" s="5" t="s">
        <v>626</v>
      </c>
      <c r="C78" s="5" t="s">
        <v>673</v>
      </c>
      <c r="D78" s="5" t="s">
        <v>674</v>
      </c>
      <c r="E78" s="44"/>
      <c r="F78" s="34" t="s">
        <v>94</v>
      </c>
      <c r="G78" s="34" t="s">
        <v>95</v>
      </c>
      <c r="H78" s="34" t="s">
        <v>96</v>
      </c>
      <c r="I78" s="34" t="s">
        <v>629</v>
      </c>
      <c r="J78" s="34" t="s">
        <v>112</v>
      </c>
      <c r="K78" s="34" t="s">
        <v>98</v>
      </c>
      <c r="L78" s="34" t="s">
        <v>172</v>
      </c>
      <c r="M78" s="34" t="s">
        <v>471</v>
      </c>
      <c r="N78" s="34" t="s">
        <v>517</v>
      </c>
      <c r="O78" s="48" t="s">
        <v>114</v>
      </c>
      <c r="P78" s="48" t="s">
        <v>114</v>
      </c>
      <c r="Q78" s="48" t="s">
        <v>115</v>
      </c>
      <c r="R78" s="48" t="s">
        <v>667</v>
      </c>
      <c r="S78" s="48" t="s">
        <v>668</v>
      </c>
      <c r="T78" s="48" t="s">
        <v>669</v>
      </c>
      <c r="U78" s="48" t="s">
        <v>156</v>
      </c>
      <c r="V78" s="48" t="s">
        <v>107</v>
      </c>
      <c r="W78" s="212">
        <v>4.75</v>
      </c>
      <c r="X78" s="213">
        <v>1.7543859649122806E-2</v>
      </c>
      <c r="Y78" s="210">
        <v>8.3333333333333329E-2</v>
      </c>
      <c r="Z78" s="210">
        <v>1.1666666666666667</v>
      </c>
      <c r="AA78" s="209">
        <v>6.2071870938921387</v>
      </c>
      <c r="AB78" s="48"/>
      <c r="AC78" s="17">
        <v>0</v>
      </c>
      <c r="AD78" s="17">
        <v>0</v>
      </c>
      <c r="AE78" s="17">
        <v>0</v>
      </c>
      <c r="AF78" s="17">
        <v>0</v>
      </c>
      <c r="AG78" s="208">
        <v>6.083333333333333</v>
      </c>
      <c r="AH78" s="209">
        <v>9.0319006410256399</v>
      </c>
      <c r="AI78" s="208">
        <v>73</v>
      </c>
      <c r="AJ78" s="143"/>
      <c r="AK78" s="143"/>
      <c r="AL78" s="143"/>
      <c r="AM78" s="143"/>
      <c r="AN78" s="143"/>
    </row>
    <row r="79" spans="1:40" ht="14.45">
      <c r="A79" s="48">
        <v>77</v>
      </c>
      <c r="B79" s="5" t="s">
        <v>626</v>
      </c>
      <c r="C79" s="5" t="s">
        <v>675</v>
      </c>
      <c r="D79" s="5" t="s">
        <v>676</v>
      </c>
      <c r="E79" s="44"/>
      <c r="F79" s="34" t="s">
        <v>94</v>
      </c>
      <c r="G79" s="34" t="s">
        <v>141</v>
      </c>
      <c r="H79" s="34" t="s">
        <v>96</v>
      </c>
      <c r="I79" s="34" t="s">
        <v>629</v>
      </c>
      <c r="J79" s="34" t="s">
        <v>97</v>
      </c>
      <c r="K79" s="34" t="s">
        <v>98</v>
      </c>
      <c r="L79" s="34" t="s">
        <v>172</v>
      </c>
      <c r="M79" s="34" t="s">
        <v>153</v>
      </c>
      <c r="N79" s="34" t="s">
        <v>101</v>
      </c>
      <c r="O79" s="48" t="s">
        <v>114</v>
      </c>
      <c r="P79" s="48" t="s">
        <v>114</v>
      </c>
      <c r="Q79" s="48" t="s">
        <v>143</v>
      </c>
      <c r="R79" s="48" t="s">
        <v>630</v>
      </c>
      <c r="S79" s="48" t="s">
        <v>631</v>
      </c>
      <c r="T79" s="48" t="s">
        <v>640</v>
      </c>
      <c r="U79" s="48" t="s">
        <v>106</v>
      </c>
      <c r="V79" s="48" t="s">
        <v>119</v>
      </c>
      <c r="W79" s="212">
        <v>0</v>
      </c>
      <c r="X79" s="213">
        <v>0</v>
      </c>
      <c r="Y79" s="210">
        <v>0</v>
      </c>
      <c r="Z79" s="210">
        <v>0</v>
      </c>
      <c r="AA79" s="209">
        <v>0</v>
      </c>
      <c r="AB79" s="48"/>
      <c r="AC79" s="17">
        <v>0</v>
      </c>
      <c r="AD79" s="17">
        <v>0</v>
      </c>
      <c r="AE79" s="17">
        <v>0</v>
      </c>
      <c r="AF79" s="17">
        <v>0</v>
      </c>
      <c r="AG79" s="208">
        <v>0.16666666666666666</v>
      </c>
      <c r="AH79" s="209">
        <v>22.335081018518519</v>
      </c>
      <c r="AI79" s="208">
        <v>2</v>
      </c>
      <c r="AJ79" s="143"/>
      <c r="AK79" s="143"/>
      <c r="AL79" s="143"/>
      <c r="AM79" s="143"/>
      <c r="AN79" s="143"/>
    </row>
    <row r="80" spans="1:40" ht="14.45">
      <c r="A80" s="48">
        <v>78</v>
      </c>
      <c r="B80" s="5" t="s">
        <v>626</v>
      </c>
      <c r="C80" s="5" t="s">
        <v>677</v>
      </c>
      <c r="D80" s="5" t="s">
        <v>678</v>
      </c>
      <c r="E80" s="44"/>
      <c r="F80" s="34" t="s">
        <v>94</v>
      </c>
      <c r="G80" s="34" t="s">
        <v>141</v>
      </c>
      <c r="H80" s="34" t="s">
        <v>96</v>
      </c>
      <c r="I80" s="34" t="s">
        <v>629</v>
      </c>
      <c r="J80" s="34" t="s">
        <v>97</v>
      </c>
      <c r="K80" s="34" t="s">
        <v>98</v>
      </c>
      <c r="L80" s="34" t="s">
        <v>172</v>
      </c>
      <c r="M80" s="34" t="s">
        <v>153</v>
      </c>
      <c r="N80" s="34" t="s">
        <v>101</v>
      </c>
      <c r="O80" s="48" t="s">
        <v>114</v>
      </c>
      <c r="P80" s="48" t="s">
        <v>114</v>
      </c>
      <c r="Q80" s="48" t="s">
        <v>143</v>
      </c>
      <c r="R80" s="48" t="s">
        <v>630</v>
      </c>
      <c r="S80" s="48" t="s">
        <v>631</v>
      </c>
      <c r="T80" s="48" t="s">
        <v>640</v>
      </c>
      <c r="U80" s="48" t="s">
        <v>106</v>
      </c>
      <c r="V80" s="48" t="s">
        <v>119</v>
      </c>
      <c r="W80" s="212">
        <v>0.25</v>
      </c>
      <c r="X80" s="213">
        <v>0</v>
      </c>
      <c r="Y80" s="210">
        <v>0</v>
      </c>
      <c r="Z80" s="210">
        <v>8.3333333333333329E-2</v>
      </c>
      <c r="AA80" s="209">
        <v>7.9282407407407409E-3</v>
      </c>
      <c r="AB80" s="48"/>
      <c r="AC80" s="17">
        <v>0</v>
      </c>
      <c r="AD80" s="17">
        <v>0</v>
      </c>
      <c r="AE80" s="17">
        <v>0</v>
      </c>
      <c r="AF80" s="17">
        <v>0</v>
      </c>
      <c r="AG80" s="208">
        <v>1.6666666666666667</v>
      </c>
      <c r="AH80" s="209">
        <v>14.050448495370368</v>
      </c>
      <c r="AI80" s="208">
        <v>20</v>
      </c>
      <c r="AJ80" s="143"/>
      <c r="AK80" s="143"/>
      <c r="AL80" s="143"/>
      <c r="AM80" s="143"/>
      <c r="AN80" s="143"/>
    </row>
    <row r="81" spans="1:35" ht="14.45">
      <c r="A81" s="48">
        <v>79</v>
      </c>
      <c r="B81" s="5" t="s">
        <v>432</v>
      </c>
      <c r="C81" s="5" t="s">
        <v>679</v>
      </c>
      <c r="D81" s="5" t="s">
        <v>680</v>
      </c>
      <c r="E81" s="44"/>
      <c r="F81" s="34" t="s">
        <v>94</v>
      </c>
      <c r="G81" s="231" t="s">
        <v>141</v>
      </c>
      <c r="H81" s="231" t="s">
        <v>96</v>
      </c>
      <c r="I81" s="202" t="s">
        <v>629</v>
      </c>
      <c r="J81" s="202" t="s">
        <v>112</v>
      </c>
      <c r="K81" s="202" t="s">
        <v>98</v>
      </c>
      <c r="L81" s="202" t="s">
        <v>172</v>
      </c>
      <c r="M81" s="203" t="s">
        <v>153</v>
      </c>
      <c r="N81" s="203" t="s">
        <v>113</v>
      </c>
      <c r="O81" s="203" t="s">
        <v>114</v>
      </c>
      <c r="P81" s="202" t="s">
        <v>114</v>
      </c>
      <c r="Q81" s="202" t="s">
        <v>143</v>
      </c>
      <c r="R81" s="202" t="s">
        <v>507</v>
      </c>
      <c r="S81" s="202" t="s">
        <v>681</v>
      </c>
      <c r="T81" s="202" t="s">
        <v>682</v>
      </c>
      <c r="U81" s="202" t="s">
        <v>118</v>
      </c>
      <c r="V81" s="48" t="s">
        <v>157</v>
      </c>
      <c r="W81" s="212">
        <v>0.33333333333333331</v>
      </c>
      <c r="X81" s="213">
        <v>0</v>
      </c>
      <c r="Y81" s="210">
        <v>0</v>
      </c>
      <c r="Z81" s="210">
        <v>0.25</v>
      </c>
      <c r="AA81" s="209">
        <v>4.3440885416666664</v>
      </c>
      <c r="AB81" s="44"/>
      <c r="AC81" s="17">
        <v>0</v>
      </c>
      <c r="AD81" s="17">
        <v>0</v>
      </c>
      <c r="AE81" s="17">
        <v>0</v>
      </c>
      <c r="AF81" s="17">
        <v>0</v>
      </c>
      <c r="AG81" s="208">
        <v>29.75</v>
      </c>
      <c r="AH81" s="209">
        <v>3.4659017390788254</v>
      </c>
      <c r="AI81" s="208">
        <v>357</v>
      </c>
    </row>
    <row r="82" spans="1:35" ht="14.45">
      <c r="A82" s="48">
        <v>80</v>
      </c>
      <c r="B82" s="5" t="s">
        <v>432</v>
      </c>
      <c r="C82" s="5" t="s">
        <v>683</v>
      </c>
      <c r="D82" s="5" t="s">
        <v>684</v>
      </c>
      <c r="E82" s="44"/>
      <c r="F82" s="34" t="s">
        <v>94</v>
      </c>
      <c r="G82" s="231" t="s">
        <v>95</v>
      </c>
      <c r="H82" s="231" t="s">
        <v>96</v>
      </c>
      <c r="I82" s="202" t="s">
        <v>629</v>
      </c>
      <c r="J82" s="202" t="s">
        <v>112</v>
      </c>
      <c r="K82" s="202" t="s">
        <v>98</v>
      </c>
      <c r="L82" s="202" t="s">
        <v>172</v>
      </c>
      <c r="M82" s="204" t="s">
        <v>153</v>
      </c>
      <c r="N82" s="204" t="s">
        <v>113</v>
      </c>
      <c r="O82" s="204" t="s">
        <v>102</v>
      </c>
      <c r="P82" s="236" t="s">
        <v>114</v>
      </c>
      <c r="Q82" s="202" t="s">
        <v>685</v>
      </c>
      <c r="R82" s="202" t="s">
        <v>686</v>
      </c>
      <c r="S82" s="202" t="s">
        <v>687</v>
      </c>
      <c r="T82" s="202" t="s">
        <v>688</v>
      </c>
      <c r="U82" s="202" t="s">
        <v>145</v>
      </c>
      <c r="V82" s="48" t="s">
        <v>157</v>
      </c>
      <c r="W82" s="212">
        <v>0</v>
      </c>
      <c r="X82" s="213">
        <v>0</v>
      </c>
      <c r="Y82" s="210">
        <v>0</v>
      </c>
      <c r="Z82" s="210">
        <v>0</v>
      </c>
      <c r="AA82" s="209">
        <v>0</v>
      </c>
      <c r="AB82" s="44"/>
      <c r="AC82" s="17">
        <v>0</v>
      </c>
      <c r="AD82" s="17">
        <v>0</v>
      </c>
      <c r="AE82" s="17">
        <v>0</v>
      </c>
      <c r="AF82" s="17">
        <v>0</v>
      </c>
      <c r="AG82" s="208">
        <v>15.833333333333334</v>
      </c>
      <c r="AH82" s="209">
        <v>3.2016385077913299</v>
      </c>
      <c r="AI82" s="208">
        <v>190</v>
      </c>
    </row>
    <row r="83" spans="1:35" ht="14.45">
      <c r="A83" s="48">
        <v>81</v>
      </c>
      <c r="B83" s="5" t="s">
        <v>432</v>
      </c>
      <c r="C83" s="5" t="s">
        <v>689</v>
      </c>
      <c r="D83" s="5" t="s">
        <v>690</v>
      </c>
      <c r="E83" s="44"/>
      <c r="F83" s="34" t="s">
        <v>94</v>
      </c>
      <c r="G83" s="202" t="s">
        <v>141</v>
      </c>
      <c r="H83" s="202" t="s">
        <v>96</v>
      </c>
      <c r="I83" s="202" t="s">
        <v>691</v>
      </c>
      <c r="J83" s="202" t="s">
        <v>112</v>
      </c>
      <c r="K83" s="202" t="s">
        <v>692</v>
      </c>
      <c r="L83" s="202" t="s">
        <v>172</v>
      </c>
      <c r="M83" s="203" t="s">
        <v>153</v>
      </c>
      <c r="N83" s="203" t="s">
        <v>101</v>
      </c>
      <c r="O83" s="203" t="s">
        <v>114</v>
      </c>
      <c r="P83" s="202" t="s">
        <v>114</v>
      </c>
      <c r="Q83" s="202" t="s">
        <v>685</v>
      </c>
      <c r="R83" s="232" t="s">
        <v>693</v>
      </c>
      <c r="S83" s="202" t="s">
        <v>687</v>
      </c>
      <c r="T83" s="232" t="s">
        <v>694</v>
      </c>
      <c r="U83" s="202" t="s">
        <v>134</v>
      </c>
      <c r="V83" s="202" t="s">
        <v>555</v>
      </c>
      <c r="W83" s="212">
        <v>0.58333333333333337</v>
      </c>
      <c r="X83" s="213">
        <v>0</v>
      </c>
      <c r="Y83" s="210">
        <v>0</v>
      </c>
      <c r="Z83" s="210">
        <v>0</v>
      </c>
      <c r="AA83" s="209">
        <v>9.55596726190476</v>
      </c>
      <c r="AB83" s="44"/>
      <c r="AC83" s="17">
        <v>0</v>
      </c>
      <c r="AD83" s="17">
        <v>0</v>
      </c>
      <c r="AE83" s="17">
        <v>0</v>
      </c>
      <c r="AF83" s="17">
        <v>0</v>
      </c>
      <c r="AG83" s="208">
        <v>27</v>
      </c>
      <c r="AH83" s="209">
        <v>3.4490930506478228</v>
      </c>
      <c r="AI83" s="208">
        <v>324</v>
      </c>
    </row>
    <row r="84" spans="1:35" ht="14.45">
      <c r="A84" s="48">
        <v>82</v>
      </c>
      <c r="B84" s="5" t="s">
        <v>432</v>
      </c>
      <c r="C84" s="5" t="s">
        <v>695</v>
      </c>
      <c r="D84" s="5" t="s">
        <v>696</v>
      </c>
      <c r="E84" s="44"/>
      <c r="F84" s="34" t="s">
        <v>94</v>
      </c>
      <c r="G84" s="202" t="s">
        <v>95</v>
      </c>
      <c r="H84" s="202" t="s">
        <v>96</v>
      </c>
      <c r="I84" s="202" t="s">
        <v>691</v>
      </c>
      <c r="J84" s="202" t="s">
        <v>112</v>
      </c>
      <c r="K84" s="202" t="s">
        <v>692</v>
      </c>
      <c r="L84" s="202" t="s">
        <v>172</v>
      </c>
      <c r="M84" s="204" t="s">
        <v>153</v>
      </c>
      <c r="N84" s="204" t="s">
        <v>113</v>
      </c>
      <c r="O84" s="204" t="s">
        <v>102</v>
      </c>
      <c r="P84" s="236" t="s">
        <v>114</v>
      </c>
      <c r="Q84" s="202" t="s">
        <v>685</v>
      </c>
      <c r="R84" s="232" t="s">
        <v>693</v>
      </c>
      <c r="S84" s="202" t="s">
        <v>687</v>
      </c>
      <c r="T84" s="232" t="s">
        <v>694</v>
      </c>
      <c r="U84" s="202" t="s">
        <v>134</v>
      </c>
      <c r="V84" s="202" t="s">
        <v>555</v>
      </c>
      <c r="W84" s="212">
        <v>8.3333333333333329E-2</v>
      </c>
      <c r="X84" s="213">
        <v>0</v>
      </c>
      <c r="Y84" s="210">
        <v>0</v>
      </c>
      <c r="Z84" s="210">
        <v>0</v>
      </c>
      <c r="AA84" s="209">
        <v>1.6539293981481482</v>
      </c>
      <c r="AB84" s="44"/>
      <c r="AC84" s="17">
        <v>0</v>
      </c>
      <c r="AD84" s="17">
        <v>0</v>
      </c>
      <c r="AE84" s="17">
        <v>0</v>
      </c>
      <c r="AF84" s="17">
        <v>0</v>
      </c>
      <c r="AG84" s="208">
        <v>17.833333333333332</v>
      </c>
      <c r="AH84" s="209">
        <v>3.3710867742742758</v>
      </c>
      <c r="AI84" s="208">
        <v>214</v>
      </c>
    </row>
    <row r="85" spans="1:35" ht="14.45">
      <c r="A85" s="48">
        <v>83</v>
      </c>
      <c r="B85" s="5" t="s">
        <v>432</v>
      </c>
      <c r="C85" s="5" t="s">
        <v>697</v>
      </c>
      <c r="D85" s="5" t="s">
        <v>698</v>
      </c>
      <c r="E85" s="44"/>
      <c r="F85" s="34" t="s">
        <v>94</v>
      </c>
      <c r="G85" s="202" t="s">
        <v>141</v>
      </c>
      <c r="H85" s="202" t="s">
        <v>96</v>
      </c>
      <c r="I85" s="202" t="s">
        <v>691</v>
      </c>
      <c r="J85" s="202" t="s">
        <v>112</v>
      </c>
      <c r="K85" s="202" t="s">
        <v>692</v>
      </c>
      <c r="L85" s="202" t="s">
        <v>699</v>
      </c>
      <c r="M85" s="204" t="s">
        <v>153</v>
      </c>
      <c r="N85" s="204" t="s">
        <v>101</v>
      </c>
      <c r="O85" s="204" t="s">
        <v>114</v>
      </c>
      <c r="P85" s="236" t="s">
        <v>114</v>
      </c>
      <c r="Q85" s="202" t="s">
        <v>685</v>
      </c>
      <c r="R85" s="232" t="s">
        <v>693</v>
      </c>
      <c r="S85" s="202" t="s">
        <v>687</v>
      </c>
      <c r="T85" s="232" t="s">
        <v>694</v>
      </c>
      <c r="U85" s="202" t="s">
        <v>134</v>
      </c>
      <c r="V85" s="202" t="s">
        <v>555</v>
      </c>
      <c r="W85" s="212">
        <v>0.16666666666666666</v>
      </c>
      <c r="X85" s="213">
        <v>0</v>
      </c>
      <c r="Y85" s="210">
        <v>0</v>
      </c>
      <c r="Z85" s="210">
        <v>0.16666666666666666</v>
      </c>
      <c r="AA85" s="209">
        <v>2.4412268518518516</v>
      </c>
      <c r="AB85" s="44"/>
      <c r="AC85" s="17">
        <v>0</v>
      </c>
      <c r="AD85" s="17">
        <v>0</v>
      </c>
      <c r="AE85" s="17">
        <v>0</v>
      </c>
      <c r="AF85" s="17">
        <v>0</v>
      </c>
      <c r="AG85" s="208">
        <v>14.25</v>
      </c>
      <c r="AH85" s="209">
        <v>3.6677780077262718</v>
      </c>
      <c r="AI85" s="208">
        <v>171</v>
      </c>
    </row>
    <row r="86" spans="1:35" ht="14.45">
      <c r="A86" s="48">
        <v>84</v>
      </c>
      <c r="B86" s="5" t="s">
        <v>432</v>
      </c>
      <c r="C86" s="5" t="s">
        <v>700</v>
      </c>
      <c r="D86" s="5" t="s">
        <v>701</v>
      </c>
      <c r="E86" s="44"/>
      <c r="F86" s="34" t="s">
        <v>94</v>
      </c>
      <c r="G86" s="202" t="s">
        <v>141</v>
      </c>
      <c r="H86" s="202" t="s">
        <v>96</v>
      </c>
      <c r="I86" s="202" t="s">
        <v>691</v>
      </c>
      <c r="J86" s="202" t="s">
        <v>112</v>
      </c>
      <c r="K86" s="202" t="s">
        <v>692</v>
      </c>
      <c r="L86" s="202" t="s">
        <v>699</v>
      </c>
      <c r="M86" s="203" t="s">
        <v>153</v>
      </c>
      <c r="N86" s="203" t="s">
        <v>113</v>
      </c>
      <c r="O86" s="203" t="s">
        <v>114</v>
      </c>
      <c r="P86" s="202" t="s">
        <v>114</v>
      </c>
      <c r="Q86" s="202" t="s">
        <v>143</v>
      </c>
      <c r="R86" s="202" t="s">
        <v>143</v>
      </c>
      <c r="S86" s="202" t="s">
        <v>681</v>
      </c>
      <c r="T86" s="202" t="s">
        <v>682</v>
      </c>
      <c r="U86" s="202" t="s">
        <v>299</v>
      </c>
      <c r="V86" s="202" t="s">
        <v>555</v>
      </c>
      <c r="W86" s="212">
        <v>56.166666666666664</v>
      </c>
      <c r="X86" s="213">
        <v>0</v>
      </c>
      <c r="Y86" s="210">
        <v>8.3333333333333329E-2</v>
      </c>
      <c r="Z86" s="210">
        <v>4.416666666666667</v>
      </c>
      <c r="AA86" s="209">
        <v>4.1028376277139209</v>
      </c>
      <c r="AB86" s="44"/>
      <c r="AC86" s="17">
        <v>5</v>
      </c>
      <c r="AD86" s="17">
        <v>0</v>
      </c>
      <c r="AE86" s="17">
        <v>0</v>
      </c>
      <c r="AF86" s="17">
        <v>0</v>
      </c>
      <c r="AG86" s="208">
        <v>74.25</v>
      </c>
      <c r="AH86" s="209">
        <v>1.3474359851983788</v>
      </c>
      <c r="AI86" s="208">
        <v>891</v>
      </c>
    </row>
    <row r="87" spans="1:35" ht="14.45">
      <c r="A87" s="48">
        <v>85</v>
      </c>
      <c r="B87" s="5" t="s">
        <v>458</v>
      </c>
      <c r="C87" s="5" t="s">
        <v>702</v>
      </c>
      <c r="D87" s="5" t="s">
        <v>703</v>
      </c>
      <c r="E87" s="34" t="s">
        <v>704</v>
      </c>
      <c r="F87" s="34" t="s">
        <v>94</v>
      </c>
      <c r="G87" s="44" t="s">
        <v>705</v>
      </c>
      <c r="H87" s="44" t="s">
        <v>554</v>
      </c>
      <c r="I87" s="44"/>
      <c r="J87" s="5" t="s">
        <v>463</v>
      </c>
      <c r="K87" s="44" t="s">
        <v>445</v>
      </c>
      <c r="L87" s="44" t="s">
        <v>548</v>
      </c>
      <c r="M87" s="234" t="s">
        <v>445</v>
      </c>
      <c r="N87" s="234" t="s">
        <v>706</v>
      </c>
      <c r="O87" s="234" t="s">
        <v>601</v>
      </c>
      <c r="P87" s="233" t="s">
        <v>445</v>
      </c>
      <c r="Q87" s="44" t="s">
        <v>707</v>
      </c>
      <c r="R87" s="44" t="s">
        <v>143</v>
      </c>
      <c r="S87" s="44"/>
      <c r="T87" s="44" t="s">
        <v>439</v>
      </c>
      <c r="U87" s="44" t="s">
        <v>708</v>
      </c>
      <c r="V87" s="44" t="s">
        <v>445</v>
      </c>
      <c r="W87" s="212">
        <v>8.3333333333333329E-2</v>
      </c>
      <c r="X87" s="213">
        <v>0</v>
      </c>
      <c r="Y87" s="210">
        <v>0</v>
      </c>
      <c r="Z87" s="210">
        <v>0</v>
      </c>
      <c r="AA87" s="209">
        <v>1.0229861111111112</v>
      </c>
      <c r="AB87" s="44"/>
      <c r="AC87" s="17">
        <v>0</v>
      </c>
      <c r="AD87" s="17">
        <v>0</v>
      </c>
      <c r="AE87" s="17">
        <v>0</v>
      </c>
      <c r="AF87" s="17">
        <v>0</v>
      </c>
      <c r="AG87" s="208">
        <v>0.66666666666666663</v>
      </c>
      <c r="AH87" s="209">
        <v>1.8695601851851851</v>
      </c>
      <c r="AI87" s="208">
        <v>8</v>
      </c>
    </row>
    <row r="88" spans="1:35" ht="14.45">
      <c r="A88" s="48">
        <v>86</v>
      </c>
      <c r="B88" s="5" t="s">
        <v>458</v>
      </c>
      <c r="C88" s="5" t="s">
        <v>459</v>
      </c>
      <c r="D88" s="5" t="s">
        <v>460</v>
      </c>
      <c r="E88" s="34" t="s">
        <v>461</v>
      </c>
      <c r="F88" s="34" t="s">
        <v>94</v>
      </c>
      <c r="G88" s="44" t="s">
        <v>462</v>
      </c>
      <c r="H88" s="44" t="s">
        <v>443</v>
      </c>
      <c r="I88" s="44"/>
      <c r="J88" s="5" t="s">
        <v>463</v>
      </c>
      <c r="K88" s="44" t="s">
        <v>445</v>
      </c>
      <c r="L88" s="44" t="s">
        <v>464</v>
      </c>
      <c r="M88" s="229" t="s">
        <v>445</v>
      </c>
      <c r="N88" s="229" t="s">
        <v>465</v>
      </c>
      <c r="O88" s="233" t="s">
        <v>445</v>
      </c>
      <c r="P88" s="233" t="s">
        <v>445</v>
      </c>
      <c r="Q88" s="44" t="s">
        <v>466</v>
      </c>
      <c r="R88" s="44" t="s">
        <v>143</v>
      </c>
      <c r="S88" s="44" t="s">
        <v>467</v>
      </c>
      <c r="T88" s="44" t="s">
        <v>466</v>
      </c>
      <c r="U88" s="44" t="s">
        <v>468</v>
      </c>
      <c r="V88" s="44" t="s">
        <v>445</v>
      </c>
      <c r="W88" s="212">
        <v>306.83333333333331</v>
      </c>
      <c r="X88" s="213">
        <v>1.6295491580662683E-3</v>
      </c>
      <c r="Y88" s="210">
        <v>4.416666666666667</v>
      </c>
      <c r="Z88" s="210">
        <v>38.166666666666664</v>
      </c>
      <c r="AA88" s="209">
        <v>3.3330003790236629</v>
      </c>
      <c r="AB88" s="44"/>
      <c r="AC88" s="17">
        <v>16</v>
      </c>
      <c r="AD88" s="17">
        <v>8.3333333333333329E-2</v>
      </c>
      <c r="AE88" s="17">
        <v>2.1038773148148149</v>
      </c>
      <c r="AF88" s="17">
        <v>0</v>
      </c>
      <c r="AG88" s="208">
        <v>61.583333333333336</v>
      </c>
      <c r="AH88" s="209">
        <v>2.4586274240374282</v>
      </c>
      <c r="AI88" s="208">
        <v>739</v>
      </c>
    </row>
    <row r="89" spans="1:35" ht="14.45">
      <c r="A89" s="48">
        <v>87</v>
      </c>
      <c r="B89" s="5" t="s">
        <v>458</v>
      </c>
      <c r="C89" s="5" t="s">
        <v>709</v>
      </c>
      <c r="D89" s="5" t="s">
        <v>710</v>
      </c>
      <c r="E89" s="34" t="s">
        <v>711</v>
      </c>
      <c r="F89" s="34" t="s">
        <v>94</v>
      </c>
      <c r="G89" s="44" t="s">
        <v>462</v>
      </c>
      <c r="H89" s="44" t="s">
        <v>443</v>
      </c>
      <c r="I89" s="44"/>
      <c r="J89" s="5" t="s">
        <v>463</v>
      </c>
      <c r="K89" s="44" t="s">
        <v>445</v>
      </c>
      <c r="L89" s="44" t="s">
        <v>464</v>
      </c>
      <c r="M89" s="229" t="s">
        <v>445</v>
      </c>
      <c r="N89" s="229" t="s">
        <v>712</v>
      </c>
      <c r="O89" s="233" t="s">
        <v>445</v>
      </c>
      <c r="P89" s="233" t="s">
        <v>445</v>
      </c>
      <c r="Q89" s="44" t="s">
        <v>467</v>
      </c>
      <c r="R89" s="44" t="s">
        <v>713</v>
      </c>
      <c r="S89" s="44" t="s">
        <v>467</v>
      </c>
      <c r="T89" s="44" t="s">
        <v>714</v>
      </c>
      <c r="U89" s="44" t="s">
        <v>468</v>
      </c>
      <c r="V89" s="44" t="s">
        <v>445</v>
      </c>
      <c r="W89" s="212">
        <v>75.666666666666671</v>
      </c>
      <c r="X89" s="213">
        <v>0.23898678414096916</v>
      </c>
      <c r="Y89" s="210">
        <v>8.6666666666666661</v>
      </c>
      <c r="Z89" s="210">
        <v>8.0833333333333339</v>
      </c>
      <c r="AA89" s="209">
        <v>2.8533400566746083</v>
      </c>
      <c r="AB89" s="44"/>
      <c r="AC89" s="17">
        <v>8</v>
      </c>
      <c r="AD89" s="17">
        <v>8.3333333333333329E-2</v>
      </c>
      <c r="AE89" s="17">
        <v>82.698437499999997</v>
      </c>
      <c r="AF89" s="17">
        <v>0</v>
      </c>
      <c r="AG89" s="208">
        <v>63.75</v>
      </c>
      <c r="AH89" s="209">
        <v>5.1923705951778834</v>
      </c>
      <c r="AI89" s="208">
        <v>765</v>
      </c>
    </row>
    <row r="90" spans="1:35" ht="14.45">
      <c r="A90" s="48">
        <v>88</v>
      </c>
      <c r="B90" s="5" t="s">
        <v>458</v>
      </c>
      <c r="C90" s="5" t="s">
        <v>715</v>
      </c>
      <c r="D90" s="5" t="s">
        <v>716</v>
      </c>
      <c r="E90" s="34" t="s">
        <v>717</v>
      </c>
      <c r="F90" s="34" t="s">
        <v>94</v>
      </c>
      <c r="G90" s="44" t="s">
        <v>718</v>
      </c>
      <c r="H90" s="44" t="s">
        <v>443</v>
      </c>
      <c r="I90" s="44"/>
      <c r="J90" s="5" t="s">
        <v>585</v>
      </c>
      <c r="K90" s="44" t="s">
        <v>445</v>
      </c>
      <c r="L90" s="44" t="s">
        <v>548</v>
      </c>
      <c r="M90" s="229" t="s">
        <v>445</v>
      </c>
      <c r="N90" s="229" t="s">
        <v>719</v>
      </c>
      <c r="O90" s="233" t="s">
        <v>601</v>
      </c>
      <c r="P90" s="233" t="s">
        <v>445</v>
      </c>
      <c r="Q90" s="44" t="s">
        <v>720</v>
      </c>
      <c r="R90" s="44" t="s">
        <v>474</v>
      </c>
      <c r="S90" s="44" t="s">
        <v>721</v>
      </c>
      <c r="T90" s="44"/>
      <c r="U90" s="44" t="s">
        <v>468</v>
      </c>
      <c r="V90" s="44" t="s">
        <v>601</v>
      </c>
      <c r="W90" s="212">
        <v>0</v>
      </c>
      <c r="X90" s="213">
        <v>0</v>
      </c>
      <c r="Y90" s="210">
        <v>0</v>
      </c>
      <c r="Z90" s="210">
        <v>0</v>
      </c>
      <c r="AA90" s="209">
        <v>0</v>
      </c>
      <c r="AB90" s="44"/>
      <c r="AC90" s="17">
        <v>0</v>
      </c>
      <c r="AD90" s="17">
        <v>0</v>
      </c>
      <c r="AE90" s="17">
        <v>0</v>
      </c>
      <c r="AF90" s="17">
        <v>0</v>
      </c>
      <c r="AG90" s="208">
        <v>45.833333333333336</v>
      </c>
      <c r="AH90" s="209">
        <v>13.276722756410301</v>
      </c>
      <c r="AI90" s="208">
        <v>550</v>
      </c>
    </row>
    <row r="91" spans="1:35" ht="14.45">
      <c r="A91" s="48">
        <v>89</v>
      </c>
      <c r="B91" s="5" t="s">
        <v>458</v>
      </c>
      <c r="C91" s="5" t="s">
        <v>722</v>
      </c>
      <c r="D91" s="5" t="s">
        <v>723</v>
      </c>
      <c r="E91" s="34" t="s">
        <v>724</v>
      </c>
      <c r="F91" s="34" t="s">
        <v>94</v>
      </c>
      <c r="G91" s="44" t="s">
        <v>725</v>
      </c>
      <c r="H91" s="44" t="s">
        <v>548</v>
      </c>
      <c r="I91" s="44"/>
      <c r="J91" s="5" t="s">
        <v>585</v>
      </c>
      <c r="K91" s="44" t="s">
        <v>445</v>
      </c>
      <c r="L91" s="44" t="s">
        <v>548</v>
      </c>
      <c r="M91" s="229" t="s">
        <v>445</v>
      </c>
      <c r="N91" s="229" t="s">
        <v>719</v>
      </c>
      <c r="O91" s="233" t="s">
        <v>601</v>
      </c>
      <c r="P91" s="233" t="s">
        <v>445</v>
      </c>
      <c r="Q91" s="44" t="s">
        <v>720</v>
      </c>
      <c r="R91" s="44" t="s">
        <v>474</v>
      </c>
      <c r="S91" s="44" t="s">
        <v>721</v>
      </c>
      <c r="T91" s="44" t="s">
        <v>726</v>
      </c>
      <c r="U91" s="44" t="s">
        <v>468</v>
      </c>
      <c r="V91" s="44" t="s">
        <v>601</v>
      </c>
      <c r="W91" s="212">
        <v>8.3333333333333329E-2</v>
      </c>
      <c r="X91" s="213">
        <v>0</v>
      </c>
      <c r="Y91" s="210">
        <v>0</v>
      </c>
      <c r="Z91" s="210">
        <v>0</v>
      </c>
      <c r="AA91" s="209">
        <v>0.9743518518518518</v>
      </c>
      <c r="AB91" s="44"/>
      <c r="AC91" s="17">
        <v>0</v>
      </c>
      <c r="AD91" s="17">
        <v>0</v>
      </c>
      <c r="AE91" s="17">
        <v>0</v>
      </c>
      <c r="AF91" s="17">
        <v>0</v>
      </c>
      <c r="AG91" s="208">
        <v>45.75</v>
      </c>
      <c r="AH91" s="209">
        <v>13.276724422157939</v>
      </c>
      <c r="AI91" s="208">
        <v>549</v>
      </c>
    </row>
    <row r="92" spans="1:35" ht="14.45">
      <c r="A92" s="48">
        <v>90</v>
      </c>
      <c r="B92" s="5" t="s">
        <v>458</v>
      </c>
      <c r="C92" s="5" t="s">
        <v>727</v>
      </c>
      <c r="D92" s="5" t="s">
        <v>728</v>
      </c>
      <c r="E92" s="34" t="s">
        <v>729</v>
      </c>
      <c r="F92" s="34" t="s">
        <v>94</v>
      </c>
      <c r="G92" s="44" t="s">
        <v>725</v>
      </c>
      <c r="H92" s="44" t="s">
        <v>548</v>
      </c>
      <c r="I92" s="44"/>
      <c r="J92" s="5" t="s">
        <v>730</v>
      </c>
      <c r="K92" s="44" t="s">
        <v>445</v>
      </c>
      <c r="L92" s="44" t="s">
        <v>548</v>
      </c>
      <c r="M92" s="229" t="s">
        <v>445</v>
      </c>
      <c r="N92" s="229" t="s">
        <v>731</v>
      </c>
      <c r="O92" s="233" t="s">
        <v>601</v>
      </c>
      <c r="P92" s="233" t="s">
        <v>445</v>
      </c>
      <c r="Q92" s="44" t="s">
        <v>467</v>
      </c>
      <c r="R92" s="44" t="s">
        <v>713</v>
      </c>
      <c r="S92" s="44" t="s">
        <v>467</v>
      </c>
      <c r="T92" s="44" t="s">
        <v>732</v>
      </c>
      <c r="U92" s="44" t="s">
        <v>733</v>
      </c>
      <c r="V92" s="44" t="s">
        <v>445</v>
      </c>
      <c r="W92" s="212">
        <v>0.5</v>
      </c>
      <c r="X92" s="213">
        <v>0</v>
      </c>
      <c r="Y92" s="210">
        <v>0</v>
      </c>
      <c r="Z92" s="210">
        <v>0</v>
      </c>
      <c r="AA92" s="209">
        <v>4.5820856481481487</v>
      </c>
      <c r="AB92" s="44"/>
      <c r="AC92" s="17">
        <v>0</v>
      </c>
      <c r="AD92" s="17">
        <v>0</v>
      </c>
      <c r="AE92" s="17">
        <v>0</v>
      </c>
      <c r="AF92" s="17">
        <v>0</v>
      </c>
      <c r="AG92" s="208">
        <v>51.75</v>
      </c>
      <c r="AH92" s="209">
        <v>4.2138940656565724</v>
      </c>
      <c r="AI92" s="208">
        <v>621</v>
      </c>
    </row>
    <row r="93" spans="1:35" ht="14.45">
      <c r="A93" s="48">
        <v>91</v>
      </c>
      <c r="B93" s="5" t="s">
        <v>458</v>
      </c>
      <c r="C93" s="5" t="s">
        <v>734</v>
      </c>
      <c r="D93" s="5" t="s">
        <v>735</v>
      </c>
      <c r="E93" s="44" t="s">
        <v>736</v>
      </c>
      <c r="F93" s="34" t="s">
        <v>94</v>
      </c>
      <c r="G93" s="44" t="s">
        <v>718</v>
      </c>
      <c r="H93" s="44" t="s">
        <v>443</v>
      </c>
      <c r="I93" s="44"/>
      <c r="J93" s="5" t="s">
        <v>585</v>
      </c>
      <c r="K93" s="44" t="s">
        <v>445</v>
      </c>
      <c r="L93" s="44" t="s">
        <v>548</v>
      </c>
      <c r="M93" s="229" t="s">
        <v>445</v>
      </c>
      <c r="N93" s="229" t="s">
        <v>719</v>
      </c>
      <c r="O93" s="233" t="s">
        <v>445</v>
      </c>
      <c r="P93" s="233" t="s">
        <v>445</v>
      </c>
      <c r="Q93" s="44" t="s">
        <v>720</v>
      </c>
      <c r="R93" s="44" t="s">
        <v>474</v>
      </c>
      <c r="S93" s="44" t="s">
        <v>737</v>
      </c>
      <c r="T93" s="44" t="s">
        <v>738</v>
      </c>
      <c r="U93" s="44" t="s">
        <v>468</v>
      </c>
      <c r="V93" s="44" t="s">
        <v>601</v>
      </c>
      <c r="W93" s="212">
        <v>22.166666666666668</v>
      </c>
      <c r="X93" s="213">
        <v>0.12406015037593984</v>
      </c>
      <c r="Y93" s="210">
        <v>0.33333333333333331</v>
      </c>
      <c r="Z93" s="210">
        <v>4.5</v>
      </c>
      <c r="AA93" s="209">
        <v>4.2640356455472324</v>
      </c>
      <c r="AB93" s="44"/>
      <c r="AC93" s="17">
        <v>4</v>
      </c>
      <c r="AD93" s="17">
        <v>0</v>
      </c>
      <c r="AE93" s="17">
        <v>0</v>
      </c>
      <c r="AF93" s="17">
        <v>0</v>
      </c>
      <c r="AG93" s="208">
        <v>46.25</v>
      </c>
      <c r="AH93" s="209">
        <v>13.194228159241188</v>
      </c>
      <c r="AI93" s="208">
        <v>555</v>
      </c>
    </row>
    <row r="94" spans="1:35" ht="14.45">
      <c r="A94" s="48">
        <v>92</v>
      </c>
      <c r="B94" s="5" t="s">
        <v>458</v>
      </c>
      <c r="C94" s="5" t="s">
        <v>739</v>
      </c>
      <c r="D94" s="5" t="s">
        <v>740</v>
      </c>
      <c r="E94" s="44" t="s">
        <v>741</v>
      </c>
      <c r="F94" s="34" t="s">
        <v>94</v>
      </c>
      <c r="G94" s="44" t="s">
        <v>718</v>
      </c>
      <c r="H94" s="44" t="s">
        <v>443</v>
      </c>
      <c r="I94" s="44"/>
      <c r="J94" s="5" t="s">
        <v>585</v>
      </c>
      <c r="K94" s="44" t="s">
        <v>445</v>
      </c>
      <c r="L94" s="44" t="s">
        <v>548</v>
      </c>
      <c r="M94" s="234" t="s">
        <v>445</v>
      </c>
      <c r="N94" s="234" t="s">
        <v>731</v>
      </c>
      <c r="O94" s="233" t="s">
        <v>445</v>
      </c>
      <c r="P94" s="233" t="s">
        <v>445</v>
      </c>
      <c r="Q94" s="44" t="s">
        <v>742</v>
      </c>
      <c r="R94" s="44" t="s">
        <v>743</v>
      </c>
      <c r="S94" s="44" t="s">
        <v>744</v>
      </c>
      <c r="T94" s="44" t="s">
        <v>745</v>
      </c>
      <c r="U94" s="44" t="s">
        <v>468</v>
      </c>
      <c r="V94" s="44" t="s">
        <v>601</v>
      </c>
      <c r="W94" s="212">
        <v>0.41666666666666669</v>
      </c>
      <c r="X94" s="213">
        <v>0.8</v>
      </c>
      <c r="Y94" s="210">
        <v>0</v>
      </c>
      <c r="Z94" s="210">
        <v>0</v>
      </c>
      <c r="AA94" s="209">
        <v>1.7621744791666667</v>
      </c>
      <c r="AB94" s="44"/>
      <c r="AC94" s="17">
        <v>0</v>
      </c>
      <c r="AD94" s="17">
        <v>0</v>
      </c>
      <c r="AE94" s="17">
        <v>0</v>
      </c>
      <c r="AF94" s="17">
        <v>0</v>
      </c>
      <c r="AG94" s="208">
        <v>80.75</v>
      </c>
      <c r="AH94" s="209">
        <v>8.0898311520072053</v>
      </c>
      <c r="AI94" s="208">
        <v>969</v>
      </c>
    </row>
    <row r="95" spans="1:35" ht="14.45">
      <c r="A95" s="48">
        <v>93</v>
      </c>
      <c r="B95" s="5" t="s">
        <v>458</v>
      </c>
      <c r="C95" s="5" t="s">
        <v>746</v>
      </c>
      <c r="D95" s="5" t="s">
        <v>747</v>
      </c>
      <c r="E95" s="44" t="s">
        <v>748</v>
      </c>
      <c r="F95" s="34" t="s">
        <v>94</v>
      </c>
      <c r="G95" s="44" t="s">
        <v>705</v>
      </c>
      <c r="H95" s="44" t="s">
        <v>443</v>
      </c>
      <c r="I95" s="44"/>
      <c r="J95" s="5" t="s">
        <v>463</v>
      </c>
      <c r="K95" s="44" t="s">
        <v>445</v>
      </c>
      <c r="L95" s="44" t="s">
        <v>548</v>
      </c>
      <c r="M95" s="229" t="s">
        <v>445</v>
      </c>
      <c r="N95" s="229" t="s">
        <v>712</v>
      </c>
      <c r="O95" s="233" t="s">
        <v>445</v>
      </c>
      <c r="P95" s="233" t="s">
        <v>445</v>
      </c>
      <c r="Q95" s="44" t="s">
        <v>707</v>
      </c>
      <c r="R95" s="44"/>
      <c r="S95" s="44"/>
      <c r="T95" s="44" t="s">
        <v>439</v>
      </c>
      <c r="U95" s="44" t="s">
        <v>708</v>
      </c>
      <c r="V95" s="44" t="s">
        <v>445</v>
      </c>
      <c r="W95" s="212">
        <v>17.583333333333332</v>
      </c>
      <c r="X95" s="213">
        <v>4.7393364928909956E-3</v>
      </c>
      <c r="Y95" s="210">
        <v>1.4166666666666667</v>
      </c>
      <c r="Z95" s="210">
        <v>3.1666666666666665</v>
      </c>
      <c r="AA95" s="209">
        <v>5.2924752475247541</v>
      </c>
      <c r="AB95" s="44"/>
      <c r="AC95" s="17">
        <v>7</v>
      </c>
      <c r="AD95" s="17">
        <v>0</v>
      </c>
      <c r="AE95" s="17">
        <v>0</v>
      </c>
      <c r="AF95" s="17">
        <v>0</v>
      </c>
      <c r="AG95" s="208">
        <v>0.91666666666666663</v>
      </c>
      <c r="AH95" s="209">
        <v>13.5624837962963</v>
      </c>
      <c r="AI95" s="208">
        <v>11</v>
      </c>
    </row>
    <row r="96" spans="1:35" ht="14.45">
      <c r="A96" s="48">
        <v>94</v>
      </c>
      <c r="B96" s="5" t="s">
        <v>458</v>
      </c>
      <c r="C96" s="5" t="s">
        <v>749</v>
      </c>
      <c r="D96" s="5" t="s">
        <v>750</v>
      </c>
      <c r="E96" s="44" t="s">
        <v>751</v>
      </c>
      <c r="F96" s="34" t="s">
        <v>94</v>
      </c>
      <c r="G96" s="44" t="s">
        <v>705</v>
      </c>
      <c r="H96" s="44" t="s">
        <v>548</v>
      </c>
      <c r="I96" s="44"/>
      <c r="J96" s="5" t="s">
        <v>463</v>
      </c>
      <c r="K96" s="44" t="s">
        <v>445</v>
      </c>
      <c r="L96" s="44" t="s">
        <v>548</v>
      </c>
      <c r="M96" s="229" t="s">
        <v>445</v>
      </c>
      <c r="N96" s="229" t="s">
        <v>712</v>
      </c>
      <c r="O96" s="233" t="s">
        <v>601</v>
      </c>
      <c r="P96" s="233" t="s">
        <v>445</v>
      </c>
      <c r="Q96" s="44" t="s">
        <v>707</v>
      </c>
      <c r="R96" s="44"/>
      <c r="S96" s="44"/>
      <c r="T96" s="44" t="s">
        <v>439</v>
      </c>
      <c r="U96" s="44" t="s">
        <v>708</v>
      </c>
      <c r="V96" s="44" t="s">
        <v>445</v>
      </c>
      <c r="W96" s="212">
        <v>8.3333333333333329E-2</v>
      </c>
      <c r="X96" s="213">
        <v>0</v>
      </c>
      <c r="Y96" s="210">
        <v>8.3333333333333329E-2</v>
      </c>
      <c r="Z96" s="210">
        <v>0</v>
      </c>
      <c r="AA96" s="209">
        <v>0</v>
      </c>
      <c r="AB96" s="44"/>
      <c r="AC96" s="17">
        <v>0</v>
      </c>
      <c r="AD96" s="17">
        <v>0</v>
      </c>
      <c r="AE96" s="17">
        <v>0</v>
      </c>
      <c r="AF96" s="17">
        <v>0</v>
      </c>
      <c r="AG96" s="208">
        <v>0</v>
      </c>
      <c r="AH96" s="209">
        <v>0</v>
      </c>
      <c r="AI96" s="208">
        <v>0</v>
      </c>
    </row>
    <row r="97" spans="1:35" ht="14.45">
      <c r="A97" s="48">
        <v>95</v>
      </c>
      <c r="B97" s="5" t="s">
        <v>458</v>
      </c>
      <c r="C97" s="5" t="s">
        <v>752</v>
      </c>
      <c r="D97" s="5" t="s">
        <v>753</v>
      </c>
      <c r="E97" s="44" t="s">
        <v>754</v>
      </c>
      <c r="F97" s="34" t="s">
        <v>94</v>
      </c>
      <c r="G97" s="44" t="s">
        <v>718</v>
      </c>
      <c r="H97" s="44" t="s">
        <v>443</v>
      </c>
      <c r="I97" s="44"/>
      <c r="J97" s="5" t="s">
        <v>463</v>
      </c>
      <c r="K97" s="44" t="s">
        <v>445</v>
      </c>
      <c r="L97" s="44" t="s">
        <v>464</v>
      </c>
      <c r="M97" s="229" t="s">
        <v>445</v>
      </c>
      <c r="N97" s="229" t="s">
        <v>731</v>
      </c>
      <c r="O97" s="233" t="s">
        <v>445</v>
      </c>
      <c r="P97" s="233" t="s">
        <v>445</v>
      </c>
      <c r="Q97" s="44" t="s">
        <v>732</v>
      </c>
      <c r="R97" s="44" t="s">
        <v>713</v>
      </c>
      <c r="S97" s="44" t="s">
        <v>755</v>
      </c>
      <c r="T97" s="44" t="s">
        <v>732</v>
      </c>
      <c r="U97" s="44" t="s">
        <v>733</v>
      </c>
      <c r="V97" s="44" t="s">
        <v>445</v>
      </c>
      <c r="W97" s="212">
        <v>71.666666666666671</v>
      </c>
      <c r="X97" s="213">
        <v>6.9767441860465115E-2</v>
      </c>
      <c r="Y97" s="210">
        <v>2.5</v>
      </c>
      <c r="Z97" s="210">
        <v>6.916666666666667</v>
      </c>
      <c r="AA97" s="209">
        <v>5.8577344360446943</v>
      </c>
      <c r="AB97" s="44"/>
      <c r="AC97" s="17">
        <v>11</v>
      </c>
      <c r="AD97" s="17">
        <v>0</v>
      </c>
      <c r="AE97" s="17">
        <v>0</v>
      </c>
      <c r="AF97" s="17">
        <v>0</v>
      </c>
      <c r="AG97" s="208">
        <v>212.08333333333334</v>
      </c>
      <c r="AH97" s="209">
        <v>2.5321090890584621</v>
      </c>
      <c r="AI97" s="208">
        <v>2545</v>
      </c>
    </row>
    <row r="98" spans="1:35" ht="14.45">
      <c r="A98" s="48">
        <v>96</v>
      </c>
      <c r="B98" s="5" t="s">
        <v>458</v>
      </c>
      <c r="C98" s="5" t="s">
        <v>756</v>
      </c>
      <c r="D98" s="5" t="s">
        <v>757</v>
      </c>
      <c r="E98" s="44" t="s">
        <v>758</v>
      </c>
      <c r="F98" s="34" t="s">
        <v>94</v>
      </c>
      <c r="G98" s="44" t="s">
        <v>705</v>
      </c>
      <c r="H98" s="44" t="s">
        <v>554</v>
      </c>
      <c r="I98" s="44"/>
      <c r="J98" s="5" t="s">
        <v>759</v>
      </c>
      <c r="K98" s="44" t="s">
        <v>445</v>
      </c>
      <c r="L98" s="44" t="s">
        <v>548</v>
      </c>
      <c r="M98" s="229" t="s">
        <v>445</v>
      </c>
      <c r="N98" s="229" t="s">
        <v>719</v>
      </c>
      <c r="O98" s="233" t="s">
        <v>601</v>
      </c>
      <c r="P98" s="233" t="s">
        <v>445</v>
      </c>
      <c r="Q98" s="44" t="s">
        <v>732</v>
      </c>
      <c r="R98" s="44" t="s">
        <v>143</v>
      </c>
      <c r="S98" s="44" t="s">
        <v>117</v>
      </c>
      <c r="T98" s="44" t="s">
        <v>732</v>
      </c>
      <c r="U98" s="44" t="s">
        <v>708</v>
      </c>
      <c r="V98" s="44" t="s">
        <v>445</v>
      </c>
      <c r="W98" s="212">
        <v>0.75</v>
      </c>
      <c r="X98" s="213">
        <v>0</v>
      </c>
      <c r="Y98" s="210">
        <v>8.3333333333333329E-2</v>
      </c>
      <c r="Z98" s="210">
        <v>0.33333333333333331</v>
      </c>
      <c r="AA98" s="209">
        <v>10.384067322530862</v>
      </c>
      <c r="AB98" s="44"/>
      <c r="AC98" s="17">
        <v>1</v>
      </c>
      <c r="AD98" s="17">
        <v>0</v>
      </c>
      <c r="AE98" s="17">
        <v>0</v>
      </c>
      <c r="AF98" s="17">
        <v>0</v>
      </c>
      <c r="AG98" s="208">
        <v>44.416666666666664</v>
      </c>
      <c r="AH98" s="209">
        <v>2.884617152445053</v>
      </c>
      <c r="AI98" s="208">
        <v>533</v>
      </c>
    </row>
    <row r="99" spans="1:35" ht="14.45">
      <c r="A99" s="48">
        <v>97</v>
      </c>
      <c r="B99" s="5" t="s">
        <v>458</v>
      </c>
      <c r="C99" s="5" t="s">
        <v>760</v>
      </c>
      <c r="D99" s="5" t="s">
        <v>761</v>
      </c>
      <c r="E99" s="44" t="s">
        <v>762</v>
      </c>
      <c r="F99" s="34" t="s">
        <v>94</v>
      </c>
      <c r="G99" s="44" t="s">
        <v>725</v>
      </c>
      <c r="H99" s="44" t="s">
        <v>548</v>
      </c>
      <c r="I99" s="44"/>
      <c r="J99" s="5" t="s">
        <v>463</v>
      </c>
      <c r="K99" s="44" t="s">
        <v>445</v>
      </c>
      <c r="L99" s="44" t="s">
        <v>464</v>
      </c>
      <c r="M99" s="229" t="s">
        <v>445</v>
      </c>
      <c r="N99" s="229" t="s">
        <v>731</v>
      </c>
      <c r="O99" s="233" t="s">
        <v>601</v>
      </c>
      <c r="P99" s="233" t="s">
        <v>445</v>
      </c>
      <c r="Q99" s="44" t="s">
        <v>732</v>
      </c>
      <c r="R99" s="44" t="s">
        <v>143</v>
      </c>
      <c r="S99" s="44" t="s">
        <v>763</v>
      </c>
      <c r="T99" s="44" t="s">
        <v>732</v>
      </c>
      <c r="U99" s="44" t="s">
        <v>708</v>
      </c>
      <c r="V99" s="44" t="s">
        <v>445</v>
      </c>
      <c r="W99" s="212">
        <v>0.41666666666666669</v>
      </c>
      <c r="X99" s="213">
        <v>0</v>
      </c>
      <c r="Y99" s="210">
        <v>0</v>
      </c>
      <c r="Z99" s="210">
        <v>0.16666666666666666</v>
      </c>
      <c r="AA99" s="209">
        <v>17.270698302469139</v>
      </c>
      <c r="AB99" s="44"/>
      <c r="AC99" s="17">
        <v>0</v>
      </c>
      <c r="AD99" s="17">
        <v>0</v>
      </c>
      <c r="AE99" s="17">
        <v>0</v>
      </c>
      <c r="AF99" s="17">
        <v>0</v>
      </c>
      <c r="AG99" s="208">
        <v>54.333333333333336</v>
      </c>
      <c r="AH99" s="209">
        <v>3.866899844871059</v>
      </c>
      <c r="AI99" s="208">
        <v>652</v>
      </c>
    </row>
    <row r="100" spans="1:35" ht="14.45">
      <c r="A100" s="48">
        <v>98</v>
      </c>
      <c r="B100" s="5" t="s">
        <v>458</v>
      </c>
      <c r="C100" s="5" t="s">
        <v>764</v>
      </c>
      <c r="D100" s="5" t="s">
        <v>765</v>
      </c>
      <c r="E100" s="44" t="s">
        <v>766</v>
      </c>
      <c r="F100" s="34" t="s">
        <v>94</v>
      </c>
      <c r="G100" s="44" t="s">
        <v>705</v>
      </c>
      <c r="H100" s="44" t="s">
        <v>548</v>
      </c>
      <c r="I100" s="44"/>
      <c r="J100" s="5" t="s">
        <v>463</v>
      </c>
      <c r="K100" s="44" t="s">
        <v>445</v>
      </c>
      <c r="L100" s="44" t="s">
        <v>464</v>
      </c>
      <c r="M100" s="229" t="s">
        <v>445</v>
      </c>
      <c r="N100" s="229" t="s">
        <v>731</v>
      </c>
      <c r="O100" s="233" t="s">
        <v>601</v>
      </c>
      <c r="P100" s="233" t="s">
        <v>445</v>
      </c>
      <c r="Q100" s="44" t="s">
        <v>732</v>
      </c>
      <c r="R100" s="44" t="s">
        <v>143</v>
      </c>
      <c r="S100" s="44" t="s">
        <v>763</v>
      </c>
      <c r="T100" s="44" t="s">
        <v>732</v>
      </c>
      <c r="U100" s="44" t="s">
        <v>708</v>
      </c>
      <c r="V100" s="44" t="s">
        <v>445</v>
      </c>
      <c r="W100" s="212">
        <v>8.3333333333333329E-2</v>
      </c>
      <c r="X100" s="213">
        <v>1</v>
      </c>
      <c r="Y100" s="210">
        <v>0</v>
      </c>
      <c r="Z100" s="210">
        <v>0</v>
      </c>
      <c r="AA100" s="209">
        <v>5.1793981481481483E-3</v>
      </c>
      <c r="AB100" s="44"/>
      <c r="AC100" s="17">
        <v>0</v>
      </c>
      <c r="AD100" s="17">
        <v>0</v>
      </c>
      <c r="AE100" s="17">
        <v>0</v>
      </c>
      <c r="AF100" s="17">
        <v>0</v>
      </c>
      <c r="AG100" s="208">
        <v>41.583333333333336</v>
      </c>
      <c r="AH100" s="209">
        <v>4.0018088255541828</v>
      </c>
      <c r="AI100" s="208">
        <v>499</v>
      </c>
    </row>
    <row r="101" spans="1:35" ht="14.45">
      <c r="A101" s="48">
        <v>99</v>
      </c>
      <c r="B101" s="5" t="s">
        <v>458</v>
      </c>
      <c r="C101" s="5" t="s">
        <v>767</v>
      </c>
      <c r="D101" s="5" t="s">
        <v>768</v>
      </c>
      <c r="E101" s="44" t="s">
        <v>769</v>
      </c>
      <c r="F101" s="34" t="s">
        <v>94</v>
      </c>
      <c r="G101" s="44" t="s">
        <v>705</v>
      </c>
      <c r="H101" s="44" t="s">
        <v>548</v>
      </c>
      <c r="I101" s="44"/>
      <c r="J101" s="5" t="s">
        <v>463</v>
      </c>
      <c r="K101" s="44" t="s">
        <v>445</v>
      </c>
      <c r="L101" s="44" t="s">
        <v>464</v>
      </c>
      <c r="M101" s="229" t="s">
        <v>445</v>
      </c>
      <c r="N101" s="229" t="s">
        <v>731</v>
      </c>
      <c r="O101" s="233" t="s">
        <v>601</v>
      </c>
      <c r="P101" s="233" t="s">
        <v>445</v>
      </c>
      <c r="Q101" s="44" t="s">
        <v>732</v>
      </c>
      <c r="R101" s="44" t="s">
        <v>143</v>
      </c>
      <c r="S101" s="44" t="s">
        <v>763</v>
      </c>
      <c r="T101" s="44" t="s">
        <v>732</v>
      </c>
      <c r="U101" s="44" t="s">
        <v>708</v>
      </c>
      <c r="V101" s="44" t="s">
        <v>445</v>
      </c>
      <c r="W101" s="212">
        <v>0</v>
      </c>
      <c r="X101" s="213">
        <v>0</v>
      </c>
      <c r="Y101" s="210">
        <v>0</v>
      </c>
      <c r="Z101" s="210">
        <v>0</v>
      </c>
      <c r="AA101" s="209">
        <v>0</v>
      </c>
      <c r="AB101" s="44"/>
      <c r="AC101" s="17">
        <v>0</v>
      </c>
      <c r="AD101" s="17">
        <v>0</v>
      </c>
      <c r="AE101" s="17">
        <v>0</v>
      </c>
      <c r="AF101" s="17">
        <v>0</v>
      </c>
      <c r="AG101" s="208">
        <v>41.75</v>
      </c>
      <c r="AH101" s="209">
        <v>4.0302258230452708</v>
      </c>
      <c r="AI101" s="208">
        <v>501</v>
      </c>
    </row>
    <row r="102" spans="1:35" ht="14.45">
      <c r="A102" s="48">
        <v>100</v>
      </c>
      <c r="B102" s="5" t="s">
        <v>458</v>
      </c>
      <c r="C102" s="5" t="s">
        <v>770</v>
      </c>
      <c r="D102" s="5" t="s">
        <v>771</v>
      </c>
      <c r="E102" s="44" t="s">
        <v>772</v>
      </c>
      <c r="F102" s="34" t="s">
        <v>94</v>
      </c>
      <c r="G102" s="44" t="s">
        <v>705</v>
      </c>
      <c r="H102" s="44" t="s">
        <v>548</v>
      </c>
      <c r="I102" s="44"/>
      <c r="J102" s="5" t="s">
        <v>463</v>
      </c>
      <c r="K102" s="44" t="s">
        <v>445</v>
      </c>
      <c r="L102" s="44" t="s">
        <v>464</v>
      </c>
      <c r="M102" s="229" t="s">
        <v>445</v>
      </c>
      <c r="N102" s="229" t="s">
        <v>731</v>
      </c>
      <c r="O102" s="233" t="s">
        <v>601</v>
      </c>
      <c r="P102" s="233" t="s">
        <v>445</v>
      </c>
      <c r="Q102" s="44" t="s">
        <v>732</v>
      </c>
      <c r="R102" s="44" t="s">
        <v>143</v>
      </c>
      <c r="S102" s="44" t="s">
        <v>763</v>
      </c>
      <c r="T102" s="44" t="s">
        <v>732</v>
      </c>
      <c r="U102" s="44" t="s">
        <v>708</v>
      </c>
      <c r="V102" s="44" t="s">
        <v>445</v>
      </c>
      <c r="W102" s="212">
        <v>2.25</v>
      </c>
      <c r="X102" s="213">
        <v>0.14814814814814814</v>
      </c>
      <c r="Y102" s="210">
        <v>1.8333333333333333</v>
      </c>
      <c r="Z102" s="210">
        <v>8.3333333333333329E-2</v>
      </c>
      <c r="AA102" s="209">
        <v>2.5040162037037037</v>
      </c>
      <c r="AB102" s="44"/>
      <c r="AC102" s="17">
        <v>0</v>
      </c>
      <c r="AD102" s="17">
        <v>0</v>
      </c>
      <c r="AE102" s="17">
        <v>0</v>
      </c>
      <c r="AF102" s="17">
        <v>0</v>
      </c>
      <c r="AG102" s="208">
        <v>41.75</v>
      </c>
      <c r="AH102" s="209">
        <v>4.0302287379972599</v>
      </c>
      <c r="AI102" s="208">
        <v>501</v>
      </c>
    </row>
    <row r="103" spans="1:35" ht="14.45">
      <c r="A103" s="48">
        <v>101</v>
      </c>
      <c r="B103" s="5" t="s">
        <v>458</v>
      </c>
      <c r="C103" s="5" t="s">
        <v>773</v>
      </c>
      <c r="D103" s="5" t="s">
        <v>774</v>
      </c>
      <c r="E103" s="44" t="s">
        <v>775</v>
      </c>
      <c r="F103" s="34" t="s">
        <v>94</v>
      </c>
      <c r="G103" s="44" t="s">
        <v>705</v>
      </c>
      <c r="H103" s="44" t="s">
        <v>548</v>
      </c>
      <c r="I103" s="44"/>
      <c r="J103" s="5" t="s">
        <v>463</v>
      </c>
      <c r="K103" s="44" t="s">
        <v>445</v>
      </c>
      <c r="L103" s="44" t="s">
        <v>464</v>
      </c>
      <c r="M103" s="229" t="s">
        <v>445</v>
      </c>
      <c r="N103" s="229" t="s">
        <v>731</v>
      </c>
      <c r="O103" s="233" t="s">
        <v>601</v>
      </c>
      <c r="P103" s="233" t="s">
        <v>445</v>
      </c>
      <c r="Q103" s="44" t="s">
        <v>732</v>
      </c>
      <c r="R103" s="44" t="s">
        <v>143</v>
      </c>
      <c r="S103" s="44" t="s">
        <v>763</v>
      </c>
      <c r="T103" s="44" t="s">
        <v>732</v>
      </c>
      <c r="U103" s="44" t="s">
        <v>708</v>
      </c>
      <c r="V103" s="44" t="s">
        <v>445</v>
      </c>
      <c r="W103" s="212">
        <v>1.4166666666666667</v>
      </c>
      <c r="X103" s="213">
        <v>0.11764705882352941</v>
      </c>
      <c r="Y103" s="210">
        <v>0.91666666666666663</v>
      </c>
      <c r="Z103" s="210">
        <v>8.3333333333333329E-2</v>
      </c>
      <c r="AA103" s="209">
        <v>2.3641849415204677</v>
      </c>
      <c r="AB103" s="44"/>
      <c r="AC103" s="17">
        <v>0</v>
      </c>
      <c r="AD103" s="17">
        <v>0</v>
      </c>
      <c r="AE103" s="17">
        <v>0</v>
      </c>
      <c r="AF103" s="17">
        <v>0</v>
      </c>
      <c r="AG103" s="208">
        <v>42.916666666666664</v>
      </c>
      <c r="AH103" s="209">
        <v>4.4617096678529089</v>
      </c>
      <c r="AI103" s="208">
        <v>515</v>
      </c>
    </row>
    <row r="104" spans="1:35" ht="14.45">
      <c r="A104" s="48">
        <v>102</v>
      </c>
      <c r="B104" s="5" t="s">
        <v>458</v>
      </c>
      <c r="C104" s="5" t="s">
        <v>776</v>
      </c>
      <c r="D104" s="5" t="s">
        <v>777</v>
      </c>
      <c r="E104" s="44" t="s">
        <v>778</v>
      </c>
      <c r="F104" s="34" t="s">
        <v>94</v>
      </c>
      <c r="G104" s="44" t="s">
        <v>705</v>
      </c>
      <c r="H104" s="44" t="s">
        <v>548</v>
      </c>
      <c r="I104" s="44"/>
      <c r="J104" s="5" t="s">
        <v>463</v>
      </c>
      <c r="K104" s="44" t="s">
        <v>445</v>
      </c>
      <c r="L104" s="44" t="s">
        <v>464</v>
      </c>
      <c r="M104" s="229" t="s">
        <v>445</v>
      </c>
      <c r="N104" s="229" t="s">
        <v>731</v>
      </c>
      <c r="O104" s="233" t="s">
        <v>601</v>
      </c>
      <c r="P104" s="233" t="s">
        <v>445</v>
      </c>
      <c r="Q104" s="44" t="s">
        <v>732</v>
      </c>
      <c r="R104" s="44" t="s">
        <v>143</v>
      </c>
      <c r="S104" s="44" t="s">
        <v>763</v>
      </c>
      <c r="T104" s="44" t="s">
        <v>732</v>
      </c>
      <c r="U104" s="44" t="s">
        <v>708</v>
      </c>
      <c r="V104" s="44" t="s">
        <v>445</v>
      </c>
      <c r="W104" s="212">
        <v>0.58333333333333337</v>
      </c>
      <c r="X104" s="213">
        <v>0.7142857142857143</v>
      </c>
      <c r="Y104" s="210">
        <v>8.3333333333333329E-2</v>
      </c>
      <c r="Z104" s="210">
        <v>0</v>
      </c>
      <c r="AA104" s="209">
        <v>3.0616469907407406</v>
      </c>
      <c r="AB104" s="44"/>
      <c r="AC104" s="17">
        <v>0</v>
      </c>
      <c r="AD104" s="17">
        <v>0</v>
      </c>
      <c r="AE104" s="17">
        <v>0</v>
      </c>
      <c r="AF104" s="17">
        <v>0</v>
      </c>
      <c r="AG104" s="208">
        <v>46.5</v>
      </c>
      <c r="AH104" s="209">
        <v>4.1639958405671296</v>
      </c>
      <c r="AI104" s="208">
        <v>558</v>
      </c>
    </row>
    <row r="105" spans="1:35" ht="14.45">
      <c r="A105" s="48">
        <v>103</v>
      </c>
      <c r="B105" s="5" t="s">
        <v>458</v>
      </c>
      <c r="C105" s="5" t="s">
        <v>779</v>
      </c>
      <c r="D105" s="5" t="s">
        <v>780</v>
      </c>
      <c r="E105" s="44" t="s">
        <v>781</v>
      </c>
      <c r="F105" s="34" t="s">
        <v>94</v>
      </c>
      <c r="G105" s="44" t="s">
        <v>705</v>
      </c>
      <c r="H105" s="44" t="s">
        <v>548</v>
      </c>
      <c r="I105" s="44"/>
      <c r="J105" s="5" t="s">
        <v>463</v>
      </c>
      <c r="K105" s="44" t="s">
        <v>445</v>
      </c>
      <c r="L105" s="44" t="s">
        <v>464</v>
      </c>
      <c r="M105" s="229" t="s">
        <v>445</v>
      </c>
      <c r="N105" s="229" t="s">
        <v>731</v>
      </c>
      <c r="O105" s="233" t="s">
        <v>601</v>
      </c>
      <c r="P105" s="233" t="s">
        <v>445</v>
      </c>
      <c r="Q105" s="44" t="s">
        <v>732</v>
      </c>
      <c r="R105" s="44" t="s">
        <v>143</v>
      </c>
      <c r="S105" s="44" t="s">
        <v>763</v>
      </c>
      <c r="T105" s="44" t="s">
        <v>732</v>
      </c>
      <c r="U105" s="44" t="s">
        <v>708</v>
      </c>
      <c r="V105" s="44" t="s">
        <v>445</v>
      </c>
      <c r="W105" s="212">
        <v>0.33333333333333331</v>
      </c>
      <c r="X105" s="213">
        <v>0</v>
      </c>
      <c r="Y105" s="210">
        <v>0</v>
      </c>
      <c r="Z105" s="210">
        <v>8.3333333333333329E-2</v>
      </c>
      <c r="AA105" s="209">
        <v>0.96949266975308646</v>
      </c>
      <c r="AB105" s="44"/>
      <c r="AC105" s="17">
        <v>0</v>
      </c>
      <c r="AD105" s="17">
        <v>0</v>
      </c>
      <c r="AE105" s="17">
        <v>0</v>
      </c>
      <c r="AF105" s="17">
        <v>0</v>
      </c>
      <c r="AG105" s="208">
        <v>41.666666666666664</v>
      </c>
      <c r="AH105" s="209">
        <v>4.0018089976593743</v>
      </c>
      <c r="AI105" s="208">
        <v>500</v>
      </c>
    </row>
    <row r="106" spans="1:35" ht="14.45">
      <c r="A106" s="48">
        <v>104</v>
      </c>
      <c r="B106" s="5" t="s">
        <v>458</v>
      </c>
      <c r="C106" s="5" t="s">
        <v>782</v>
      </c>
      <c r="D106" s="5" t="s">
        <v>783</v>
      </c>
      <c r="E106" s="44" t="s">
        <v>784</v>
      </c>
      <c r="F106" s="34" t="s">
        <v>94</v>
      </c>
      <c r="G106" s="44" t="s">
        <v>705</v>
      </c>
      <c r="H106" s="44" t="s">
        <v>548</v>
      </c>
      <c r="I106" s="44"/>
      <c r="J106" s="5" t="s">
        <v>463</v>
      </c>
      <c r="K106" s="44" t="s">
        <v>445</v>
      </c>
      <c r="L106" s="44" t="s">
        <v>548</v>
      </c>
      <c r="M106" s="229" t="s">
        <v>445</v>
      </c>
      <c r="N106" s="229" t="s">
        <v>731</v>
      </c>
      <c r="O106" s="233" t="s">
        <v>445</v>
      </c>
      <c r="P106" s="233" t="s">
        <v>445</v>
      </c>
      <c r="Q106" s="44" t="s">
        <v>732</v>
      </c>
      <c r="R106" s="44" t="s">
        <v>143</v>
      </c>
      <c r="S106" s="44" t="s">
        <v>763</v>
      </c>
      <c r="T106" s="44" t="s">
        <v>732</v>
      </c>
      <c r="U106" s="44" t="s">
        <v>708</v>
      </c>
      <c r="V106" s="44" t="s">
        <v>445</v>
      </c>
      <c r="W106" s="212">
        <v>0.25</v>
      </c>
      <c r="X106" s="213">
        <v>0</v>
      </c>
      <c r="Y106" s="210">
        <v>8.3333333333333329E-2</v>
      </c>
      <c r="Z106" s="210">
        <v>0</v>
      </c>
      <c r="AA106" s="209">
        <v>2.7673611111111111E-2</v>
      </c>
      <c r="AB106" s="44"/>
      <c r="AC106" s="17">
        <v>0</v>
      </c>
      <c r="AD106" s="17">
        <v>0</v>
      </c>
      <c r="AE106" s="17">
        <v>0</v>
      </c>
      <c r="AF106" s="17">
        <v>0</v>
      </c>
      <c r="AG106" s="208">
        <v>41.583333333333336</v>
      </c>
      <c r="AH106" s="209">
        <v>4.840485274756114</v>
      </c>
      <c r="AI106" s="208">
        <v>499</v>
      </c>
    </row>
    <row r="107" spans="1:35" ht="14.45">
      <c r="A107" s="48">
        <v>105</v>
      </c>
      <c r="B107" s="5" t="s">
        <v>458</v>
      </c>
      <c r="C107" s="5" t="s">
        <v>785</v>
      </c>
      <c r="D107" s="5" t="s">
        <v>786</v>
      </c>
      <c r="E107" s="44" t="s">
        <v>787</v>
      </c>
      <c r="F107" s="34" t="s">
        <v>94</v>
      </c>
      <c r="G107" s="44" t="s">
        <v>705</v>
      </c>
      <c r="H107" s="44" t="s">
        <v>548</v>
      </c>
      <c r="I107" s="44"/>
      <c r="J107" s="5" t="s">
        <v>463</v>
      </c>
      <c r="K107" s="44" t="s">
        <v>445</v>
      </c>
      <c r="L107" s="44" t="s">
        <v>548</v>
      </c>
      <c r="M107" s="229" t="s">
        <v>445</v>
      </c>
      <c r="N107" s="229" t="s">
        <v>731</v>
      </c>
      <c r="O107" s="233" t="s">
        <v>601</v>
      </c>
      <c r="P107" s="233" t="s">
        <v>445</v>
      </c>
      <c r="Q107" s="44" t="s">
        <v>732</v>
      </c>
      <c r="R107" s="44" t="s">
        <v>143</v>
      </c>
      <c r="S107" s="44" t="s">
        <v>763</v>
      </c>
      <c r="T107" s="44" t="s">
        <v>732</v>
      </c>
      <c r="U107" s="44" t="s">
        <v>708</v>
      </c>
      <c r="V107" s="44" t="s">
        <v>445</v>
      </c>
      <c r="W107" s="212">
        <v>8.3333333333333329E-2</v>
      </c>
      <c r="X107" s="213">
        <v>0</v>
      </c>
      <c r="Y107" s="210">
        <v>0</v>
      </c>
      <c r="Z107" s="210">
        <v>0</v>
      </c>
      <c r="AA107" s="209">
        <v>8.9166666666666672E-2</v>
      </c>
      <c r="AB107" s="44"/>
      <c r="AC107" s="17">
        <v>0</v>
      </c>
      <c r="AD107" s="17">
        <v>0</v>
      </c>
      <c r="AE107" s="17">
        <v>0</v>
      </c>
      <c r="AF107" s="17">
        <v>0</v>
      </c>
      <c r="AG107" s="208">
        <v>42.666666666666664</v>
      </c>
      <c r="AH107" s="209">
        <v>4.4668621769251295</v>
      </c>
      <c r="AI107" s="208">
        <v>512</v>
      </c>
    </row>
    <row r="108" spans="1:35" ht="14.45">
      <c r="A108" s="48">
        <v>106</v>
      </c>
      <c r="B108" s="5" t="s">
        <v>458</v>
      </c>
      <c r="C108" s="5" t="s">
        <v>788</v>
      </c>
      <c r="D108" s="5" t="s">
        <v>789</v>
      </c>
      <c r="E108" s="44" t="s">
        <v>790</v>
      </c>
      <c r="F108" s="34" t="s">
        <v>94</v>
      </c>
      <c r="G108" s="44" t="s">
        <v>705</v>
      </c>
      <c r="H108" s="44" t="s">
        <v>554</v>
      </c>
      <c r="I108" s="44"/>
      <c r="J108" s="5" t="s">
        <v>463</v>
      </c>
      <c r="K108" s="44" t="s">
        <v>445</v>
      </c>
      <c r="L108" s="44" t="s">
        <v>548</v>
      </c>
      <c r="M108" s="234" t="s">
        <v>445</v>
      </c>
      <c r="N108" s="229" t="s">
        <v>731</v>
      </c>
      <c r="O108" s="233" t="s">
        <v>601</v>
      </c>
      <c r="P108" s="233" t="s">
        <v>445</v>
      </c>
      <c r="Q108" s="44" t="s">
        <v>791</v>
      </c>
      <c r="R108" s="44" t="s">
        <v>143</v>
      </c>
      <c r="S108" s="44" t="s">
        <v>792</v>
      </c>
      <c r="T108" s="44"/>
      <c r="U108" s="44" t="s">
        <v>733</v>
      </c>
      <c r="V108" s="44" t="s">
        <v>445</v>
      </c>
      <c r="W108" s="212">
        <v>1.25</v>
      </c>
      <c r="X108" s="213">
        <v>0</v>
      </c>
      <c r="Y108" s="210">
        <v>0.25</v>
      </c>
      <c r="Z108" s="210">
        <v>0.16666666666666666</v>
      </c>
      <c r="AA108" s="209">
        <v>14.285300399831652</v>
      </c>
      <c r="AB108" s="44"/>
      <c r="AC108" s="17">
        <v>0</v>
      </c>
      <c r="AD108" s="17">
        <v>0</v>
      </c>
      <c r="AE108" s="17">
        <v>0</v>
      </c>
      <c r="AF108" s="17">
        <v>0</v>
      </c>
      <c r="AG108" s="208">
        <v>45.166666666666664</v>
      </c>
      <c r="AH108" s="209">
        <v>4.6166318970097215</v>
      </c>
      <c r="AI108" s="208">
        <v>542</v>
      </c>
    </row>
    <row r="109" spans="1:35" ht="14.45">
      <c r="A109" s="48">
        <v>107</v>
      </c>
      <c r="B109" s="5" t="s">
        <v>458</v>
      </c>
      <c r="C109" s="5" t="s">
        <v>793</v>
      </c>
      <c r="D109" s="5" t="s">
        <v>794</v>
      </c>
      <c r="E109" s="44" t="s">
        <v>795</v>
      </c>
      <c r="F109" s="34" t="s">
        <v>94</v>
      </c>
      <c r="G109" s="44" t="s">
        <v>705</v>
      </c>
      <c r="H109" s="44" t="s">
        <v>548</v>
      </c>
      <c r="I109" s="44"/>
      <c r="J109" s="5" t="s">
        <v>463</v>
      </c>
      <c r="K109" s="44" t="s">
        <v>445</v>
      </c>
      <c r="L109" s="44" t="s">
        <v>548</v>
      </c>
      <c r="M109" s="229" t="s">
        <v>445</v>
      </c>
      <c r="N109" s="229" t="s">
        <v>731</v>
      </c>
      <c r="O109" s="233" t="s">
        <v>445</v>
      </c>
      <c r="P109" s="233" t="s">
        <v>445</v>
      </c>
      <c r="Q109" s="44" t="s">
        <v>732</v>
      </c>
      <c r="R109" s="44" t="s">
        <v>713</v>
      </c>
      <c r="S109" s="44" t="s">
        <v>763</v>
      </c>
      <c r="T109" s="44" t="s">
        <v>732</v>
      </c>
      <c r="U109" s="44" t="s">
        <v>708</v>
      </c>
      <c r="V109" s="44" t="s">
        <v>445</v>
      </c>
      <c r="W109" s="212">
        <v>8.3333333333333329E-2</v>
      </c>
      <c r="X109" s="213">
        <v>0</v>
      </c>
      <c r="Y109" s="210">
        <v>0</v>
      </c>
      <c r="Z109" s="210">
        <v>0</v>
      </c>
      <c r="AA109" s="209">
        <v>1.0526504629629629</v>
      </c>
      <c r="AB109" s="44"/>
      <c r="AC109" s="17">
        <v>0</v>
      </c>
      <c r="AD109" s="17">
        <v>0</v>
      </c>
      <c r="AE109" s="17">
        <v>0</v>
      </c>
      <c r="AF109" s="17">
        <v>0</v>
      </c>
      <c r="AG109" s="208">
        <v>53.166666666666664</v>
      </c>
      <c r="AH109" s="209">
        <v>5.2178765351513396</v>
      </c>
      <c r="AI109" s="208">
        <v>638</v>
      </c>
    </row>
    <row r="110" spans="1:35" ht="14.45">
      <c r="A110" s="48">
        <v>108</v>
      </c>
      <c r="B110" s="5" t="s">
        <v>458</v>
      </c>
      <c r="C110" s="5" t="s">
        <v>796</v>
      </c>
      <c r="D110" s="5" t="s">
        <v>797</v>
      </c>
      <c r="E110" s="44" t="s">
        <v>798</v>
      </c>
      <c r="F110" s="34" t="s">
        <v>94</v>
      </c>
      <c r="G110" s="44" t="s">
        <v>705</v>
      </c>
      <c r="H110" s="44" t="s">
        <v>554</v>
      </c>
      <c r="I110" s="44"/>
      <c r="J110" s="5" t="s">
        <v>730</v>
      </c>
      <c r="K110" s="44" t="s">
        <v>445</v>
      </c>
      <c r="L110" s="44" t="s">
        <v>548</v>
      </c>
      <c r="M110" s="234" t="s">
        <v>445</v>
      </c>
      <c r="N110" s="234" t="s">
        <v>719</v>
      </c>
      <c r="O110" s="233" t="s">
        <v>601</v>
      </c>
      <c r="P110" s="233" t="s">
        <v>445</v>
      </c>
      <c r="Q110" s="44" t="s">
        <v>732</v>
      </c>
      <c r="R110" s="44"/>
      <c r="S110" s="44" t="s">
        <v>763</v>
      </c>
      <c r="T110" s="44" t="s">
        <v>732</v>
      </c>
      <c r="U110" s="44" t="s">
        <v>733</v>
      </c>
      <c r="V110" s="44" t="s">
        <v>445</v>
      </c>
      <c r="W110" s="212">
        <v>24.5</v>
      </c>
      <c r="X110" s="213">
        <v>0</v>
      </c>
      <c r="Y110" s="210">
        <v>8.3333333333333329E-2</v>
      </c>
      <c r="Z110" s="210">
        <v>16.25</v>
      </c>
      <c r="AA110" s="209">
        <v>3.3433098472560148</v>
      </c>
      <c r="AB110" s="44"/>
      <c r="AC110" s="17">
        <v>1</v>
      </c>
      <c r="AD110" s="17">
        <v>8.3333333333333329E-2</v>
      </c>
      <c r="AE110" s="17">
        <v>2.5891203703703704E-2</v>
      </c>
      <c r="AF110" s="17">
        <v>0</v>
      </c>
      <c r="AG110" s="208">
        <v>0</v>
      </c>
      <c r="AH110" s="209">
        <v>0</v>
      </c>
      <c r="AI110" s="208">
        <v>0</v>
      </c>
    </row>
    <row r="111" spans="1:35" ht="14.45">
      <c r="A111" s="48">
        <v>109</v>
      </c>
      <c r="B111" s="5" t="s">
        <v>458</v>
      </c>
      <c r="C111" s="5" t="s">
        <v>799</v>
      </c>
      <c r="D111" s="5" t="s">
        <v>800</v>
      </c>
      <c r="E111" s="44" t="s">
        <v>801</v>
      </c>
      <c r="F111" s="34" t="s">
        <v>94</v>
      </c>
      <c r="G111" s="44" t="s">
        <v>725</v>
      </c>
      <c r="H111" s="44" t="s">
        <v>548</v>
      </c>
      <c r="I111" s="44"/>
      <c r="J111" s="5" t="s">
        <v>463</v>
      </c>
      <c r="K111" s="44" t="s">
        <v>445</v>
      </c>
      <c r="L111" s="44" t="s">
        <v>548</v>
      </c>
      <c r="M111" s="229" t="s">
        <v>445</v>
      </c>
      <c r="N111" s="229" t="s">
        <v>712</v>
      </c>
      <c r="O111" s="233" t="s">
        <v>601</v>
      </c>
      <c r="P111" s="233" t="s">
        <v>445</v>
      </c>
      <c r="Q111" s="44" t="s">
        <v>707</v>
      </c>
      <c r="R111" s="44" t="s">
        <v>143</v>
      </c>
      <c r="S111" s="44" t="s">
        <v>755</v>
      </c>
      <c r="T111" s="44" t="s">
        <v>439</v>
      </c>
      <c r="U111" s="44" t="s">
        <v>708</v>
      </c>
      <c r="V111" s="44" t="s">
        <v>445</v>
      </c>
      <c r="W111" s="212">
        <v>36.416666666666664</v>
      </c>
      <c r="X111" s="213">
        <v>0</v>
      </c>
      <c r="Y111" s="210">
        <v>25.666666666666668</v>
      </c>
      <c r="Z111" s="210">
        <v>8.4166666666666661</v>
      </c>
      <c r="AA111" s="209">
        <v>4.8777070355538603</v>
      </c>
      <c r="AB111" s="44"/>
      <c r="AC111" s="17">
        <v>6</v>
      </c>
      <c r="AD111" s="17">
        <v>0</v>
      </c>
      <c r="AE111" s="17">
        <v>0</v>
      </c>
      <c r="AF111" s="17">
        <v>0</v>
      </c>
      <c r="AG111" s="208">
        <v>27.333333333333332</v>
      </c>
      <c r="AH111" s="209">
        <v>5.0106071742362808</v>
      </c>
      <c r="AI111" s="208">
        <v>328</v>
      </c>
    </row>
    <row r="112" spans="1:35" ht="14.45">
      <c r="A112" s="48">
        <v>110</v>
      </c>
      <c r="B112" s="5" t="s">
        <v>458</v>
      </c>
      <c r="C112" s="5" t="s">
        <v>802</v>
      </c>
      <c r="D112" s="5" t="s">
        <v>803</v>
      </c>
      <c r="E112" s="44" t="s">
        <v>804</v>
      </c>
      <c r="F112" s="34" t="s">
        <v>94</v>
      </c>
      <c r="G112" s="44" t="s">
        <v>705</v>
      </c>
      <c r="H112" s="44" t="s">
        <v>554</v>
      </c>
      <c r="I112" s="44"/>
      <c r="J112" s="5" t="s">
        <v>463</v>
      </c>
      <c r="K112" s="44" t="s">
        <v>445</v>
      </c>
      <c r="L112" s="44" t="s">
        <v>548</v>
      </c>
      <c r="M112" s="229" t="s">
        <v>445</v>
      </c>
      <c r="N112" s="229" t="s">
        <v>712</v>
      </c>
      <c r="O112" s="233" t="s">
        <v>445</v>
      </c>
      <c r="P112" s="233" t="s">
        <v>445</v>
      </c>
      <c r="Q112" s="44" t="s">
        <v>805</v>
      </c>
      <c r="R112" s="44"/>
      <c r="S112" s="44"/>
      <c r="T112" s="44"/>
      <c r="U112" s="44" t="s">
        <v>708</v>
      </c>
      <c r="V112" s="44" t="s">
        <v>445</v>
      </c>
      <c r="W112" s="212">
        <v>6.583333333333333</v>
      </c>
      <c r="X112" s="213">
        <v>0.69620253164556967</v>
      </c>
      <c r="Y112" s="210">
        <v>0</v>
      </c>
      <c r="Z112" s="210">
        <v>0.5</v>
      </c>
      <c r="AA112" s="209">
        <v>4.3328080673758862</v>
      </c>
      <c r="AB112" s="44"/>
      <c r="AC112" s="17">
        <v>2</v>
      </c>
      <c r="AD112" s="17">
        <v>0</v>
      </c>
      <c r="AE112" s="17">
        <v>0</v>
      </c>
      <c r="AF112" s="17">
        <v>0</v>
      </c>
      <c r="AG112" s="208">
        <v>3.25</v>
      </c>
      <c r="AH112" s="209">
        <v>4.2683404558404567E-2</v>
      </c>
      <c r="AI112" s="208">
        <v>39</v>
      </c>
    </row>
    <row r="113" spans="1:35" ht="14.45">
      <c r="A113" s="48">
        <v>111</v>
      </c>
      <c r="B113" s="5" t="s">
        <v>458</v>
      </c>
      <c r="C113" s="5" t="s">
        <v>806</v>
      </c>
      <c r="D113" s="5" t="s">
        <v>807</v>
      </c>
      <c r="E113" s="44" t="s">
        <v>808</v>
      </c>
      <c r="F113" s="34" t="s">
        <v>94</v>
      </c>
      <c r="G113" s="44" t="s">
        <v>725</v>
      </c>
      <c r="H113" s="44" t="s">
        <v>443</v>
      </c>
      <c r="I113" s="44"/>
      <c r="J113" s="5" t="s">
        <v>730</v>
      </c>
      <c r="K113" s="44" t="s">
        <v>445</v>
      </c>
      <c r="L113" s="44" t="s">
        <v>548</v>
      </c>
      <c r="M113" s="229" t="s">
        <v>445</v>
      </c>
      <c r="N113" s="229" t="s">
        <v>712</v>
      </c>
      <c r="O113" s="233" t="s">
        <v>445</v>
      </c>
      <c r="P113" s="233" t="s">
        <v>445</v>
      </c>
      <c r="Q113" s="44" t="s">
        <v>732</v>
      </c>
      <c r="R113" s="44" t="s">
        <v>713</v>
      </c>
      <c r="S113" s="44" t="s">
        <v>467</v>
      </c>
      <c r="T113" s="44" t="s">
        <v>732</v>
      </c>
      <c r="U113" s="44" t="s">
        <v>733</v>
      </c>
      <c r="V113" s="44" t="s">
        <v>445</v>
      </c>
      <c r="W113" s="212">
        <v>1</v>
      </c>
      <c r="X113" s="213">
        <v>0</v>
      </c>
      <c r="Y113" s="210">
        <v>0</v>
      </c>
      <c r="Z113" s="210">
        <v>0.41666666666666669</v>
      </c>
      <c r="AA113" s="209">
        <v>1.5492228835978836</v>
      </c>
      <c r="AB113" s="44"/>
      <c r="AC113" s="17">
        <v>2</v>
      </c>
      <c r="AD113" s="17">
        <v>0</v>
      </c>
      <c r="AE113" s="17">
        <v>0</v>
      </c>
      <c r="AF113" s="17">
        <v>0</v>
      </c>
      <c r="AG113" s="208">
        <v>9.1666666666666661</v>
      </c>
      <c r="AH113" s="209">
        <v>10.971208492975736</v>
      </c>
      <c r="AI113" s="208">
        <v>110</v>
      </c>
    </row>
    <row r="114" spans="1:35" ht="14.45">
      <c r="A114" s="48">
        <v>112</v>
      </c>
      <c r="B114" s="5" t="s">
        <v>458</v>
      </c>
      <c r="C114" s="5" t="s">
        <v>809</v>
      </c>
      <c r="D114" s="5" t="s">
        <v>810</v>
      </c>
      <c r="E114" s="44" t="s">
        <v>811</v>
      </c>
      <c r="F114" s="34" t="s">
        <v>94</v>
      </c>
      <c r="G114" s="44" t="s">
        <v>718</v>
      </c>
      <c r="H114" s="44" t="s">
        <v>443</v>
      </c>
      <c r="I114" s="44"/>
      <c r="J114" s="5" t="s">
        <v>585</v>
      </c>
      <c r="K114" s="44" t="s">
        <v>445</v>
      </c>
      <c r="L114" s="44" t="s">
        <v>548</v>
      </c>
      <c r="M114" s="229" t="s">
        <v>445</v>
      </c>
      <c r="N114" s="229" t="s">
        <v>731</v>
      </c>
      <c r="O114" s="233" t="s">
        <v>445</v>
      </c>
      <c r="P114" s="233" t="s">
        <v>445</v>
      </c>
      <c r="Q114" s="44" t="s">
        <v>732</v>
      </c>
      <c r="R114" s="44" t="s">
        <v>474</v>
      </c>
      <c r="S114" s="44" t="s">
        <v>812</v>
      </c>
      <c r="T114" s="44" t="s">
        <v>813</v>
      </c>
      <c r="U114" s="44" t="s">
        <v>468</v>
      </c>
      <c r="V114" s="44" t="s">
        <v>601</v>
      </c>
      <c r="W114" s="212">
        <v>0</v>
      </c>
      <c r="X114" s="213">
        <v>0</v>
      </c>
      <c r="Y114" s="210">
        <v>0</v>
      </c>
      <c r="Z114" s="210">
        <v>0</v>
      </c>
      <c r="AA114" s="209">
        <v>0</v>
      </c>
      <c r="AB114" s="44"/>
      <c r="AC114" s="17">
        <v>0</v>
      </c>
      <c r="AD114" s="17">
        <v>0</v>
      </c>
      <c r="AE114" s="17">
        <v>0</v>
      </c>
      <c r="AF114" s="17">
        <v>0</v>
      </c>
      <c r="AG114" s="208">
        <v>35.916666666666664</v>
      </c>
      <c r="AH114" s="209">
        <v>18.535478833766877</v>
      </c>
      <c r="AI114" s="208">
        <v>431</v>
      </c>
    </row>
    <row r="115" spans="1:35" ht="14.45">
      <c r="A115" s="48">
        <v>113</v>
      </c>
      <c r="B115" s="5" t="s">
        <v>458</v>
      </c>
      <c r="C115" s="5" t="s">
        <v>814</v>
      </c>
      <c r="D115" s="5" t="s">
        <v>815</v>
      </c>
      <c r="E115" s="44" t="s">
        <v>816</v>
      </c>
      <c r="F115" s="34" t="s">
        <v>94</v>
      </c>
      <c r="G115" s="44" t="s">
        <v>705</v>
      </c>
      <c r="H115" s="44" t="s">
        <v>548</v>
      </c>
      <c r="I115" s="44"/>
      <c r="J115" s="5" t="s">
        <v>463</v>
      </c>
      <c r="K115" s="44" t="s">
        <v>445</v>
      </c>
      <c r="L115" s="44" t="s">
        <v>548</v>
      </c>
      <c r="M115" s="229" t="s">
        <v>445</v>
      </c>
      <c r="N115" s="229" t="s">
        <v>731</v>
      </c>
      <c r="O115" s="233" t="s">
        <v>445</v>
      </c>
      <c r="P115" s="233" t="s">
        <v>445</v>
      </c>
      <c r="Q115" s="44" t="s">
        <v>732</v>
      </c>
      <c r="R115" s="44" t="s">
        <v>713</v>
      </c>
      <c r="S115" s="44" t="s">
        <v>763</v>
      </c>
      <c r="T115" s="44" t="s">
        <v>732</v>
      </c>
      <c r="U115" s="44" t="s">
        <v>733</v>
      </c>
      <c r="V115" s="44" t="s">
        <v>445</v>
      </c>
      <c r="W115" s="212">
        <v>8.3333333333333329E-2</v>
      </c>
      <c r="X115" s="213">
        <v>0</v>
      </c>
      <c r="Y115" s="210">
        <v>0</v>
      </c>
      <c r="Z115" s="210">
        <v>8.3333333333333329E-2</v>
      </c>
      <c r="AA115" s="209">
        <v>4.7993402777777776</v>
      </c>
      <c r="AB115" s="44"/>
      <c r="AC115" s="17">
        <v>0</v>
      </c>
      <c r="AD115" s="17">
        <v>0</v>
      </c>
      <c r="AE115" s="17">
        <v>0</v>
      </c>
      <c r="AF115" s="17">
        <v>0</v>
      </c>
      <c r="AG115" s="208">
        <v>25.25</v>
      </c>
      <c r="AH115" s="209">
        <v>4.5715044008929855</v>
      </c>
      <c r="AI115" s="208">
        <v>303</v>
      </c>
    </row>
    <row r="116" spans="1:35" ht="14.45">
      <c r="A116" s="48">
        <v>114</v>
      </c>
      <c r="B116" s="5" t="s">
        <v>458</v>
      </c>
      <c r="C116" s="5" t="s">
        <v>817</v>
      </c>
      <c r="D116" s="5" t="s">
        <v>818</v>
      </c>
      <c r="E116" s="44" t="s">
        <v>819</v>
      </c>
      <c r="F116" s="34" t="s">
        <v>94</v>
      </c>
      <c r="G116" s="44" t="s">
        <v>705</v>
      </c>
      <c r="H116" s="44" t="s">
        <v>548</v>
      </c>
      <c r="I116" s="44"/>
      <c r="J116" s="5" t="s">
        <v>463</v>
      </c>
      <c r="K116" s="44" t="s">
        <v>445</v>
      </c>
      <c r="L116" s="44" t="s">
        <v>548</v>
      </c>
      <c r="M116" s="229" t="s">
        <v>445</v>
      </c>
      <c r="N116" s="229" t="s">
        <v>712</v>
      </c>
      <c r="O116" s="233" t="s">
        <v>445</v>
      </c>
      <c r="P116" s="233" t="s">
        <v>445</v>
      </c>
      <c r="Q116" s="44" t="s">
        <v>707</v>
      </c>
      <c r="R116" s="44"/>
      <c r="S116" s="44"/>
      <c r="T116" s="44" t="s">
        <v>439</v>
      </c>
      <c r="U116" s="44" t="s">
        <v>708</v>
      </c>
      <c r="V116" s="44" t="s">
        <v>445</v>
      </c>
      <c r="W116" s="212">
        <v>0</v>
      </c>
      <c r="X116" s="213">
        <v>0</v>
      </c>
      <c r="Y116" s="210">
        <v>0</v>
      </c>
      <c r="Z116" s="210">
        <v>0</v>
      </c>
      <c r="AA116" s="209">
        <v>0</v>
      </c>
      <c r="AB116" s="44"/>
      <c r="AC116" s="17">
        <v>0</v>
      </c>
      <c r="AD116" s="17">
        <v>0</v>
      </c>
      <c r="AE116" s="17">
        <v>0</v>
      </c>
      <c r="AF116" s="17">
        <v>0</v>
      </c>
      <c r="AG116" s="208">
        <v>0</v>
      </c>
      <c r="AH116" s="209">
        <v>0</v>
      </c>
      <c r="AI116" s="208">
        <v>0</v>
      </c>
    </row>
    <row r="117" spans="1:35" ht="14.45">
      <c r="A117" s="48">
        <v>115</v>
      </c>
      <c r="B117" s="5" t="s">
        <v>458</v>
      </c>
      <c r="C117" s="5" t="s">
        <v>820</v>
      </c>
      <c r="D117" s="5" t="s">
        <v>821</v>
      </c>
      <c r="E117" s="44" t="s">
        <v>822</v>
      </c>
      <c r="F117" s="34" t="s">
        <v>94</v>
      </c>
      <c r="G117" s="44" t="s">
        <v>725</v>
      </c>
      <c r="H117" s="44" t="s">
        <v>443</v>
      </c>
      <c r="I117" s="44"/>
      <c r="J117" s="5" t="s">
        <v>730</v>
      </c>
      <c r="K117" s="44" t="s">
        <v>445</v>
      </c>
      <c r="L117" s="44" t="s">
        <v>548</v>
      </c>
      <c r="M117" s="229" t="s">
        <v>445</v>
      </c>
      <c r="N117" s="229" t="s">
        <v>712</v>
      </c>
      <c r="O117" s="233" t="s">
        <v>445</v>
      </c>
      <c r="P117" s="233" t="s">
        <v>445</v>
      </c>
      <c r="Q117" s="44" t="s">
        <v>732</v>
      </c>
      <c r="R117" s="44" t="s">
        <v>713</v>
      </c>
      <c r="S117" s="44" t="s">
        <v>467</v>
      </c>
      <c r="T117" s="44" t="s">
        <v>732</v>
      </c>
      <c r="U117" s="44" t="s">
        <v>733</v>
      </c>
      <c r="V117" s="44" t="s">
        <v>445</v>
      </c>
      <c r="W117" s="212">
        <v>8.3333333333333329E-2</v>
      </c>
      <c r="X117" s="213">
        <v>0</v>
      </c>
      <c r="Y117" s="210">
        <v>0</v>
      </c>
      <c r="Z117" s="210">
        <v>8.3333333333333329E-2</v>
      </c>
      <c r="AA117" s="209">
        <v>20.072100694444444</v>
      </c>
      <c r="AB117" s="44"/>
      <c r="AC117" s="17">
        <v>0</v>
      </c>
      <c r="AD117" s="17">
        <v>0</v>
      </c>
      <c r="AE117" s="17">
        <v>0</v>
      </c>
      <c r="AF117" s="17">
        <v>0</v>
      </c>
      <c r="AG117" s="208">
        <v>17.333333333333332</v>
      </c>
      <c r="AH117" s="209">
        <v>7.1357762432376228</v>
      </c>
      <c r="AI117" s="208">
        <v>208</v>
      </c>
    </row>
    <row r="118" spans="1:35" ht="14.45">
      <c r="A118" s="48">
        <v>116</v>
      </c>
      <c r="B118" s="5" t="s">
        <v>458</v>
      </c>
      <c r="C118" s="5" t="s">
        <v>823</v>
      </c>
      <c r="D118" s="5" t="s">
        <v>824</v>
      </c>
      <c r="E118" s="44" t="s">
        <v>825</v>
      </c>
      <c r="F118" s="34" t="s">
        <v>94</v>
      </c>
      <c r="G118" s="44" t="s">
        <v>705</v>
      </c>
      <c r="H118" s="44" t="s">
        <v>548</v>
      </c>
      <c r="I118" s="44"/>
      <c r="J118" s="5" t="s">
        <v>463</v>
      </c>
      <c r="K118" s="44" t="s">
        <v>445</v>
      </c>
      <c r="L118" s="44" t="s">
        <v>548</v>
      </c>
      <c r="M118" s="229" t="s">
        <v>445</v>
      </c>
      <c r="N118" s="229" t="s">
        <v>712</v>
      </c>
      <c r="O118" s="233" t="s">
        <v>445</v>
      </c>
      <c r="P118" s="233" t="s">
        <v>445</v>
      </c>
      <c r="Q118" s="44" t="s">
        <v>707</v>
      </c>
      <c r="R118" s="44"/>
      <c r="S118" s="44"/>
      <c r="T118" s="44" t="s">
        <v>439</v>
      </c>
      <c r="U118" s="44" t="s">
        <v>708</v>
      </c>
      <c r="V118" s="44" t="s">
        <v>445</v>
      </c>
      <c r="W118" s="212">
        <v>0</v>
      </c>
      <c r="X118" s="213">
        <v>0</v>
      </c>
      <c r="Y118" s="210">
        <v>0</v>
      </c>
      <c r="Z118" s="210">
        <v>0</v>
      </c>
      <c r="AA118" s="209">
        <v>0</v>
      </c>
      <c r="AB118" s="44"/>
      <c r="AC118" s="17">
        <v>0</v>
      </c>
      <c r="AD118" s="17">
        <v>0</v>
      </c>
      <c r="AE118" s="17">
        <v>0</v>
      </c>
      <c r="AF118" s="17">
        <v>0</v>
      </c>
      <c r="AG118" s="208">
        <v>0</v>
      </c>
      <c r="AH118" s="209">
        <v>0</v>
      </c>
      <c r="AI118" s="208">
        <v>0</v>
      </c>
    </row>
    <row r="119" spans="1:35" ht="14.45">
      <c r="A119" s="48">
        <v>117</v>
      </c>
      <c r="B119" s="5" t="s">
        <v>458</v>
      </c>
      <c r="C119" s="5" t="s">
        <v>826</v>
      </c>
      <c r="D119" s="5" t="s">
        <v>827</v>
      </c>
      <c r="E119" s="44" t="s">
        <v>828</v>
      </c>
      <c r="F119" s="34" t="s">
        <v>94</v>
      </c>
      <c r="G119" s="44" t="s">
        <v>705</v>
      </c>
      <c r="H119" s="44" t="s">
        <v>548</v>
      </c>
      <c r="I119" s="44"/>
      <c r="J119" s="5" t="s">
        <v>463</v>
      </c>
      <c r="K119" s="44" t="s">
        <v>445</v>
      </c>
      <c r="L119" s="44" t="s">
        <v>464</v>
      </c>
      <c r="M119" s="229" t="s">
        <v>445</v>
      </c>
      <c r="N119" s="229" t="s">
        <v>731</v>
      </c>
      <c r="O119" s="233" t="s">
        <v>445</v>
      </c>
      <c r="P119" s="233" t="s">
        <v>445</v>
      </c>
      <c r="Q119" s="44" t="s">
        <v>732</v>
      </c>
      <c r="R119" s="44" t="s">
        <v>713</v>
      </c>
      <c r="S119" s="44" t="s">
        <v>763</v>
      </c>
      <c r="T119" s="44" t="s">
        <v>732</v>
      </c>
      <c r="U119" s="44" t="s">
        <v>733</v>
      </c>
      <c r="V119" s="44" t="s">
        <v>445</v>
      </c>
      <c r="W119" s="212">
        <v>1.5833333333333333</v>
      </c>
      <c r="X119" s="213">
        <v>0</v>
      </c>
      <c r="Y119" s="210">
        <v>0</v>
      </c>
      <c r="Z119" s="210">
        <v>0.5</v>
      </c>
      <c r="AA119" s="209">
        <v>3.8241516203703703</v>
      </c>
      <c r="AB119" s="44"/>
      <c r="AC119" s="17">
        <v>3</v>
      </c>
      <c r="AD119" s="17">
        <v>0</v>
      </c>
      <c r="AE119" s="17">
        <v>0</v>
      </c>
      <c r="AF119" s="17">
        <v>0</v>
      </c>
      <c r="AG119" s="208">
        <v>53.5</v>
      </c>
      <c r="AH119" s="209">
        <v>4.7037966342254718</v>
      </c>
      <c r="AI119" s="208">
        <v>642</v>
      </c>
    </row>
    <row r="120" spans="1:35" ht="14.45">
      <c r="A120" s="48">
        <v>118</v>
      </c>
      <c r="B120" s="5" t="s">
        <v>458</v>
      </c>
      <c r="C120" s="5" t="s">
        <v>829</v>
      </c>
      <c r="D120" s="5" t="s">
        <v>830</v>
      </c>
      <c r="E120" s="44" t="s">
        <v>831</v>
      </c>
      <c r="F120" s="34" t="s">
        <v>94</v>
      </c>
      <c r="G120" s="44" t="s">
        <v>705</v>
      </c>
      <c r="H120" s="44" t="s">
        <v>554</v>
      </c>
      <c r="I120" s="44"/>
      <c r="J120" s="5" t="s">
        <v>463</v>
      </c>
      <c r="K120" s="44" t="s">
        <v>445</v>
      </c>
      <c r="L120" s="44" t="s">
        <v>548</v>
      </c>
      <c r="M120" s="229" t="s">
        <v>445</v>
      </c>
      <c r="N120" s="229" t="s">
        <v>719</v>
      </c>
      <c r="O120" s="233" t="s">
        <v>601</v>
      </c>
      <c r="P120" s="233" t="s">
        <v>445</v>
      </c>
      <c r="Q120" s="44" t="s">
        <v>732</v>
      </c>
      <c r="R120" s="44" t="s">
        <v>143</v>
      </c>
      <c r="S120" s="44" t="s">
        <v>117</v>
      </c>
      <c r="T120" s="44" t="s">
        <v>732</v>
      </c>
      <c r="U120" s="44" t="s">
        <v>468</v>
      </c>
      <c r="V120" s="44" t="s">
        <v>445</v>
      </c>
      <c r="W120" s="212">
        <v>0</v>
      </c>
      <c r="X120" s="213">
        <v>0</v>
      </c>
      <c r="Y120" s="210">
        <v>0</v>
      </c>
      <c r="Z120" s="210">
        <v>0</v>
      </c>
      <c r="AA120" s="209">
        <v>0</v>
      </c>
      <c r="AB120" s="44"/>
      <c r="AC120" s="17">
        <v>0</v>
      </c>
      <c r="AD120" s="17">
        <v>0</v>
      </c>
      <c r="AE120" s="17">
        <v>0</v>
      </c>
      <c r="AF120" s="17">
        <v>0</v>
      </c>
      <c r="AG120" s="208">
        <v>39.583333333333336</v>
      </c>
      <c r="AH120" s="209">
        <v>2.4606237049987061</v>
      </c>
      <c r="AI120" s="208">
        <v>475</v>
      </c>
    </row>
    <row r="121" spans="1:35" ht="14.45">
      <c r="A121" s="48">
        <v>119</v>
      </c>
      <c r="B121" s="5" t="s">
        <v>458</v>
      </c>
      <c r="C121" s="5" t="s">
        <v>832</v>
      </c>
      <c r="D121" s="5" t="s">
        <v>833</v>
      </c>
      <c r="E121" s="44" t="s">
        <v>834</v>
      </c>
      <c r="F121" s="34" t="s">
        <v>94</v>
      </c>
      <c r="G121" s="44" t="s">
        <v>718</v>
      </c>
      <c r="H121" s="44" t="s">
        <v>443</v>
      </c>
      <c r="I121" s="44"/>
      <c r="J121" s="5" t="s">
        <v>585</v>
      </c>
      <c r="K121" s="44" t="s">
        <v>445</v>
      </c>
      <c r="L121" s="44" t="s">
        <v>548</v>
      </c>
      <c r="M121" s="229" t="s">
        <v>445</v>
      </c>
      <c r="N121" s="229" t="s">
        <v>719</v>
      </c>
      <c r="O121" s="233" t="s">
        <v>601</v>
      </c>
      <c r="P121" s="233" t="s">
        <v>445</v>
      </c>
      <c r="Q121" s="44" t="s">
        <v>467</v>
      </c>
      <c r="R121" s="44" t="s">
        <v>685</v>
      </c>
      <c r="S121" s="44" t="s">
        <v>467</v>
      </c>
      <c r="T121" s="44"/>
      <c r="U121" s="44" t="s">
        <v>468</v>
      </c>
      <c r="V121" s="44" t="s">
        <v>445</v>
      </c>
      <c r="W121" s="212">
        <v>0.58333333333333337</v>
      </c>
      <c r="X121" s="213">
        <v>0</v>
      </c>
      <c r="Y121" s="210">
        <v>0</v>
      </c>
      <c r="Z121" s="210">
        <v>8.3333333333333329E-2</v>
      </c>
      <c r="AA121" s="209">
        <v>2.795569234006734</v>
      </c>
      <c r="AB121" s="44"/>
      <c r="AC121" s="17">
        <v>0</v>
      </c>
      <c r="AD121" s="17">
        <v>0</v>
      </c>
      <c r="AE121" s="17">
        <v>0</v>
      </c>
      <c r="AF121" s="17">
        <v>0</v>
      </c>
      <c r="AG121" s="208">
        <v>8.9166666666666661</v>
      </c>
      <c r="AH121" s="209">
        <v>10.696984613289761</v>
      </c>
      <c r="AI121" s="208">
        <v>107</v>
      </c>
    </row>
    <row r="122" spans="1:35" ht="14.45">
      <c r="A122" s="48">
        <v>120</v>
      </c>
      <c r="B122" s="5" t="s">
        <v>458</v>
      </c>
      <c r="C122" s="5" t="s">
        <v>835</v>
      </c>
      <c r="D122" s="5" t="s">
        <v>836</v>
      </c>
      <c r="E122" s="44" t="s">
        <v>837</v>
      </c>
      <c r="F122" s="34" t="s">
        <v>94</v>
      </c>
      <c r="G122" s="44" t="s">
        <v>718</v>
      </c>
      <c r="H122" s="44" t="s">
        <v>554</v>
      </c>
      <c r="I122" s="44"/>
      <c r="J122" s="5" t="s">
        <v>585</v>
      </c>
      <c r="K122" s="44" t="s">
        <v>445</v>
      </c>
      <c r="L122" s="44" t="s">
        <v>548</v>
      </c>
      <c r="M122" s="229" t="s">
        <v>445</v>
      </c>
      <c r="N122" s="229" t="s">
        <v>719</v>
      </c>
      <c r="O122" s="233" t="s">
        <v>601</v>
      </c>
      <c r="P122" s="233" t="s">
        <v>445</v>
      </c>
      <c r="Q122" s="44" t="s">
        <v>467</v>
      </c>
      <c r="R122" s="44" t="s">
        <v>685</v>
      </c>
      <c r="S122" s="44" t="s">
        <v>467</v>
      </c>
      <c r="T122" s="44"/>
      <c r="U122" s="44" t="s">
        <v>468</v>
      </c>
      <c r="V122" s="44" t="s">
        <v>445</v>
      </c>
      <c r="W122" s="212">
        <v>0.16666666666666666</v>
      </c>
      <c r="X122" s="213">
        <v>0</v>
      </c>
      <c r="Y122" s="210">
        <v>0</v>
      </c>
      <c r="Z122" s="210">
        <v>0</v>
      </c>
      <c r="AA122" s="209">
        <v>7.1967158564814815</v>
      </c>
      <c r="AB122" s="44"/>
      <c r="AC122" s="17">
        <v>0</v>
      </c>
      <c r="AD122" s="17">
        <v>0</v>
      </c>
      <c r="AE122" s="17">
        <v>0</v>
      </c>
      <c r="AF122" s="17">
        <v>0</v>
      </c>
      <c r="AG122" s="208">
        <v>8.9166666666666661</v>
      </c>
      <c r="AH122" s="209">
        <v>10.696983115468411</v>
      </c>
      <c r="AI122" s="208">
        <v>107</v>
      </c>
    </row>
    <row r="123" spans="1:35" ht="14.45">
      <c r="A123" s="48">
        <v>121</v>
      </c>
      <c r="B123" s="5" t="s">
        <v>458</v>
      </c>
      <c r="C123" s="5" t="s">
        <v>838</v>
      </c>
      <c r="D123" s="5" t="s">
        <v>839</v>
      </c>
      <c r="E123" s="44" t="s">
        <v>840</v>
      </c>
      <c r="F123" s="34" t="s">
        <v>94</v>
      </c>
      <c r="G123" s="44" t="s">
        <v>705</v>
      </c>
      <c r="H123" s="44" t="s">
        <v>554</v>
      </c>
      <c r="I123" s="44"/>
      <c r="J123" s="5" t="s">
        <v>463</v>
      </c>
      <c r="K123" s="44" t="s">
        <v>445</v>
      </c>
      <c r="L123" s="44" t="s">
        <v>548</v>
      </c>
      <c r="M123" s="229" t="s">
        <v>445</v>
      </c>
      <c r="N123" s="229" t="s">
        <v>719</v>
      </c>
      <c r="O123" s="233" t="s">
        <v>601</v>
      </c>
      <c r="P123" s="233" t="s">
        <v>445</v>
      </c>
      <c r="Q123" s="44" t="s">
        <v>467</v>
      </c>
      <c r="R123" s="44" t="s">
        <v>713</v>
      </c>
      <c r="S123" s="44" t="s">
        <v>467</v>
      </c>
      <c r="T123" s="44" t="s">
        <v>732</v>
      </c>
      <c r="U123" s="44" t="s">
        <v>708</v>
      </c>
      <c r="V123" s="44" t="s">
        <v>601</v>
      </c>
      <c r="W123" s="212">
        <v>0</v>
      </c>
      <c r="X123" s="213">
        <v>0</v>
      </c>
      <c r="Y123" s="210">
        <v>0</v>
      </c>
      <c r="Z123" s="210">
        <v>0</v>
      </c>
      <c r="AA123" s="209">
        <v>0</v>
      </c>
      <c r="AB123" s="44"/>
      <c r="AC123" s="17">
        <v>0</v>
      </c>
      <c r="AD123" s="17">
        <v>0</v>
      </c>
      <c r="AE123" s="17">
        <v>0</v>
      </c>
      <c r="AF123" s="17">
        <v>0</v>
      </c>
      <c r="AG123" s="208">
        <v>42.583333333333336</v>
      </c>
      <c r="AH123" s="209">
        <v>4.5036813934975664</v>
      </c>
      <c r="AI123" s="208">
        <v>511</v>
      </c>
    </row>
    <row r="124" spans="1:35" ht="14.45">
      <c r="A124" s="48">
        <v>122</v>
      </c>
      <c r="B124" s="5" t="s">
        <v>458</v>
      </c>
      <c r="C124" s="5" t="s">
        <v>841</v>
      </c>
      <c r="D124" s="5" t="s">
        <v>842</v>
      </c>
      <c r="E124" s="44" t="s">
        <v>843</v>
      </c>
      <c r="F124" s="34" t="s">
        <v>94</v>
      </c>
      <c r="G124" s="44" t="s">
        <v>718</v>
      </c>
      <c r="H124" s="44" t="s">
        <v>443</v>
      </c>
      <c r="I124" s="44"/>
      <c r="J124" s="5" t="s">
        <v>463</v>
      </c>
      <c r="K124" s="44" t="s">
        <v>445</v>
      </c>
      <c r="L124" s="44" t="s">
        <v>548</v>
      </c>
      <c r="M124" s="229" t="s">
        <v>445</v>
      </c>
      <c r="N124" s="229" t="s">
        <v>712</v>
      </c>
      <c r="O124" s="233" t="s">
        <v>445</v>
      </c>
      <c r="P124" s="233" t="s">
        <v>445</v>
      </c>
      <c r="Q124" s="44" t="s">
        <v>732</v>
      </c>
      <c r="R124" s="44" t="s">
        <v>713</v>
      </c>
      <c r="S124" s="44" t="s">
        <v>467</v>
      </c>
      <c r="T124" s="44" t="s">
        <v>732</v>
      </c>
      <c r="U124" s="44" t="s">
        <v>733</v>
      </c>
      <c r="V124" s="44" t="s">
        <v>601</v>
      </c>
      <c r="W124" s="212">
        <v>0.5</v>
      </c>
      <c r="X124" s="213">
        <v>0</v>
      </c>
      <c r="Y124" s="210">
        <v>0</v>
      </c>
      <c r="Z124" s="210">
        <v>0.16666666666666666</v>
      </c>
      <c r="AA124" s="209">
        <v>7.9302083333333337</v>
      </c>
      <c r="AB124" s="44"/>
      <c r="AC124" s="17">
        <v>0</v>
      </c>
      <c r="AD124" s="17">
        <v>0</v>
      </c>
      <c r="AE124" s="17">
        <v>0</v>
      </c>
      <c r="AF124" s="17">
        <v>0</v>
      </c>
      <c r="AG124" s="208">
        <v>78</v>
      </c>
      <c r="AH124" s="209">
        <v>10.177652940881256</v>
      </c>
      <c r="AI124" s="208">
        <v>936</v>
      </c>
    </row>
    <row r="125" spans="1:35" ht="14.45">
      <c r="A125" s="48">
        <v>123</v>
      </c>
      <c r="B125" s="5" t="s">
        <v>458</v>
      </c>
      <c r="C125" s="5" t="s">
        <v>844</v>
      </c>
      <c r="D125" s="5" t="s">
        <v>845</v>
      </c>
      <c r="E125" s="44" t="s">
        <v>846</v>
      </c>
      <c r="F125" s="34" t="s">
        <v>94</v>
      </c>
      <c r="G125" s="44" t="s">
        <v>705</v>
      </c>
      <c r="H125" s="44" t="s">
        <v>554</v>
      </c>
      <c r="I125" s="44"/>
      <c r="J125" s="5" t="s">
        <v>463</v>
      </c>
      <c r="K125" s="44" t="s">
        <v>445</v>
      </c>
      <c r="L125" s="44" t="s">
        <v>548</v>
      </c>
      <c r="M125" s="229" t="s">
        <v>445</v>
      </c>
      <c r="N125" s="229" t="s">
        <v>712</v>
      </c>
      <c r="O125" s="233" t="s">
        <v>445</v>
      </c>
      <c r="P125" s="233" t="s">
        <v>445</v>
      </c>
      <c r="Q125" s="44" t="s">
        <v>720</v>
      </c>
      <c r="R125" s="44" t="s">
        <v>474</v>
      </c>
      <c r="S125" s="44" t="s">
        <v>812</v>
      </c>
      <c r="T125" s="44" t="s">
        <v>319</v>
      </c>
      <c r="U125" s="44" t="s">
        <v>468</v>
      </c>
      <c r="V125" s="44" t="s">
        <v>601</v>
      </c>
      <c r="W125" s="212">
        <v>0</v>
      </c>
      <c r="X125" s="213">
        <v>0</v>
      </c>
      <c r="Y125" s="210">
        <v>0</v>
      </c>
      <c r="Z125" s="210">
        <v>0</v>
      </c>
      <c r="AA125" s="209">
        <v>0</v>
      </c>
      <c r="AB125" s="44"/>
      <c r="AC125" s="17">
        <v>0</v>
      </c>
      <c r="AD125" s="17">
        <v>0</v>
      </c>
      <c r="AE125" s="17">
        <v>0</v>
      </c>
      <c r="AF125" s="17">
        <v>0</v>
      </c>
      <c r="AG125" s="208">
        <v>36</v>
      </c>
      <c r="AH125" s="209">
        <v>18.535480304719432</v>
      </c>
      <c r="AI125" s="208">
        <v>432</v>
      </c>
    </row>
    <row r="126" spans="1:35" ht="14.45">
      <c r="A126" s="48">
        <v>124</v>
      </c>
      <c r="B126" s="5" t="s">
        <v>458</v>
      </c>
      <c r="C126" s="5" t="s">
        <v>847</v>
      </c>
      <c r="D126" s="5" t="s">
        <v>848</v>
      </c>
      <c r="E126" s="44" t="s">
        <v>849</v>
      </c>
      <c r="F126" s="34" t="s">
        <v>94</v>
      </c>
      <c r="G126" s="44" t="s">
        <v>718</v>
      </c>
      <c r="H126" s="44" t="s">
        <v>443</v>
      </c>
      <c r="I126" s="44"/>
      <c r="J126" s="5" t="s">
        <v>463</v>
      </c>
      <c r="K126" s="44" t="s">
        <v>445</v>
      </c>
      <c r="L126" s="44" t="s">
        <v>548</v>
      </c>
      <c r="M126" s="229" t="s">
        <v>445</v>
      </c>
      <c r="N126" s="229" t="s">
        <v>712</v>
      </c>
      <c r="O126" s="233" t="s">
        <v>601</v>
      </c>
      <c r="P126" s="233" t="s">
        <v>445</v>
      </c>
      <c r="Q126" s="44" t="s">
        <v>850</v>
      </c>
      <c r="R126" s="44" t="s">
        <v>713</v>
      </c>
      <c r="S126" s="44" t="s">
        <v>467</v>
      </c>
      <c r="T126" s="44" t="s">
        <v>714</v>
      </c>
      <c r="U126" s="44" t="s">
        <v>468</v>
      </c>
      <c r="V126" s="44" t="s">
        <v>445</v>
      </c>
      <c r="W126" s="212">
        <v>0.33333333333333331</v>
      </c>
      <c r="X126" s="213">
        <v>0.25</v>
      </c>
      <c r="Y126" s="210">
        <v>0.16666666666666666</v>
      </c>
      <c r="Z126" s="210">
        <v>0</v>
      </c>
      <c r="AA126" s="209">
        <v>8.0575578703703705</v>
      </c>
      <c r="AB126" s="44"/>
      <c r="AC126" s="17">
        <v>0</v>
      </c>
      <c r="AD126" s="17">
        <v>0</v>
      </c>
      <c r="AE126" s="17">
        <v>0</v>
      </c>
      <c r="AF126" s="17">
        <v>0</v>
      </c>
      <c r="AG126" s="208">
        <v>40</v>
      </c>
      <c r="AH126" s="209">
        <v>6.2452753724078622</v>
      </c>
      <c r="AI126" s="208">
        <v>480</v>
      </c>
    </row>
    <row r="127" spans="1:35" ht="14.45">
      <c r="A127" s="48">
        <v>125</v>
      </c>
      <c r="B127" s="5" t="s">
        <v>458</v>
      </c>
      <c r="C127" s="5" t="s">
        <v>851</v>
      </c>
      <c r="D127" s="5" t="s">
        <v>852</v>
      </c>
      <c r="E127" s="44" t="s">
        <v>853</v>
      </c>
      <c r="F127" s="34" t="s">
        <v>94</v>
      </c>
      <c r="G127" s="44" t="s">
        <v>718</v>
      </c>
      <c r="H127" s="44" t="s">
        <v>443</v>
      </c>
      <c r="I127" s="44"/>
      <c r="J127" s="5" t="s">
        <v>463</v>
      </c>
      <c r="K127" s="44" t="s">
        <v>445</v>
      </c>
      <c r="L127" s="44" t="s">
        <v>548</v>
      </c>
      <c r="M127" s="229" t="s">
        <v>445</v>
      </c>
      <c r="N127" s="229" t="s">
        <v>712</v>
      </c>
      <c r="O127" s="233" t="s">
        <v>601</v>
      </c>
      <c r="P127" s="233" t="s">
        <v>445</v>
      </c>
      <c r="Q127" s="44" t="s">
        <v>850</v>
      </c>
      <c r="R127" s="44" t="s">
        <v>713</v>
      </c>
      <c r="S127" s="44" t="s">
        <v>467</v>
      </c>
      <c r="T127" s="44" t="s">
        <v>714</v>
      </c>
      <c r="U127" s="44" t="s">
        <v>468</v>
      </c>
      <c r="V127" s="44" t="s">
        <v>445</v>
      </c>
      <c r="W127" s="212">
        <v>0.58333333333333337</v>
      </c>
      <c r="X127" s="213">
        <v>0.2857142857142857</v>
      </c>
      <c r="Y127" s="210">
        <v>0.16666666666666666</v>
      </c>
      <c r="Z127" s="210">
        <v>0</v>
      </c>
      <c r="AA127" s="209">
        <v>0.64129050925925923</v>
      </c>
      <c r="AB127" s="44"/>
      <c r="AC127" s="17">
        <v>0</v>
      </c>
      <c r="AD127" s="17">
        <v>0</v>
      </c>
      <c r="AE127" s="17">
        <v>0</v>
      </c>
      <c r="AF127" s="17">
        <v>0</v>
      </c>
      <c r="AG127" s="208">
        <v>81.25</v>
      </c>
      <c r="AH127" s="209">
        <v>4.0230366074555652</v>
      </c>
      <c r="AI127" s="208">
        <v>975</v>
      </c>
    </row>
    <row r="128" spans="1:35" ht="14.45">
      <c r="A128" s="48">
        <v>126</v>
      </c>
      <c r="B128" s="5" t="s">
        <v>458</v>
      </c>
      <c r="C128" s="5" t="s">
        <v>854</v>
      </c>
      <c r="D128" s="5" t="s">
        <v>855</v>
      </c>
      <c r="E128" s="44" t="s">
        <v>856</v>
      </c>
      <c r="F128" s="34" t="s">
        <v>94</v>
      </c>
      <c r="G128" s="44" t="s">
        <v>718</v>
      </c>
      <c r="H128" s="44" t="s">
        <v>548</v>
      </c>
      <c r="I128" s="44"/>
      <c r="J128" s="5" t="s">
        <v>463</v>
      </c>
      <c r="K128" s="44" t="s">
        <v>445</v>
      </c>
      <c r="L128" s="44" t="s">
        <v>548</v>
      </c>
      <c r="M128" s="229" t="s">
        <v>445</v>
      </c>
      <c r="N128" s="229" t="s">
        <v>731</v>
      </c>
      <c r="O128" s="233" t="s">
        <v>445</v>
      </c>
      <c r="P128" s="233" t="s">
        <v>445</v>
      </c>
      <c r="Q128" s="44" t="s">
        <v>732</v>
      </c>
      <c r="R128" s="44" t="s">
        <v>713</v>
      </c>
      <c r="S128" s="44" t="s">
        <v>763</v>
      </c>
      <c r="T128" s="44" t="s">
        <v>732</v>
      </c>
      <c r="U128" s="44" t="s">
        <v>733</v>
      </c>
      <c r="V128" s="44" t="s">
        <v>445</v>
      </c>
      <c r="W128" s="212">
        <v>1.25</v>
      </c>
      <c r="X128" s="213">
        <v>0</v>
      </c>
      <c r="Y128" s="210">
        <v>0</v>
      </c>
      <c r="Z128" s="210">
        <v>0.5</v>
      </c>
      <c r="AA128" s="209">
        <v>5.8062950779727096</v>
      </c>
      <c r="AB128" s="44"/>
      <c r="AC128" s="17">
        <v>0</v>
      </c>
      <c r="AD128" s="17">
        <v>0</v>
      </c>
      <c r="AE128" s="17">
        <v>0</v>
      </c>
      <c r="AF128" s="17">
        <v>0</v>
      </c>
      <c r="AG128" s="208">
        <v>46.166666666666664</v>
      </c>
      <c r="AH128" s="209">
        <v>3.9331504581999654</v>
      </c>
      <c r="AI128" s="208">
        <v>554</v>
      </c>
    </row>
    <row r="129" spans="1:40" ht="14.45">
      <c r="A129" s="48">
        <v>127</v>
      </c>
      <c r="B129" s="5" t="s">
        <v>458</v>
      </c>
      <c r="C129" s="5" t="s">
        <v>857</v>
      </c>
      <c r="D129" s="5" t="s">
        <v>858</v>
      </c>
      <c r="E129" s="44" t="s">
        <v>859</v>
      </c>
      <c r="F129" s="34" t="s">
        <v>94</v>
      </c>
      <c r="G129" s="44" t="s">
        <v>705</v>
      </c>
      <c r="H129" s="44" t="s">
        <v>554</v>
      </c>
      <c r="I129" s="44"/>
      <c r="J129" s="5" t="s">
        <v>463</v>
      </c>
      <c r="K129" s="44" t="s">
        <v>445</v>
      </c>
      <c r="L129" s="44" t="s">
        <v>548</v>
      </c>
      <c r="M129" s="229" t="s">
        <v>445</v>
      </c>
      <c r="N129" s="229" t="s">
        <v>712</v>
      </c>
      <c r="O129" s="233" t="s">
        <v>445</v>
      </c>
      <c r="P129" s="233" t="s">
        <v>445</v>
      </c>
      <c r="Q129" s="44" t="s">
        <v>467</v>
      </c>
      <c r="R129" s="44" t="s">
        <v>713</v>
      </c>
      <c r="S129" s="44" t="s">
        <v>721</v>
      </c>
      <c r="T129" s="44" t="s">
        <v>732</v>
      </c>
      <c r="U129" s="44" t="s">
        <v>468</v>
      </c>
      <c r="V129" s="44" t="s">
        <v>445</v>
      </c>
      <c r="W129" s="212">
        <v>0.33333333333333331</v>
      </c>
      <c r="X129" s="213">
        <v>0</v>
      </c>
      <c r="Y129" s="210">
        <v>0.25</v>
      </c>
      <c r="Z129" s="210">
        <v>0</v>
      </c>
      <c r="AA129" s="209">
        <v>0.54076388888888882</v>
      </c>
      <c r="AB129" s="44"/>
      <c r="AC129" s="17">
        <v>0</v>
      </c>
      <c r="AD129" s="17">
        <v>0</v>
      </c>
      <c r="AE129" s="17">
        <v>0</v>
      </c>
      <c r="AF129" s="17">
        <v>0</v>
      </c>
      <c r="AG129" s="208">
        <v>37.083333333333336</v>
      </c>
      <c r="AH129" s="209">
        <v>18.365312612734478</v>
      </c>
      <c r="AI129" s="208">
        <v>445</v>
      </c>
    </row>
    <row r="130" spans="1:40" ht="14.45">
      <c r="A130" s="48">
        <v>128</v>
      </c>
      <c r="B130" s="5" t="s">
        <v>458</v>
      </c>
      <c r="C130" s="5" t="s">
        <v>860</v>
      </c>
      <c r="D130" s="5" t="s">
        <v>861</v>
      </c>
      <c r="E130" s="44" t="s">
        <v>862</v>
      </c>
      <c r="F130" s="34" t="s">
        <v>94</v>
      </c>
      <c r="G130" s="44" t="s">
        <v>705</v>
      </c>
      <c r="H130" s="44" t="s">
        <v>554</v>
      </c>
      <c r="I130" s="44"/>
      <c r="J130" s="5" t="s">
        <v>463</v>
      </c>
      <c r="K130" s="44" t="s">
        <v>445</v>
      </c>
      <c r="L130" s="44" t="s">
        <v>548</v>
      </c>
      <c r="M130" s="229" t="s">
        <v>445</v>
      </c>
      <c r="N130" s="229" t="s">
        <v>712</v>
      </c>
      <c r="O130" s="233" t="s">
        <v>601</v>
      </c>
      <c r="P130" s="233" t="s">
        <v>445</v>
      </c>
      <c r="Q130" s="44" t="s">
        <v>720</v>
      </c>
      <c r="R130" s="44" t="s">
        <v>474</v>
      </c>
      <c r="S130" s="44" t="s">
        <v>721</v>
      </c>
      <c r="T130" s="44"/>
      <c r="U130" s="44" t="s">
        <v>468</v>
      </c>
      <c r="V130" s="44" t="s">
        <v>601</v>
      </c>
      <c r="W130" s="212">
        <v>0</v>
      </c>
      <c r="X130" s="213">
        <v>0</v>
      </c>
      <c r="Y130" s="210">
        <v>0</v>
      </c>
      <c r="Z130" s="210">
        <v>0</v>
      </c>
      <c r="AA130" s="209">
        <v>0</v>
      </c>
      <c r="AB130" s="44"/>
      <c r="AC130" s="17">
        <v>0</v>
      </c>
      <c r="AD130" s="17">
        <v>0</v>
      </c>
      <c r="AE130" s="17">
        <v>0</v>
      </c>
      <c r="AF130" s="17">
        <v>0</v>
      </c>
      <c r="AG130" s="208">
        <v>36</v>
      </c>
      <c r="AH130" s="209">
        <v>18.53548491112349</v>
      </c>
      <c r="AI130" s="208">
        <v>432</v>
      </c>
    </row>
    <row r="131" spans="1:40" ht="14.45">
      <c r="A131" s="48">
        <v>129</v>
      </c>
      <c r="B131" s="5" t="s">
        <v>458</v>
      </c>
      <c r="C131" s="5" t="s">
        <v>863</v>
      </c>
      <c r="D131" s="5" t="s">
        <v>864</v>
      </c>
      <c r="E131" s="44" t="s">
        <v>865</v>
      </c>
      <c r="F131" s="34" t="s">
        <v>94</v>
      </c>
      <c r="G131" s="44" t="s">
        <v>705</v>
      </c>
      <c r="H131" s="44" t="s">
        <v>554</v>
      </c>
      <c r="I131" s="44"/>
      <c r="J131" s="5" t="s">
        <v>463</v>
      </c>
      <c r="K131" s="44" t="s">
        <v>445</v>
      </c>
      <c r="L131" s="44" t="s">
        <v>548</v>
      </c>
      <c r="M131" s="229" t="s">
        <v>445</v>
      </c>
      <c r="N131" s="229" t="s">
        <v>719</v>
      </c>
      <c r="O131" s="233" t="s">
        <v>601</v>
      </c>
      <c r="P131" s="233" t="s">
        <v>445</v>
      </c>
      <c r="Q131" s="44" t="s">
        <v>467</v>
      </c>
      <c r="R131" s="44" t="s">
        <v>713</v>
      </c>
      <c r="S131" s="44" t="s">
        <v>467</v>
      </c>
      <c r="T131" s="44" t="s">
        <v>732</v>
      </c>
      <c r="U131" s="44" t="s">
        <v>708</v>
      </c>
      <c r="V131" s="44" t="s">
        <v>601</v>
      </c>
      <c r="W131" s="212">
        <v>0.33333333333333331</v>
      </c>
      <c r="X131" s="213">
        <v>0</v>
      </c>
      <c r="Y131" s="210">
        <v>0</v>
      </c>
      <c r="Z131" s="210">
        <v>0</v>
      </c>
      <c r="AA131" s="209">
        <v>1.6346458333333334</v>
      </c>
      <c r="AB131" s="44"/>
      <c r="AC131" s="17">
        <v>0</v>
      </c>
      <c r="AD131" s="17">
        <v>0</v>
      </c>
      <c r="AE131" s="17">
        <v>0</v>
      </c>
      <c r="AF131" s="17">
        <v>0</v>
      </c>
      <c r="AG131" s="208">
        <v>46</v>
      </c>
      <c r="AH131" s="209">
        <v>3.9951788548752791</v>
      </c>
      <c r="AI131" s="208">
        <v>552</v>
      </c>
    </row>
    <row r="132" spans="1:40" ht="14.45">
      <c r="A132" s="48">
        <v>130</v>
      </c>
      <c r="B132" s="5" t="s">
        <v>458</v>
      </c>
      <c r="C132" s="5" t="s">
        <v>866</v>
      </c>
      <c r="D132" s="5" t="s">
        <v>867</v>
      </c>
      <c r="E132" s="44" t="s">
        <v>868</v>
      </c>
      <c r="F132" s="34" t="s">
        <v>94</v>
      </c>
      <c r="G132" s="44" t="s">
        <v>705</v>
      </c>
      <c r="H132" s="44" t="s">
        <v>548</v>
      </c>
      <c r="I132" s="44"/>
      <c r="J132" s="5" t="s">
        <v>585</v>
      </c>
      <c r="K132" s="44" t="s">
        <v>445</v>
      </c>
      <c r="L132" s="44" t="s">
        <v>548</v>
      </c>
      <c r="M132" s="229" t="s">
        <v>445</v>
      </c>
      <c r="N132" s="229" t="s">
        <v>719</v>
      </c>
      <c r="O132" s="233" t="s">
        <v>601</v>
      </c>
      <c r="P132" s="233" t="s">
        <v>445</v>
      </c>
      <c r="Q132" s="44" t="s">
        <v>467</v>
      </c>
      <c r="R132" s="44" t="s">
        <v>685</v>
      </c>
      <c r="S132" s="44" t="s">
        <v>467</v>
      </c>
      <c r="T132" s="44"/>
      <c r="U132" s="44" t="s">
        <v>733</v>
      </c>
      <c r="V132" s="44" t="s">
        <v>445</v>
      </c>
      <c r="W132" s="212">
        <v>0</v>
      </c>
      <c r="X132" s="213">
        <v>0</v>
      </c>
      <c r="Y132" s="210">
        <v>0</v>
      </c>
      <c r="Z132" s="210">
        <v>0</v>
      </c>
      <c r="AA132" s="209">
        <v>0</v>
      </c>
      <c r="AB132" s="44"/>
      <c r="AC132" s="17">
        <v>0</v>
      </c>
      <c r="AD132" s="17">
        <v>0</v>
      </c>
      <c r="AE132" s="17">
        <v>0</v>
      </c>
      <c r="AF132" s="17">
        <v>0</v>
      </c>
      <c r="AG132" s="208">
        <v>8.5833333333333339</v>
      </c>
      <c r="AH132" s="209">
        <v>10.796674933862436</v>
      </c>
      <c r="AI132" s="208">
        <v>103</v>
      </c>
    </row>
    <row r="133" spans="1:40" ht="14.45">
      <c r="A133" s="48">
        <v>131</v>
      </c>
      <c r="B133" s="5" t="s">
        <v>458</v>
      </c>
      <c r="C133" s="5" t="s">
        <v>869</v>
      </c>
      <c r="D133" s="5" t="s">
        <v>870</v>
      </c>
      <c r="E133" s="44" t="s">
        <v>871</v>
      </c>
      <c r="F133" s="34" t="s">
        <v>94</v>
      </c>
      <c r="G133" s="44" t="s">
        <v>705</v>
      </c>
      <c r="H133" s="44" t="s">
        <v>548</v>
      </c>
      <c r="I133" s="44"/>
      <c r="J133" s="5" t="s">
        <v>585</v>
      </c>
      <c r="K133" s="44" t="s">
        <v>445</v>
      </c>
      <c r="L133" s="44" t="s">
        <v>548</v>
      </c>
      <c r="M133" s="229" t="s">
        <v>445</v>
      </c>
      <c r="N133" s="229" t="s">
        <v>719</v>
      </c>
      <c r="O133" s="233" t="s">
        <v>601</v>
      </c>
      <c r="P133" s="233" t="s">
        <v>445</v>
      </c>
      <c r="Q133" s="44" t="s">
        <v>467</v>
      </c>
      <c r="R133" s="44" t="s">
        <v>685</v>
      </c>
      <c r="S133" s="44" t="s">
        <v>467</v>
      </c>
      <c r="T133" s="44"/>
      <c r="U133" s="44" t="s">
        <v>733</v>
      </c>
      <c r="V133" s="44" t="s">
        <v>445</v>
      </c>
      <c r="W133" s="212">
        <v>0</v>
      </c>
      <c r="X133" s="213">
        <v>0</v>
      </c>
      <c r="Y133" s="210">
        <v>0</v>
      </c>
      <c r="Z133" s="210">
        <v>0</v>
      </c>
      <c r="AA133" s="209">
        <v>0</v>
      </c>
      <c r="AB133" s="44"/>
      <c r="AC133" s="17">
        <v>0</v>
      </c>
      <c r="AD133" s="17">
        <v>0</v>
      </c>
      <c r="AE133" s="17">
        <v>0</v>
      </c>
      <c r="AF133" s="17">
        <v>0</v>
      </c>
      <c r="AG133" s="208">
        <v>8.9166666666666661</v>
      </c>
      <c r="AH133" s="209">
        <v>10.696983660130721</v>
      </c>
      <c r="AI133" s="208">
        <v>107</v>
      </c>
    </row>
    <row r="134" spans="1:40" ht="14.45">
      <c r="A134" s="48">
        <v>132</v>
      </c>
      <c r="B134" s="5" t="s">
        <v>458</v>
      </c>
      <c r="C134" s="5" t="s">
        <v>872</v>
      </c>
      <c r="D134" s="5" t="s">
        <v>873</v>
      </c>
      <c r="E134" s="44" t="s">
        <v>874</v>
      </c>
      <c r="F134" s="34" t="s">
        <v>94</v>
      </c>
      <c r="G134" s="44" t="s">
        <v>705</v>
      </c>
      <c r="H134" s="44" t="s">
        <v>554</v>
      </c>
      <c r="I134" s="44"/>
      <c r="J134" s="5" t="s">
        <v>463</v>
      </c>
      <c r="K134" s="44" t="s">
        <v>445</v>
      </c>
      <c r="L134" s="44" t="s">
        <v>548</v>
      </c>
      <c r="M134" s="229" t="s">
        <v>445</v>
      </c>
      <c r="N134" s="229" t="s">
        <v>719</v>
      </c>
      <c r="O134" s="233" t="s">
        <v>601</v>
      </c>
      <c r="P134" s="233" t="s">
        <v>445</v>
      </c>
      <c r="Q134" s="44" t="s">
        <v>467</v>
      </c>
      <c r="R134" s="44" t="s">
        <v>685</v>
      </c>
      <c r="S134" s="44" t="s">
        <v>467</v>
      </c>
      <c r="T134" s="44" t="s">
        <v>732</v>
      </c>
      <c r="U134" s="44" t="s">
        <v>708</v>
      </c>
      <c r="V134" s="44" t="s">
        <v>445</v>
      </c>
      <c r="W134" s="212">
        <v>0</v>
      </c>
      <c r="X134" s="213">
        <v>0</v>
      </c>
      <c r="Y134" s="210">
        <v>0</v>
      </c>
      <c r="Z134" s="210">
        <v>0</v>
      </c>
      <c r="AA134" s="209">
        <v>0</v>
      </c>
      <c r="AB134" s="44"/>
      <c r="AC134" s="17">
        <v>0</v>
      </c>
      <c r="AD134" s="17">
        <v>0</v>
      </c>
      <c r="AE134" s="17">
        <v>0</v>
      </c>
      <c r="AF134" s="17">
        <v>0</v>
      </c>
      <c r="AG134" s="208">
        <v>11</v>
      </c>
      <c r="AH134" s="209">
        <v>10.047088068181818</v>
      </c>
      <c r="AI134" s="208">
        <v>132</v>
      </c>
    </row>
    <row r="135" spans="1:40" ht="14.45">
      <c r="A135" s="48">
        <v>133</v>
      </c>
      <c r="B135" s="5" t="s">
        <v>458</v>
      </c>
      <c r="C135" s="5" t="s">
        <v>875</v>
      </c>
      <c r="D135" s="5" t="s">
        <v>876</v>
      </c>
      <c r="E135" s="44" t="s">
        <v>877</v>
      </c>
      <c r="F135" s="34" t="s">
        <v>94</v>
      </c>
      <c r="G135" s="44" t="s">
        <v>725</v>
      </c>
      <c r="H135" s="44" t="s">
        <v>443</v>
      </c>
      <c r="I135" s="44"/>
      <c r="J135" s="5" t="s">
        <v>463</v>
      </c>
      <c r="K135" s="44" t="s">
        <v>445</v>
      </c>
      <c r="L135" s="44" t="s">
        <v>548</v>
      </c>
      <c r="M135" s="229" t="s">
        <v>445</v>
      </c>
      <c r="N135" s="229" t="s">
        <v>731</v>
      </c>
      <c r="O135" s="233" t="s">
        <v>601</v>
      </c>
      <c r="P135" s="233" t="s">
        <v>445</v>
      </c>
      <c r="Q135" s="44" t="s">
        <v>732</v>
      </c>
      <c r="R135" s="44" t="s">
        <v>143</v>
      </c>
      <c r="S135" s="44" t="s">
        <v>467</v>
      </c>
      <c r="T135" s="44" t="s">
        <v>732</v>
      </c>
      <c r="U135" s="44" t="s">
        <v>733</v>
      </c>
      <c r="V135" s="44" t="s">
        <v>445</v>
      </c>
      <c r="W135" s="212">
        <v>0.41666666666666669</v>
      </c>
      <c r="X135" s="213">
        <v>0</v>
      </c>
      <c r="Y135" s="210">
        <v>0</v>
      </c>
      <c r="Z135" s="210">
        <v>0.16666666666666666</v>
      </c>
      <c r="AA135" s="209">
        <v>6.6465393518518514</v>
      </c>
      <c r="AB135" s="44"/>
      <c r="AC135" s="17">
        <v>0</v>
      </c>
      <c r="AD135" s="17">
        <v>0</v>
      </c>
      <c r="AE135" s="17">
        <v>0</v>
      </c>
      <c r="AF135" s="17">
        <v>0</v>
      </c>
      <c r="AG135" s="208">
        <v>0</v>
      </c>
      <c r="AH135" s="209">
        <v>0</v>
      </c>
      <c r="AI135" s="208">
        <v>0</v>
      </c>
    </row>
    <row r="136" spans="1:40" ht="14.45">
      <c r="A136" s="48">
        <v>134</v>
      </c>
      <c r="B136" s="5" t="s">
        <v>432</v>
      </c>
      <c r="C136" s="5" t="s">
        <v>878</v>
      </c>
      <c r="D136" s="5" t="s">
        <v>879</v>
      </c>
      <c r="E136" s="34"/>
      <c r="F136" s="34" t="s">
        <v>94</v>
      </c>
      <c r="G136" s="34" t="s">
        <v>95</v>
      </c>
      <c r="H136" s="34" t="s">
        <v>96</v>
      </c>
      <c r="I136" s="34" t="s">
        <v>506</v>
      </c>
      <c r="J136" s="34" t="s">
        <v>97</v>
      </c>
      <c r="K136" s="34" t="s">
        <v>98</v>
      </c>
      <c r="L136" s="34" t="s">
        <v>497</v>
      </c>
      <c r="M136" s="34" t="s">
        <v>100</v>
      </c>
      <c r="N136" s="34" t="s">
        <v>101</v>
      </c>
      <c r="O136" s="48" t="s">
        <v>102</v>
      </c>
      <c r="P136" s="48" t="s">
        <v>102</v>
      </c>
      <c r="Q136" s="48" t="s">
        <v>103</v>
      </c>
      <c r="R136" s="48"/>
      <c r="S136" s="48"/>
      <c r="T136" s="48"/>
      <c r="U136" s="48" t="s">
        <v>145</v>
      </c>
      <c r="V136" s="48" t="s">
        <v>157</v>
      </c>
      <c r="W136" s="212">
        <v>0</v>
      </c>
      <c r="X136" s="213">
        <v>0</v>
      </c>
      <c r="Y136" s="210">
        <v>0</v>
      </c>
      <c r="Z136" s="210">
        <v>0</v>
      </c>
      <c r="AA136" s="209">
        <v>0</v>
      </c>
      <c r="AB136" s="48"/>
      <c r="AC136" s="17">
        <v>0</v>
      </c>
      <c r="AD136" s="17">
        <v>0</v>
      </c>
      <c r="AE136" s="17">
        <v>0</v>
      </c>
      <c r="AF136" s="17">
        <v>0</v>
      </c>
      <c r="AG136" s="208">
        <v>0.41666666666666669</v>
      </c>
      <c r="AH136" s="209">
        <v>20.230844907407405</v>
      </c>
      <c r="AI136" s="208">
        <v>5</v>
      </c>
      <c r="AJ136" s="143"/>
      <c r="AK136" s="143"/>
      <c r="AL136" s="143"/>
      <c r="AM136" s="143"/>
      <c r="AN136" s="143"/>
    </row>
    <row r="137" spans="1:40" ht="14.45">
      <c r="A137" s="48">
        <v>135</v>
      </c>
      <c r="B137" s="5" t="s">
        <v>432</v>
      </c>
      <c r="C137" s="5" t="s">
        <v>880</v>
      </c>
      <c r="D137" s="5" t="s">
        <v>881</v>
      </c>
      <c r="E137" s="34"/>
      <c r="F137" s="34" t="s">
        <v>94</v>
      </c>
      <c r="G137" s="34" t="s">
        <v>141</v>
      </c>
      <c r="H137" s="34" t="s">
        <v>149</v>
      </c>
      <c r="I137" s="34" t="s">
        <v>492</v>
      </c>
      <c r="J137" s="34" t="s">
        <v>112</v>
      </c>
      <c r="K137" s="34" t="s">
        <v>98</v>
      </c>
      <c r="L137" s="34" t="s">
        <v>99</v>
      </c>
      <c r="M137" s="34" t="s">
        <v>153</v>
      </c>
      <c r="N137" s="34" t="s">
        <v>517</v>
      </c>
      <c r="O137" s="48" t="s">
        <v>114</v>
      </c>
      <c r="P137" s="48" t="s">
        <v>102</v>
      </c>
      <c r="Q137" s="48" t="s">
        <v>103</v>
      </c>
      <c r="R137" s="48" t="s">
        <v>104</v>
      </c>
      <c r="S137" s="48" t="s">
        <v>104</v>
      </c>
      <c r="T137" s="48" t="s">
        <v>104</v>
      </c>
      <c r="U137" s="48" t="s">
        <v>145</v>
      </c>
      <c r="V137" s="48" t="s">
        <v>107</v>
      </c>
      <c r="W137" s="212">
        <v>0.75</v>
      </c>
      <c r="X137" s="213">
        <v>0</v>
      </c>
      <c r="Y137" s="210">
        <v>0</v>
      </c>
      <c r="Z137" s="210">
        <v>8.3333333333333329E-2</v>
      </c>
      <c r="AA137" s="209">
        <v>2.0608179012345675</v>
      </c>
      <c r="AB137" s="48"/>
      <c r="AC137" s="17">
        <v>0</v>
      </c>
      <c r="AD137" s="17">
        <v>0</v>
      </c>
      <c r="AE137" s="17">
        <v>0</v>
      </c>
      <c r="AF137" s="17">
        <v>0</v>
      </c>
      <c r="AG137" s="208">
        <v>0.91666666666666663</v>
      </c>
      <c r="AH137" s="209">
        <v>11.241113683127573</v>
      </c>
      <c r="AI137" s="208">
        <v>11</v>
      </c>
      <c r="AJ137" s="143"/>
      <c r="AK137" s="143"/>
      <c r="AL137" s="143"/>
      <c r="AM137" s="143"/>
      <c r="AN137" s="143"/>
    </row>
    <row r="138" spans="1:40" ht="14.45">
      <c r="A138" s="48">
        <v>136</v>
      </c>
      <c r="B138" s="5" t="s">
        <v>432</v>
      </c>
      <c r="C138" s="5" t="s">
        <v>882</v>
      </c>
      <c r="D138" s="5" t="s">
        <v>883</v>
      </c>
      <c r="E138" s="34"/>
      <c r="F138" s="34" t="s">
        <v>94</v>
      </c>
      <c r="G138" s="34" t="s">
        <v>128</v>
      </c>
      <c r="H138" s="34" t="s">
        <v>96</v>
      </c>
      <c r="I138" s="34"/>
      <c r="J138" s="34" t="s">
        <v>112</v>
      </c>
      <c r="K138" s="34" t="s">
        <v>98</v>
      </c>
      <c r="L138" s="34" t="s">
        <v>99</v>
      </c>
      <c r="M138" s="34" t="s">
        <v>153</v>
      </c>
      <c r="N138" s="34" t="s">
        <v>517</v>
      </c>
      <c r="O138" s="48" t="s">
        <v>114</v>
      </c>
      <c r="P138" s="48" t="s">
        <v>114</v>
      </c>
      <c r="Q138" s="48" t="s">
        <v>115</v>
      </c>
      <c r="R138" s="48" t="s">
        <v>435</v>
      </c>
      <c r="S138" s="48" t="s">
        <v>116</v>
      </c>
      <c r="T138" s="48" t="s">
        <v>439</v>
      </c>
      <c r="U138" s="48" t="s">
        <v>156</v>
      </c>
      <c r="V138" s="48" t="s">
        <v>157</v>
      </c>
      <c r="W138" s="212">
        <v>7.083333333333333</v>
      </c>
      <c r="X138" s="213">
        <v>0.83529411764705885</v>
      </c>
      <c r="Y138" s="210">
        <v>0.25</v>
      </c>
      <c r="Z138" s="210">
        <v>0.41666666666666669</v>
      </c>
      <c r="AA138" s="209">
        <v>2.4036675496372664</v>
      </c>
      <c r="AB138" s="48"/>
      <c r="AC138" s="17">
        <v>3</v>
      </c>
      <c r="AD138" s="17">
        <v>0</v>
      </c>
      <c r="AE138" s="17">
        <v>0</v>
      </c>
      <c r="AF138" s="17">
        <v>0</v>
      </c>
      <c r="AG138" s="208">
        <v>12.25</v>
      </c>
      <c r="AH138" s="209">
        <v>7.8911724074074083</v>
      </c>
      <c r="AI138" s="208">
        <v>147</v>
      </c>
      <c r="AJ138" s="143"/>
      <c r="AK138" s="143"/>
      <c r="AL138" s="143"/>
      <c r="AM138" s="143"/>
      <c r="AN138" s="143"/>
    </row>
    <row r="139" spans="1:40" ht="14.45">
      <c r="A139" s="48">
        <v>137</v>
      </c>
      <c r="B139" s="5" t="s">
        <v>432</v>
      </c>
      <c r="C139" s="5" t="s">
        <v>884</v>
      </c>
      <c r="D139" s="5" t="s">
        <v>885</v>
      </c>
      <c r="E139" s="34"/>
      <c r="F139" s="34" t="s">
        <v>94</v>
      </c>
      <c r="G139" s="34" t="s">
        <v>128</v>
      </c>
      <c r="H139" s="34" t="s">
        <v>96</v>
      </c>
      <c r="I139" s="34"/>
      <c r="J139" s="34" t="s">
        <v>112</v>
      </c>
      <c r="K139" s="34" t="s">
        <v>98</v>
      </c>
      <c r="L139" s="34" t="s">
        <v>99</v>
      </c>
      <c r="M139" s="34" t="s">
        <v>153</v>
      </c>
      <c r="N139" s="34" t="s">
        <v>517</v>
      </c>
      <c r="O139" s="48"/>
      <c r="P139" s="48" t="s">
        <v>114</v>
      </c>
      <c r="Q139" s="48" t="s">
        <v>154</v>
      </c>
      <c r="R139" s="44"/>
      <c r="S139" s="48"/>
      <c r="T139" s="48" t="s">
        <v>319</v>
      </c>
      <c r="U139" s="48" t="s">
        <v>118</v>
      </c>
      <c r="V139" s="48" t="s">
        <v>157</v>
      </c>
      <c r="W139" s="212">
        <v>0.58333333333333337</v>
      </c>
      <c r="X139" s="213">
        <v>1</v>
      </c>
      <c r="Y139" s="210">
        <v>0</v>
      </c>
      <c r="Z139" s="210">
        <v>0</v>
      </c>
      <c r="AA139" s="209">
        <v>3.8526363168724282</v>
      </c>
      <c r="AB139" s="48"/>
      <c r="AC139" s="17">
        <v>0</v>
      </c>
      <c r="AD139" s="17">
        <v>0</v>
      </c>
      <c r="AE139" s="17">
        <v>0</v>
      </c>
      <c r="AF139" s="17">
        <v>0</v>
      </c>
      <c r="AG139" s="208">
        <v>45.75</v>
      </c>
      <c r="AH139" s="209">
        <v>13.276723847762197</v>
      </c>
      <c r="AI139" s="208">
        <v>549</v>
      </c>
      <c r="AJ139" s="143"/>
      <c r="AK139" s="143"/>
      <c r="AL139" s="143"/>
      <c r="AM139" s="143"/>
      <c r="AN139" s="143"/>
    </row>
    <row r="140" spans="1:40" ht="14.45">
      <c r="A140" s="48">
        <v>138</v>
      </c>
      <c r="B140" s="5" t="s">
        <v>432</v>
      </c>
      <c r="C140" s="5" t="s">
        <v>886</v>
      </c>
      <c r="D140" s="5" t="s">
        <v>887</v>
      </c>
      <c r="E140" s="34"/>
      <c r="F140" s="34" t="s">
        <v>94</v>
      </c>
      <c r="G140" s="34" t="s">
        <v>141</v>
      </c>
      <c r="H140" s="34" t="s">
        <v>149</v>
      </c>
      <c r="I140" s="34"/>
      <c r="J140" s="34" t="s">
        <v>112</v>
      </c>
      <c r="K140" s="34" t="s">
        <v>98</v>
      </c>
      <c r="L140" s="34" t="s">
        <v>99</v>
      </c>
      <c r="M140" s="34" t="s">
        <v>153</v>
      </c>
      <c r="N140" s="34" t="s">
        <v>517</v>
      </c>
      <c r="O140" s="48" t="s">
        <v>114</v>
      </c>
      <c r="P140" s="48" t="s">
        <v>114</v>
      </c>
      <c r="Q140" s="48" t="s">
        <v>154</v>
      </c>
      <c r="R140" s="48" t="s">
        <v>474</v>
      </c>
      <c r="S140" s="48"/>
      <c r="T140" s="48"/>
      <c r="U140" s="48" t="s">
        <v>156</v>
      </c>
      <c r="V140" s="48" t="s">
        <v>157</v>
      </c>
      <c r="W140" s="212">
        <v>0.91666666666666663</v>
      </c>
      <c r="X140" s="213">
        <v>1</v>
      </c>
      <c r="Y140" s="210">
        <v>0</v>
      </c>
      <c r="Z140" s="210">
        <v>0</v>
      </c>
      <c r="AA140" s="209">
        <v>1.5996967592592592</v>
      </c>
      <c r="AB140" s="48"/>
      <c r="AC140" s="17">
        <v>0</v>
      </c>
      <c r="AD140" s="17">
        <v>0</v>
      </c>
      <c r="AE140" s="17">
        <v>0</v>
      </c>
      <c r="AF140" s="17">
        <v>0</v>
      </c>
      <c r="AG140" s="208">
        <v>46</v>
      </c>
      <c r="AH140" s="209">
        <v>13.178833441662153</v>
      </c>
      <c r="AI140" s="208">
        <v>552</v>
      </c>
      <c r="AJ140" s="143"/>
      <c r="AK140" s="143"/>
      <c r="AL140" s="143"/>
      <c r="AM140" s="143"/>
      <c r="AN140" s="143"/>
    </row>
    <row r="141" spans="1:40" ht="14.45">
      <c r="A141" s="48">
        <v>139</v>
      </c>
      <c r="B141" s="5" t="s">
        <v>432</v>
      </c>
      <c r="C141" s="5" t="s">
        <v>888</v>
      </c>
      <c r="D141" s="5" t="s">
        <v>889</v>
      </c>
      <c r="E141" s="34"/>
      <c r="F141" s="34" t="s">
        <v>94</v>
      </c>
      <c r="G141" s="34" t="s">
        <v>128</v>
      </c>
      <c r="H141" s="34" t="s">
        <v>96</v>
      </c>
      <c r="I141" s="34"/>
      <c r="J141" s="34" t="s">
        <v>112</v>
      </c>
      <c r="K141" s="34" t="s">
        <v>98</v>
      </c>
      <c r="L141" s="34" t="s">
        <v>172</v>
      </c>
      <c r="M141" s="34" t="s">
        <v>153</v>
      </c>
      <c r="N141" s="34"/>
      <c r="O141" s="48"/>
      <c r="P141" s="48" t="s">
        <v>114</v>
      </c>
      <c r="Q141" s="48" t="s">
        <v>143</v>
      </c>
      <c r="R141" s="48" t="s">
        <v>507</v>
      </c>
      <c r="S141" s="48"/>
      <c r="T141" s="48"/>
      <c r="U141" s="48"/>
      <c r="V141" s="48" t="s">
        <v>157</v>
      </c>
      <c r="W141" s="212">
        <v>13.25</v>
      </c>
      <c r="X141" s="213">
        <v>1.2578616352201259E-2</v>
      </c>
      <c r="Y141" s="210">
        <v>0</v>
      </c>
      <c r="Z141" s="210">
        <v>0.83333333333333337</v>
      </c>
      <c r="AA141" s="209">
        <v>4.0214606481481487</v>
      </c>
      <c r="AB141" s="48"/>
      <c r="AC141" s="17">
        <v>1</v>
      </c>
      <c r="AD141" s="17">
        <v>0</v>
      </c>
      <c r="AE141" s="17">
        <v>0</v>
      </c>
      <c r="AF141" s="17">
        <v>0</v>
      </c>
      <c r="AG141" s="208">
        <v>45.75</v>
      </c>
      <c r="AH141" s="209">
        <v>13.276722469212437</v>
      </c>
      <c r="AI141" s="208">
        <v>549</v>
      </c>
      <c r="AJ141" s="143"/>
      <c r="AK141" s="143"/>
      <c r="AL141" s="143"/>
      <c r="AM141" s="143"/>
      <c r="AN141" s="143"/>
    </row>
    <row r="142" spans="1:40" ht="14.45">
      <c r="A142" s="48">
        <v>140</v>
      </c>
      <c r="B142" s="5" t="s">
        <v>432</v>
      </c>
      <c r="C142" s="5" t="s">
        <v>890</v>
      </c>
      <c r="D142" s="5" t="s">
        <v>891</v>
      </c>
      <c r="E142" s="34"/>
      <c r="F142" s="34" t="s">
        <v>94</v>
      </c>
      <c r="G142" s="34" t="s">
        <v>128</v>
      </c>
      <c r="H142" s="34" t="s">
        <v>96</v>
      </c>
      <c r="I142" s="34"/>
      <c r="J142" s="34" t="s">
        <v>97</v>
      </c>
      <c r="K142" s="34" t="s">
        <v>98</v>
      </c>
      <c r="L142" s="34" t="s">
        <v>99</v>
      </c>
      <c r="M142" s="34" t="s">
        <v>153</v>
      </c>
      <c r="N142" s="34"/>
      <c r="O142" s="48" t="s">
        <v>114</v>
      </c>
      <c r="P142" s="48" t="s">
        <v>114</v>
      </c>
      <c r="Q142" s="48" t="s">
        <v>115</v>
      </c>
      <c r="R142" s="48" t="s">
        <v>435</v>
      </c>
      <c r="S142" s="48" t="s">
        <v>116</v>
      </c>
      <c r="T142" s="48"/>
      <c r="U142" s="48" t="s">
        <v>118</v>
      </c>
      <c r="V142" s="48"/>
      <c r="W142" s="212">
        <v>0.33333333333333331</v>
      </c>
      <c r="X142" s="213">
        <v>0</v>
      </c>
      <c r="Y142" s="210">
        <v>0</v>
      </c>
      <c r="Z142" s="210">
        <v>0</v>
      </c>
      <c r="AA142" s="209">
        <v>3.9817096560846563</v>
      </c>
      <c r="AB142" s="48"/>
      <c r="AC142" s="17">
        <v>0</v>
      </c>
      <c r="AD142" s="17">
        <v>0</v>
      </c>
      <c r="AE142" s="17">
        <v>0</v>
      </c>
      <c r="AF142" s="17">
        <v>0</v>
      </c>
      <c r="AG142" s="208">
        <v>5.166666666666667</v>
      </c>
      <c r="AH142" s="209">
        <v>9.8228265993266017</v>
      </c>
      <c r="AI142" s="208">
        <v>62</v>
      </c>
      <c r="AJ142" s="143"/>
      <c r="AK142" s="143"/>
      <c r="AL142" s="143"/>
      <c r="AM142" s="143"/>
      <c r="AN142" s="143"/>
    </row>
    <row r="143" spans="1:40" ht="14.45">
      <c r="A143" s="48">
        <v>141</v>
      </c>
      <c r="B143" s="5" t="s">
        <v>432</v>
      </c>
      <c r="C143" s="5" t="s">
        <v>892</v>
      </c>
      <c r="D143" s="5" t="s">
        <v>893</v>
      </c>
      <c r="E143" s="34"/>
      <c r="F143" s="34" t="s">
        <v>94</v>
      </c>
      <c r="G143" s="34" t="s">
        <v>128</v>
      </c>
      <c r="H143" s="34" t="s">
        <v>96</v>
      </c>
      <c r="I143" s="34"/>
      <c r="J143" s="34" t="s">
        <v>112</v>
      </c>
      <c r="K143" s="34" t="s">
        <v>98</v>
      </c>
      <c r="L143" s="34" t="s">
        <v>172</v>
      </c>
      <c r="M143" s="34" t="s">
        <v>471</v>
      </c>
      <c r="N143" s="34" t="s">
        <v>113</v>
      </c>
      <c r="O143" s="48" t="s">
        <v>114</v>
      </c>
      <c r="P143" s="48" t="s">
        <v>114</v>
      </c>
      <c r="Q143" s="48" t="s">
        <v>143</v>
      </c>
      <c r="R143" s="48"/>
      <c r="S143" s="48"/>
      <c r="T143" s="48" t="s">
        <v>894</v>
      </c>
      <c r="U143" s="48" t="s">
        <v>156</v>
      </c>
      <c r="V143" s="48"/>
      <c r="W143" s="212">
        <v>0.41666666666666669</v>
      </c>
      <c r="X143" s="213">
        <v>0</v>
      </c>
      <c r="Y143" s="210">
        <v>0</v>
      </c>
      <c r="Z143" s="210">
        <v>8.3333333333333329E-2</v>
      </c>
      <c r="AA143" s="209">
        <v>2.5985590277777777</v>
      </c>
      <c r="AB143" s="48"/>
      <c r="AC143" s="17">
        <v>0</v>
      </c>
      <c r="AD143" s="17">
        <v>0</v>
      </c>
      <c r="AE143" s="17">
        <v>0</v>
      </c>
      <c r="AF143" s="17">
        <v>0</v>
      </c>
      <c r="AG143" s="208">
        <v>36.5</v>
      </c>
      <c r="AH143" s="209">
        <v>3.1610008394383393</v>
      </c>
      <c r="AI143" s="208">
        <v>438</v>
      </c>
      <c r="AJ143" s="143"/>
      <c r="AK143" s="143"/>
      <c r="AL143" s="143"/>
      <c r="AM143" s="143"/>
      <c r="AN143" s="143"/>
    </row>
    <row r="144" spans="1:40" ht="14.45">
      <c r="A144" s="48">
        <v>142</v>
      </c>
      <c r="B144" s="5" t="s">
        <v>432</v>
      </c>
      <c r="C144" s="5" t="s">
        <v>895</v>
      </c>
      <c r="D144" s="5" t="s">
        <v>896</v>
      </c>
      <c r="E144" s="34"/>
      <c r="F144" s="34" t="s">
        <v>94</v>
      </c>
      <c r="G144" s="34" t="s">
        <v>128</v>
      </c>
      <c r="H144" s="34" t="s">
        <v>96</v>
      </c>
      <c r="I144" s="34"/>
      <c r="J144" s="34" t="s">
        <v>112</v>
      </c>
      <c r="K144" s="34" t="s">
        <v>98</v>
      </c>
      <c r="L144" s="34" t="s">
        <v>99</v>
      </c>
      <c r="M144" s="34" t="s">
        <v>153</v>
      </c>
      <c r="N144" s="34" t="s">
        <v>101</v>
      </c>
      <c r="O144" s="48" t="s">
        <v>114</v>
      </c>
      <c r="P144" s="48" t="s">
        <v>114</v>
      </c>
      <c r="Q144" s="48"/>
      <c r="R144" s="48"/>
      <c r="S144" s="48"/>
      <c r="T144" s="48"/>
      <c r="U144" s="48"/>
      <c r="V144" s="48"/>
      <c r="W144" s="212">
        <v>0.5</v>
      </c>
      <c r="X144" s="213">
        <v>0</v>
      </c>
      <c r="Y144" s="210">
        <v>0.16666666666666666</v>
      </c>
      <c r="Z144" s="210">
        <v>0</v>
      </c>
      <c r="AA144" s="209">
        <v>2.255851851851852</v>
      </c>
      <c r="AB144" s="48"/>
      <c r="AC144" s="17">
        <v>0</v>
      </c>
      <c r="AD144" s="17">
        <v>0</v>
      </c>
      <c r="AE144" s="17">
        <v>0</v>
      </c>
      <c r="AF144" s="17">
        <v>0</v>
      </c>
      <c r="AG144" s="208">
        <v>7.083333333333333</v>
      </c>
      <c r="AH144" s="209">
        <v>9.1731299603174623</v>
      </c>
      <c r="AI144" s="208">
        <v>85</v>
      </c>
      <c r="AJ144" s="143"/>
      <c r="AK144" s="143"/>
      <c r="AL144" s="143"/>
      <c r="AM144" s="143"/>
      <c r="AN144" s="143"/>
    </row>
    <row r="145" spans="1:40" ht="14.45">
      <c r="A145" s="48">
        <v>143</v>
      </c>
      <c r="B145" s="5" t="s">
        <v>432</v>
      </c>
      <c r="C145" s="5" t="s">
        <v>897</v>
      </c>
      <c r="D145" s="5" t="s">
        <v>898</v>
      </c>
      <c r="E145" s="34"/>
      <c r="F145" s="34" t="s">
        <v>94</v>
      </c>
      <c r="G145" s="34" t="s">
        <v>128</v>
      </c>
      <c r="H145" s="34" t="s">
        <v>96</v>
      </c>
      <c r="I145" s="34"/>
      <c r="J145" s="34" t="s">
        <v>97</v>
      </c>
      <c r="K145" s="34" t="s">
        <v>98</v>
      </c>
      <c r="L145" s="34" t="s">
        <v>99</v>
      </c>
      <c r="M145" s="34" t="s">
        <v>153</v>
      </c>
      <c r="N145" s="34" t="s">
        <v>517</v>
      </c>
      <c r="O145" s="48" t="s">
        <v>114</v>
      </c>
      <c r="P145" s="48" t="s">
        <v>114</v>
      </c>
      <c r="Q145" s="48" t="s">
        <v>154</v>
      </c>
      <c r="R145" s="48" t="s">
        <v>474</v>
      </c>
      <c r="S145" s="48"/>
      <c r="T145" s="48"/>
      <c r="U145" s="48"/>
      <c r="V145" s="48"/>
      <c r="W145" s="212">
        <v>0.33333333333333331</v>
      </c>
      <c r="X145" s="213">
        <v>1</v>
      </c>
      <c r="Y145" s="210">
        <v>0</v>
      </c>
      <c r="Z145" s="210">
        <v>0</v>
      </c>
      <c r="AA145" s="209">
        <v>4.1415625</v>
      </c>
      <c r="AB145" s="48"/>
      <c r="AC145" s="17">
        <v>0</v>
      </c>
      <c r="AD145" s="17">
        <v>0</v>
      </c>
      <c r="AE145" s="17">
        <v>0</v>
      </c>
      <c r="AF145" s="17">
        <v>0</v>
      </c>
      <c r="AG145" s="208">
        <v>45.75</v>
      </c>
      <c r="AH145" s="209">
        <v>13.276732205220153</v>
      </c>
      <c r="AI145" s="208">
        <v>549</v>
      </c>
      <c r="AJ145" s="143"/>
      <c r="AK145" s="143"/>
      <c r="AL145" s="143"/>
      <c r="AM145" s="143"/>
      <c r="AN145" s="143"/>
    </row>
    <row r="146" spans="1:40" ht="14.45">
      <c r="A146" s="48">
        <v>144</v>
      </c>
      <c r="B146" s="5" t="s">
        <v>432</v>
      </c>
      <c r="C146" s="5" t="s">
        <v>899</v>
      </c>
      <c r="D146" s="5" t="s">
        <v>900</v>
      </c>
      <c r="E146" s="34"/>
      <c r="F146" s="34" t="s">
        <v>94</v>
      </c>
      <c r="G146" s="34" t="s">
        <v>141</v>
      </c>
      <c r="H146" s="34" t="s">
        <v>149</v>
      </c>
      <c r="I146" s="34"/>
      <c r="J146" s="34" t="s">
        <v>97</v>
      </c>
      <c r="K146" s="34"/>
      <c r="L146" s="34"/>
      <c r="M146" s="34" t="s">
        <v>153</v>
      </c>
      <c r="N146" s="34" t="s">
        <v>101</v>
      </c>
      <c r="O146" s="48" t="s">
        <v>114</v>
      </c>
      <c r="P146" s="48" t="s">
        <v>114</v>
      </c>
      <c r="Q146" s="48"/>
      <c r="R146" s="48"/>
      <c r="S146" s="48"/>
      <c r="T146" s="48"/>
      <c r="U146" s="48" t="s">
        <v>145</v>
      </c>
      <c r="V146" s="48"/>
      <c r="W146" s="212">
        <v>0</v>
      </c>
      <c r="X146" s="213">
        <v>0</v>
      </c>
      <c r="Y146" s="210">
        <v>0</v>
      </c>
      <c r="Z146" s="210">
        <v>0</v>
      </c>
      <c r="AA146" s="209">
        <v>0</v>
      </c>
      <c r="AB146" s="48"/>
      <c r="AC146" s="17">
        <v>0</v>
      </c>
      <c r="AD146" s="17">
        <v>0</v>
      </c>
      <c r="AE146" s="17">
        <v>0</v>
      </c>
      <c r="AF146" s="17">
        <v>0</v>
      </c>
      <c r="AG146" s="208">
        <v>8.3333333333333329E-2</v>
      </c>
      <c r="AH146" s="209">
        <v>8.2616087962962972</v>
      </c>
      <c r="AI146" s="208">
        <v>1</v>
      </c>
      <c r="AJ146" s="143"/>
      <c r="AK146" s="143"/>
      <c r="AL146" s="143"/>
      <c r="AM146" s="143"/>
      <c r="AN146" s="143"/>
    </row>
    <row r="147" spans="1:40" ht="14.45">
      <c r="A147" s="48">
        <v>145</v>
      </c>
      <c r="B147" s="5" t="s">
        <v>432</v>
      </c>
      <c r="C147" s="5" t="s">
        <v>469</v>
      </c>
      <c r="D147" s="5" t="s">
        <v>470</v>
      </c>
      <c r="E147" s="44"/>
      <c r="F147" s="34" t="s">
        <v>94</v>
      </c>
      <c r="G147" s="34" t="s">
        <v>128</v>
      </c>
      <c r="H147" s="34" t="s">
        <v>149</v>
      </c>
      <c r="I147" s="44"/>
      <c r="J147" s="34" t="s">
        <v>112</v>
      </c>
      <c r="K147" s="34" t="s">
        <v>98</v>
      </c>
      <c r="L147" s="34" t="s">
        <v>99</v>
      </c>
      <c r="M147" s="34" t="s">
        <v>471</v>
      </c>
      <c r="N147" s="34" t="s">
        <v>113</v>
      </c>
      <c r="O147" s="48" t="s">
        <v>114</v>
      </c>
      <c r="P147" s="48" t="s">
        <v>102</v>
      </c>
      <c r="Q147" s="48" t="s">
        <v>143</v>
      </c>
      <c r="R147" s="48"/>
      <c r="S147" s="48"/>
      <c r="T147" s="48" t="s">
        <v>195</v>
      </c>
      <c r="U147" s="48" t="s">
        <v>145</v>
      </c>
      <c r="V147" s="44"/>
      <c r="W147" s="212">
        <v>1.5</v>
      </c>
      <c r="X147" s="213">
        <v>0</v>
      </c>
      <c r="Y147" s="210">
        <v>0</v>
      </c>
      <c r="Z147" s="210">
        <v>0.16666666666666666</v>
      </c>
      <c r="AA147" s="209">
        <v>1.8698263888888889</v>
      </c>
      <c r="AB147" s="44"/>
      <c r="AC147" s="17">
        <v>0</v>
      </c>
      <c r="AD147" s="17">
        <v>0</v>
      </c>
      <c r="AE147" s="17">
        <v>0</v>
      </c>
      <c r="AF147" s="17">
        <v>0</v>
      </c>
      <c r="AG147" s="208">
        <v>71.5</v>
      </c>
      <c r="AH147" s="209">
        <v>2.9309817246055223</v>
      </c>
      <c r="AI147" s="208">
        <v>858</v>
      </c>
    </row>
    <row r="148" spans="1:40" ht="14.45">
      <c r="A148" s="48">
        <v>146</v>
      </c>
      <c r="B148" s="5" t="s">
        <v>432</v>
      </c>
      <c r="C148" s="5" t="s">
        <v>901</v>
      </c>
      <c r="D148" s="5" t="s">
        <v>902</v>
      </c>
      <c r="E148" s="44"/>
      <c r="F148" s="34" t="s">
        <v>94</v>
      </c>
      <c r="G148" s="34" t="s">
        <v>141</v>
      </c>
      <c r="H148" s="34" t="s">
        <v>149</v>
      </c>
      <c r="I148" s="44"/>
      <c r="J148" s="34" t="s">
        <v>112</v>
      </c>
      <c r="K148" s="34" t="s">
        <v>98</v>
      </c>
      <c r="L148" s="34" t="s">
        <v>99</v>
      </c>
      <c r="M148" s="34" t="s">
        <v>471</v>
      </c>
      <c r="N148" s="34" t="s">
        <v>113</v>
      </c>
      <c r="O148" s="48" t="s">
        <v>114</v>
      </c>
      <c r="P148" s="48" t="s">
        <v>114</v>
      </c>
      <c r="Q148" s="48" t="s">
        <v>143</v>
      </c>
      <c r="R148" s="44" t="s">
        <v>507</v>
      </c>
      <c r="S148" s="44" t="s">
        <v>525</v>
      </c>
      <c r="T148" s="44" t="s">
        <v>195</v>
      </c>
      <c r="U148" s="48" t="s">
        <v>145</v>
      </c>
      <c r="V148" s="48" t="s">
        <v>157</v>
      </c>
      <c r="W148" s="212">
        <v>25.25</v>
      </c>
      <c r="X148" s="213">
        <v>0</v>
      </c>
      <c r="Y148" s="210">
        <v>0.75</v>
      </c>
      <c r="Z148" s="210">
        <v>4.916666666666667</v>
      </c>
      <c r="AA148" s="209">
        <v>4.5503943666187734</v>
      </c>
      <c r="AB148" s="44"/>
      <c r="AC148" s="17">
        <v>3</v>
      </c>
      <c r="AD148" s="17">
        <v>0</v>
      </c>
      <c r="AE148" s="17">
        <v>0</v>
      </c>
      <c r="AF148" s="17">
        <v>0</v>
      </c>
      <c r="AG148" s="208">
        <v>52.666666666666664</v>
      </c>
      <c r="AH148" s="209">
        <v>1.8541670240137222</v>
      </c>
      <c r="AI148" s="208">
        <v>632</v>
      </c>
    </row>
    <row r="149" spans="1:40" ht="14.45">
      <c r="A149" s="48">
        <v>147</v>
      </c>
      <c r="B149" s="5" t="s">
        <v>432</v>
      </c>
      <c r="C149" s="5" t="s">
        <v>903</v>
      </c>
      <c r="D149" s="5" t="s">
        <v>904</v>
      </c>
      <c r="E149" s="44"/>
      <c r="F149" s="34" t="s">
        <v>94</v>
      </c>
      <c r="G149" s="34" t="s">
        <v>128</v>
      </c>
      <c r="H149" s="34" t="s">
        <v>96</v>
      </c>
      <c r="I149" s="44"/>
      <c r="J149" s="34" t="s">
        <v>112</v>
      </c>
      <c r="K149" s="34" t="s">
        <v>98</v>
      </c>
      <c r="L149" s="34" t="s">
        <v>99</v>
      </c>
      <c r="M149" s="34" t="s">
        <v>153</v>
      </c>
      <c r="N149" s="34" t="s">
        <v>101</v>
      </c>
      <c r="O149" s="48" t="s">
        <v>114</v>
      </c>
      <c r="P149" s="48" t="s">
        <v>114</v>
      </c>
      <c r="Q149" s="48" t="s">
        <v>143</v>
      </c>
      <c r="R149" s="44" t="s">
        <v>143</v>
      </c>
      <c r="S149" s="44"/>
      <c r="T149" s="44"/>
      <c r="U149" s="48" t="s">
        <v>145</v>
      </c>
      <c r="V149" s="48" t="s">
        <v>157</v>
      </c>
      <c r="W149" s="212">
        <v>0.66666666666666663</v>
      </c>
      <c r="X149" s="213">
        <v>0.75</v>
      </c>
      <c r="Y149" s="210">
        <v>8.3333333333333329E-2</v>
      </c>
      <c r="Z149" s="210">
        <v>8.3333333333333329E-2</v>
      </c>
      <c r="AA149" s="209">
        <v>4.1853981481481481</v>
      </c>
      <c r="AB149" s="44"/>
      <c r="AC149" s="17">
        <v>0</v>
      </c>
      <c r="AD149" s="17">
        <v>0</v>
      </c>
      <c r="AE149" s="17">
        <v>0</v>
      </c>
      <c r="AF149" s="17">
        <v>0</v>
      </c>
      <c r="AG149" s="208">
        <v>46.5</v>
      </c>
      <c r="AH149" s="209">
        <v>2.2625079059128015</v>
      </c>
      <c r="AI149" s="208">
        <v>558</v>
      </c>
    </row>
    <row r="150" spans="1:40" ht="14.45">
      <c r="A150" s="48">
        <v>148</v>
      </c>
      <c r="B150" s="5" t="s">
        <v>432</v>
      </c>
      <c r="C150" s="5" t="s">
        <v>905</v>
      </c>
      <c r="D150" s="5" t="s">
        <v>906</v>
      </c>
      <c r="E150" s="44"/>
      <c r="F150" s="34" t="s">
        <v>94</v>
      </c>
      <c r="G150" s="34" t="s">
        <v>95</v>
      </c>
      <c r="H150" s="34" t="s">
        <v>96</v>
      </c>
      <c r="I150" s="44"/>
      <c r="J150" s="34" t="s">
        <v>142</v>
      </c>
      <c r="K150" s="34" t="s">
        <v>98</v>
      </c>
      <c r="L150" s="34" t="s">
        <v>99</v>
      </c>
      <c r="M150" s="34" t="s">
        <v>153</v>
      </c>
      <c r="N150" s="34" t="s">
        <v>101</v>
      </c>
      <c r="O150" s="48" t="s">
        <v>114</v>
      </c>
      <c r="P150" s="48" t="s">
        <v>114</v>
      </c>
      <c r="Q150" s="65" t="s">
        <v>154</v>
      </c>
      <c r="R150" s="65" t="s">
        <v>474</v>
      </c>
      <c r="S150" s="44"/>
      <c r="T150" s="44"/>
      <c r="U150" s="202" t="s">
        <v>118</v>
      </c>
      <c r="V150" s="48" t="s">
        <v>157</v>
      </c>
      <c r="W150" s="212">
        <v>1.4166666666666667</v>
      </c>
      <c r="X150" s="213">
        <v>0.94117647058823528</v>
      </c>
      <c r="Y150" s="210">
        <v>0</v>
      </c>
      <c r="Z150" s="210">
        <v>0</v>
      </c>
      <c r="AA150" s="209">
        <v>1.3532962962962962</v>
      </c>
      <c r="AB150" s="44"/>
      <c r="AC150" s="17">
        <v>0</v>
      </c>
      <c r="AD150" s="17">
        <v>0</v>
      </c>
      <c r="AE150" s="17">
        <v>0</v>
      </c>
      <c r="AF150" s="17">
        <v>0</v>
      </c>
      <c r="AG150" s="208">
        <v>84.25</v>
      </c>
      <c r="AH150" s="209">
        <v>7.6267029463877645</v>
      </c>
      <c r="AI150" s="208">
        <v>1011</v>
      </c>
    </row>
    <row r="151" spans="1:40" ht="14.45">
      <c r="A151" s="48">
        <v>149</v>
      </c>
      <c r="B151" s="5" t="s">
        <v>432</v>
      </c>
      <c r="C151" s="5" t="s">
        <v>907</v>
      </c>
      <c r="D151" s="5" t="s">
        <v>908</v>
      </c>
      <c r="E151" s="44"/>
      <c r="F151" s="34" t="s">
        <v>94</v>
      </c>
      <c r="G151" s="34" t="s">
        <v>95</v>
      </c>
      <c r="H151" s="34" t="s">
        <v>96</v>
      </c>
      <c r="I151" s="44"/>
      <c r="J151" s="34" t="s">
        <v>142</v>
      </c>
      <c r="K151" s="34" t="s">
        <v>98</v>
      </c>
      <c r="L151" s="34" t="s">
        <v>99</v>
      </c>
      <c r="M151" s="34" t="s">
        <v>153</v>
      </c>
      <c r="N151" s="34" t="s">
        <v>101</v>
      </c>
      <c r="O151" s="48" t="s">
        <v>114</v>
      </c>
      <c r="P151" s="48" t="s">
        <v>114</v>
      </c>
      <c r="Q151" s="65" t="s">
        <v>154</v>
      </c>
      <c r="R151" s="65" t="s">
        <v>474</v>
      </c>
      <c r="S151" s="44"/>
      <c r="T151" s="44"/>
      <c r="U151" s="202" t="s">
        <v>118</v>
      </c>
      <c r="V151" s="44"/>
      <c r="W151" s="212">
        <v>2.5833333333333335</v>
      </c>
      <c r="X151" s="213">
        <v>0.93548387096774188</v>
      </c>
      <c r="Y151" s="210">
        <v>0</v>
      </c>
      <c r="Z151" s="210">
        <v>8.3333333333333329E-2</v>
      </c>
      <c r="AA151" s="209">
        <v>1.2391198559670782</v>
      </c>
      <c r="AB151" s="44"/>
      <c r="AC151" s="17">
        <v>0</v>
      </c>
      <c r="AD151" s="17">
        <v>0</v>
      </c>
      <c r="AE151" s="17">
        <v>0</v>
      </c>
      <c r="AF151" s="17">
        <v>0</v>
      </c>
      <c r="AG151" s="208">
        <v>79.416666666666671</v>
      </c>
      <c r="AH151" s="209">
        <v>8.3020621141975504</v>
      </c>
      <c r="AI151" s="208">
        <v>953</v>
      </c>
    </row>
    <row r="152" spans="1:40" ht="14.45">
      <c r="A152" s="48">
        <v>150</v>
      </c>
      <c r="B152" s="5" t="s">
        <v>432</v>
      </c>
      <c r="C152" s="5" t="s">
        <v>909</v>
      </c>
      <c r="D152" s="5" t="s">
        <v>910</v>
      </c>
      <c r="E152" s="44"/>
      <c r="F152" s="34" t="s">
        <v>94</v>
      </c>
      <c r="G152" s="34" t="s">
        <v>128</v>
      </c>
      <c r="H152" s="34" t="s">
        <v>96</v>
      </c>
      <c r="I152" s="44"/>
      <c r="J152" s="34" t="s">
        <v>97</v>
      </c>
      <c r="K152" s="34" t="s">
        <v>98</v>
      </c>
      <c r="L152" s="34" t="s">
        <v>99</v>
      </c>
      <c r="M152" s="34" t="s">
        <v>153</v>
      </c>
      <c r="N152" s="34" t="s">
        <v>101</v>
      </c>
      <c r="O152" s="48" t="s">
        <v>114</v>
      </c>
      <c r="P152" s="48" t="s">
        <v>114</v>
      </c>
      <c r="Q152" s="48" t="s">
        <v>154</v>
      </c>
      <c r="R152" s="48" t="s">
        <v>474</v>
      </c>
      <c r="S152" s="44"/>
      <c r="T152" s="44"/>
      <c r="U152" s="44"/>
      <c r="V152" s="44"/>
      <c r="W152" s="212">
        <v>0.66666666666666663</v>
      </c>
      <c r="X152" s="213">
        <v>0.75</v>
      </c>
      <c r="Y152" s="210">
        <v>0</v>
      </c>
      <c r="Z152" s="210">
        <v>0</v>
      </c>
      <c r="AA152" s="209">
        <v>0.31945216049382719</v>
      </c>
      <c r="AB152" s="44"/>
      <c r="AC152" s="17">
        <v>0</v>
      </c>
      <c r="AD152" s="17">
        <v>0</v>
      </c>
      <c r="AE152" s="17">
        <v>0</v>
      </c>
      <c r="AF152" s="17">
        <v>0</v>
      </c>
      <c r="AG152" s="208">
        <v>46.333333333333336</v>
      </c>
      <c r="AH152" s="209">
        <v>13.131891090785953</v>
      </c>
      <c r="AI152" s="208">
        <v>556</v>
      </c>
    </row>
    <row r="153" spans="1:40" ht="14.45">
      <c r="A153" s="48">
        <v>151</v>
      </c>
      <c r="B153" s="5" t="s">
        <v>432</v>
      </c>
      <c r="C153" s="5" t="s">
        <v>911</v>
      </c>
      <c r="D153" s="5" t="s">
        <v>912</v>
      </c>
      <c r="E153" s="44"/>
      <c r="F153" s="34" t="s">
        <v>94</v>
      </c>
      <c r="G153" s="34" t="s">
        <v>141</v>
      </c>
      <c r="H153" s="34" t="s">
        <v>149</v>
      </c>
      <c r="I153" s="34"/>
      <c r="J153" s="34" t="s">
        <v>112</v>
      </c>
      <c r="K153" s="34" t="s">
        <v>98</v>
      </c>
      <c r="L153" s="34" t="s">
        <v>172</v>
      </c>
      <c r="M153" s="34" t="s">
        <v>471</v>
      </c>
      <c r="N153" s="34" t="s">
        <v>517</v>
      </c>
      <c r="O153" s="48" t="s">
        <v>114</v>
      </c>
      <c r="P153" s="48" t="s">
        <v>114</v>
      </c>
      <c r="Q153" s="48" t="s">
        <v>154</v>
      </c>
      <c r="R153" s="48" t="s">
        <v>474</v>
      </c>
      <c r="S153" s="48"/>
      <c r="T153" s="48" t="s">
        <v>319</v>
      </c>
      <c r="U153" s="48" t="s">
        <v>156</v>
      </c>
      <c r="V153" s="48" t="s">
        <v>157</v>
      </c>
      <c r="W153" s="212">
        <v>0.75</v>
      </c>
      <c r="X153" s="213">
        <v>0.55555555555555558</v>
      </c>
      <c r="Y153" s="210">
        <v>0</v>
      </c>
      <c r="Z153" s="210">
        <v>0.25</v>
      </c>
      <c r="AA153" s="209">
        <v>1.8471712962962961</v>
      </c>
      <c r="AB153" s="44"/>
      <c r="AC153" s="17">
        <v>0</v>
      </c>
      <c r="AD153" s="17">
        <v>0</v>
      </c>
      <c r="AE153" s="17">
        <v>0</v>
      </c>
      <c r="AF153" s="17">
        <v>0</v>
      </c>
      <c r="AG153" s="208">
        <v>45.916666666666664</v>
      </c>
      <c r="AH153" s="209">
        <v>13.227232081618698</v>
      </c>
      <c r="AI153" s="208">
        <v>551</v>
      </c>
    </row>
    <row r="154" spans="1:40" ht="14.45">
      <c r="A154" s="48">
        <v>152</v>
      </c>
      <c r="B154" s="5" t="s">
        <v>432</v>
      </c>
      <c r="C154" s="5" t="s">
        <v>913</v>
      </c>
      <c r="D154" s="5" t="s">
        <v>914</v>
      </c>
      <c r="E154" s="44"/>
      <c r="F154" s="34" t="s">
        <v>94</v>
      </c>
      <c r="G154" s="34" t="s">
        <v>128</v>
      </c>
      <c r="H154" s="34" t="s">
        <v>96</v>
      </c>
      <c r="I154" s="44"/>
      <c r="J154" s="34" t="s">
        <v>142</v>
      </c>
      <c r="K154" s="34" t="s">
        <v>98</v>
      </c>
      <c r="L154" s="34" t="s">
        <v>99</v>
      </c>
      <c r="M154" s="34" t="s">
        <v>153</v>
      </c>
      <c r="N154" s="34" t="s">
        <v>101</v>
      </c>
      <c r="O154" s="48" t="s">
        <v>114</v>
      </c>
      <c r="P154" s="48" t="s">
        <v>114</v>
      </c>
      <c r="Q154" s="48" t="s">
        <v>143</v>
      </c>
      <c r="R154" s="44" t="s">
        <v>143</v>
      </c>
      <c r="S154" s="44" t="s">
        <v>116</v>
      </c>
      <c r="T154" s="44" t="s">
        <v>915</v>
      </c>
      <c r="U154" s="48" t="s">
        <v>145</v>
      </c>
      <c r="V154" s="48" t="s">
        <v>157</v>
      </c>
      <c r="W154" s="212">
        <v>1.0833333333333333</v>
      </c>
      <c r="X154" s="213">
        <v>0.38461538461538464</v>
      </c>
      <c r="Y154" s="210">
        <v>0</v>
      </c>
      <c r="Z154" s="210">
        <v>0.16666666666666666</v>
      </c>
      <c r="AA154" s="209">
        <v>3.3185279882154877</v>
      </c>
      <c r="AB154" s="44"/>
      <c r="AC154" s="17">
        <v>0</v>
      </c>
      <c r="AD154" s="17">
        <v>0</v>
      </c>
      <c r="AE154" s="17">
        <v>0</v>
      </c>
      <c r="AF154" s="17">
        <v>0</v>
      </c>
      <c r="AG154" s="208">
        <v>34.166666666666664</v>
      </c>
      <c r="AH154" s="209">
        <v>1.9909693443443435</v>
      </c>
      <c r="AI154" s="208">
        <v>410</v>
      </c>
    </row>
    <row r="155" spans="1:40" ht="14.45">
      <c r="A155" s="48">
        <v>153</v>
      </c>
      <c r="B155" s="5" t="s">
        <v>432</v>
      </c>
      <c r="C155" s="5" t="s">
        <v>472</v>
      </c>
      <c r="D155" s="5" t="s">
        <v>473</v>
      </c>
      <c r="E155" s="44"/>
      <c r="F155" s="34" t="s">
        <v>94</v>
      </c>
      <c r="G155" s="34" t="s">
        <v>128</v>
      </c>
      <c r="H155" s="34" t="s">
        <v>96</v>
      </c>
      <c r="I155" s="44"/>
      <c r="J155" s="34" t="s">
        <v>97</v>
      </c>
      <c r="K155" s="34" t="s">
        <v>98</v>
      </c>
      <c r="L155" s="34" t="s">
        <v>99</v>
      </c>
      <c r="M155" s="34" t="s">
        <v>153</v>
      </c>
      <c r="N155" s="34" t="s">
        <v>101</v>
      </c>
      <c r="O155" s="48" t="s">
        <v>114</v>
      </c>
      <c r="P155" s="48" t="s">
        <v>114</v>
      </c>
      <c r="Q155" s="48" t="s">
        <v>154</v>
      </c>
      <c r="R155" s="48" t="s">
        <v>474</v>
      </c>
      <c r="S155" s="44"/>
      <c r="T155" s="44"/>
      <c r="U155" s="44"/>
      <c r="V155" s="48" t="s">
        <v>157</v>
      </c>
      <c r="W155" s="212">
        <v>5.916666666666667</v>
      </c>
      <c r="X155" s="213">
        <v>0.83098591549295775</v>
      </c>
      <c r="Y155" s="210">
        <v>0.5</v>
      </c>
      <c r="Z155" s="210">
        <v>0</v>
      </c>
      <c r="AA155" s="209">
        <v>1.6257577546296296</v>
      </c>
      <c r="AB155" s="44"/>
      <c r="AC155" s="17">
        <v>0</v>
      </c>
      <c r="AD155" s="17">
        <v>0</v>
      </c>
      <c r="AE155" s="17">
        <v>0</v>
      </c>
      <c r="AF155" s="17">
        <v>0</v>
      </c>
      <c r="AG155" s="208">
        <v>51.416666666666664</v>
      </c>
      <c r="AH155" s="209">
        <v>11.631640048774718</v>
      </c>
      <c r="AI155" s="208">
        <v>617</v>
      </c>
    </row>
    <row r="156" spans="1:40" ht="14.45">
      <c r="A156" s="48">
        <v>154</v>
      </c>
      <c r="B156" s="5" t="s">
        <v>432</v>
      </c>
      <c r="C156" s="5" t="s">
        <v>916</v>
      </c>
      <c r="D156" s="5" t="s">
        <v>917</v>
      </c>
      <c r="E156" s="44"/>
      <c r="F156" s="34" t="s">
        <v>94</v>
      </c>
      <c r="G156" s="34" t="s">
        <v>128</v>
      </c>
      <c r="H156" s="34" t="s">
        <v>96</v>
      </c>
      <c r="I156" s="44"/>
      <c r="J156" s="34" t="s">
        <v>97</v>
      </c>
      <c r="K156" s="34" t="s">
        <v>98</v>
      </c>
      <c r="L156" s="34" t="s">
        <v>172</v>
      </c>
      <c r="M156" s="34" t="s">
        <v>153</v>
      </c>
      <c r="N156" s="34" t="s">
        <v>101</v>
      </c>
      <c r="O156" s="48" t="s">
        <v>114</v>
      </c>
      <c r="P156" s="48" t="s">
        <v>114</v>
      </c>
      <c r="Q156" s="65" t="s">
        <v>154</v>
      </c>
      <c r="R156" s="65" t="s">
        <v>474</v>
      </c>
      <c r="S156" s="44"/>
      <c r="T156" s="44"/>
      <c r="U156" s="44"/>
      <c r="V156" s="48" t="s">
        <v>157</v>
      </c>
      <c r="W156" s="212">
        <v>0.66666666666666663</v>
      </c>
      <c r="X156" s="213">
        <v>1</v>
      </c>
      <c r="Y156" s="210">
        <v>0</v>
      </c>
      <c r="Z156" s="210">
        <v>0</v>
      </c>
      <c r="AA156" s="209">
        <v>4.7253086419753086E-2</v>
      </c>
      <c r="AB156" s="44"/>
      <c r="AC156" s="17">
        <v>0</v>
      </c>
      <c r="AD156" s="17">
        <v>0</v>
      </c>
      <c r="AE156" s="17">
        <v>0</v>
      </c>
      <c r="AF156" s="17">
        <v>0</v>
      </c>
      <c r="AG156" s="208">
        <v>73.333333333333329</v>
      </c>
      <c r="AH156" s="209">
        <v>8.8269289395527846</v>
      </c>
      <c r="AI156" s="208">
        <v>880</v>
      </c>
    </row>
    <row r="157" spans="1:40" ht="14.45">
      <c r="A157" s="48">
        <v>155</v>
      </c>
      <c r="B157" s="5" t="s">
        <v>432</v>
      </c>
      <c r="C157" s="5" t="s">
        <v>918</v>
      </c>
      <c r="D157" s="5" t="s">
        <v>919</v>
      </c>
      <c r="E157" s="44"/>
      <c r="F157" s="34" t="s">
        <v>94</v>
      </c>
      <c r="G157" s="34" t="s">
        <v>128</v>
      </c>
      <c r="H157" s="34" t="s">
        <v>96</v>
      </c>
      <c r="I157" s="44"/>
      <c r="J157" s="34" t="s">
        <v>142</v>
      </c>
      <c r="K157" s="34" t="s">
        <v>98</v>
      </c>
      <c r="L157" s="34" t="s">
        <v>172</v>
      </c>
      <c r="M157" s="34" t="s">
        <v>153</v>
      </c>
      <c r="N157" s="34" t="s">
        <v>101</v>
      </c>
      <c r="O157" s="48" t="s">
        <v>114</v>
      </c>
      <c r="P157" s="48" t="s">
        <v>114</v>
      </c>
      <c r="Q157" s="48" t="s">
        <v>154</v>
      </c>
      <c r="R157" s="48" t="s">
        <v>474</v>
      </c>
      <c r="S157" s="44"/>
      <c r="T157" s="44"/>
      <c r="U157" s="44"/>
      <c r="V157" s="44"/>
      <c r="W157" s="212">
        <v>2</v>
      </c>
      <c r="X157" s="213">
        <v>0.75</v>
      </c>
      <c r="Y157" s="210">
        <v>0</v>
      </c>
      <c r="Z157" s="210">
        <v>0.5</v>
      </c>
      <c r="AA157" s="209">
        <v>3.8624123176206506</v>
      </c>
      <c r="AB157" s="44"/>
      <c r="AC157" s="17">
        <v>0</v>
      </c>
      <c r="AD157" s="17">
        <v>0</v>
      </c>
      <c r="AE157" s="17">
        <v>0</v>
      </c>
      <c r="AF157" s="17">
        <v>0</v>
      </c>
      <c r="AG157" s="208">
        <v>46.25</v>
      </c>
      <c r="AH157" s="209">
        <v>13.148039114144751</v>
      </c>
      <c r="AI157" s="208">
        <v>555</v>
      </c>
    </row>
    <row r="158" spans="1:40" ht="14.45">
      <c r="A158" s="48">
        <v>156</v>
      </c>
      <c r="B158" s="5" t="s">
        <v>432</v>
      </c>
      <c r="C158" s="5" t="s">
        <v>920</v>
      </c>
      <c r="D158" s="5" t="s">
        <v>921</v>
      </c>
      <c r="E158" s="44"/>
      <c r="F158" s="34" t="s">
        <v>94</v>
      </c>
      <c r="G158" s="34" t="s">
        <v>128</v>
      </c>
      <c r="H158" s="34" t="s">
        <v>96</v>
      </c>
      <c r="I158" s="44"/>
      <c r="J158" s="34" t="s">
        <v>112</v>
      </c>
      <c r="K158" s="34" t="s">
        <v>98</v>
      </c>
      <c r="L158" s="34" t="s">
        <v>172</v>
      </c>
      <c r="M158" s="34" t="s">
        <v>153</v>
      </c>
      <c r="N158" s="34" t="s">
        <v>101</v>
      </c>
      <c r="O158" s="48" t="s">
        <v>114</v>
      </c>
      <c r="P158" s="48" t="s">
        <v>114</v>
      </c>
      <c r="Q158" s="48" t="s">
        <v>154</v>
      </c>
      <c r="R158" s="48" t="s">
        <v>474</v>
      </c>
      <c r="S158" s="44"/>
      <c r="T158" s="44"/>
      <c r="U158" s="44"/>
      <c r="V158" s="48" t="s">
        <v>157</v>
      </c>
      <c r="W158" s="212">
        <v>1.9166666666666667</v>
      </c>
      <c r="X158" s="213">
        <v>1</v>
      </c>
      <c r="Y158" s="210">
        <v>0</v>
      </c>
      <c r="Z158" s="210">
        <v>0</v>
      </c>
      <c r="AA158" s="209">
        <v>1.9489399200336701</v>
      </c>
      <c r="AB158" s="44"/>
      <c r="AC158" s="17">
        <v>0</v>
      </c>
      <c r="AD158" s="17">
        <v>0</v>
      </c>
      <c r="AE158" s="17">
        <v>0</v>
      </c>
      <c r="AF158" s="17">
        <v>0</v>
      </c>
      <c r="AG158" s="208">
        <v>47</v>
      </c>
      <c r="AH158" s="209">
        <v>12.840504651834134</v>
      </c>
      <c r="AI158" s="208">
        <v>564</v>
      </c>
    </row>
    <row r="159" spans="1:40" ht="14.45">
      <c r="A159" s="48">
        <v>157</v>
      </c>
      <c r="B159" s="5" t="s">
        <v>432</v>
      </c>
      <c r="C159" s="5" t="s">
        <v>922</v>
      </c>
      <c r="D159" s="5" t="s">
        <v>923</v>
      </c>
      <c r="E159" s="44"/>
      <c r="F159" s="34" t="s">
        <v>94</v>
      </c>
      <c r="G159" s="34" t="s">
        <v>128</v>
      </c>
      <c r="H159" s="34" t="s">
        <v>96</v>
      </c>
      <c r="I159" s="44"/>
      <c r="J159" s="34" t="s">
        <v>112</v>
      </c>
      <c r="K159" s="34" t="s">
        <v>98</v>
      </c>
      <c r="L159" s="34" t="s">
        <v>172</v>
      </c>
      <c r="M159" s="34" t="s">
        <v>153</v>
      </c>
      <c r="N159" s="34" t="s">
        <v>101</v>
      </c>
      <c r="O159" s="48" t="s">
        <v>114</v>
      </c>
      <c r="P159" s="48" t="s">
        <v>114</v>
      </c>
      <c r="Q159" s="48" t="s">
        <v>154</v>
      </c>
      <c r="R159" s="48" t="s">
        <v>474</v>
      </c>
      <c r="S159" s="44"/>
      <c r="T159" s="44"/>
      <c r="U159" s="44"/>
      <c r="V159" s="48" t="s">
        <v>157</v>
      </c>
      <c r="W159" s="212">
        <v>1.0833333333333333</v>
      </c>
      <c r="X159" s="213">
        <v>1</v>
      </c>
      <c r="Y159" s="210">
        <v>0</v>
      </c>
      <c r="Z159" s="210">
        <v>0</v>
      </c>
      <c r="AA159" s="209">
        <v>2.4630837673611112</v>
      </c>
      <c r="AB159" s="44"/>
      <c r="AC159" s="17">
        <v>0</v>
      </c>
      <c r="AD159" s="17">
        <v>0</v>
      </c>
      <c r="AE159" s="17">
        <v>0</v>
      </c>
      <c r="AF159" s="17">
        <v>0</v>
      </c>
      <c r="AG159" s="208">
        <v>46</v>
      </c>
      <c r="AH159" s="209">
        <v>13.245011602581684</v>
      </c>
      <c r="AI159" s="208">
        <v>552</v>
      </c>
    </row>
    <row r="160" spans="1:40" ht="14.45">
      <c r="A160" s="48">
        <v>158</v>
      </c>
      <c r="B160" s="5" t="s">
        <v>432</v>
      </c>
      <c r="C160" s="5" t="s">
        <v>924</v>
      </c>
      <c r="D160" s="5" t="s">
        <v>925</v>
      </c>
      <c r="E160" s="44"/>
      <c r="F160" s="34" t="s">
        <v>94</v>
      </c>
      <c r="G160" s="34" t="s">
        <v>128</v>
      </c>
      <c r="H160" s="34" t="s">
        <v>96</v>
      </c>
      <c r="I160" s="44"/>
      <c r="J160" s="34" t="s">
        <v>142</v>
      </c>
      <c r="K160" s="34" t="s">
        <v>98</v>
      </c>
      <c r="L160" s="34" t="s">
        <v>99</v>
      </c>
      <c r="M160" s="34" t="s">
        <v>153</v>
      </c>
      <c r="N160" s="34" t="s">
        <v>101</v>
      </c>
      <c r="O160" s="48" t="s">
        <v>114</v>
      </c>
      <c r="P160" s="48" t="s">
        <v>114</v>
      </c>
      <c r="Q160" s="48" t="s">
        <v>115</v>
      </c>
      <c r="R160" s="48" t="s">
        <v>435</v>
      </c>
      <c r="S160" s="44"/>
      <c r="T160" s="44"/>
      <c r="U160" s="48" t="s">
        <v>145</v>
      </c>
      <c r="V160" s="48" t="s">
        <v>157</v>
      </c>
      <c r="W160" s="212">
        <v>0</v>
      </c>
      <c r="X160" s="213">
        <v>0</v>
      </c>
      <c r="Y160" s="210">
        <v>0</v>
      </c>
      <c r="Z160" s="210">
        <v>0</v>
      </c>
      <c r="AA160" s="209">
        <v>0</v>
      </c>
      <c r="AB160" s="44"/>
      <c r="AC160" s="17">
        <v>0</v>
      </c>
      <c r="AD160" s="17">
        <v>0</v>
      </c>
      <c r="AE160" s="17">
        <v>0</v>
      </c>
      <c r="AF160" s="17">
        <v>0</v>
      </c>
      <c r="AG160" s="208">
        <v>45.75</v>
      </c>
      <c r="AH160" s="209">
        <v>13.276717902766329</v>
      </c>
      <c r="AI160" s="208">
        <v>549</v>
      </c>
    </row>
    <row r="161" spans="1:35" ht="14.45">
      <c r="A161" s="48">
        <v>159</v>
      </c>
      <c r="B161" s="5" t="s">
        <v>432</v>
      </c>
      <c r="C161" s="5" t="s">
        <v>926</v>
      </c>
      <c r="D161" s="5" t="s">
        <v>927</v>
      </c>
      <c r="E161" s="44"/>
      <c r="F161" s="34" t="s">
        <v>94</v>
      </c>
      <c r="G161" s="34" t="s">
        <v>223</v>
      </c>
      <c r="H161" s="34" t="s">
        <v>224</v>
      </c>
      <c r="I161" s="34"/>
      <c r="J161" s="34" t="s">
        <v>142</v>
      </c>
      <c r="K161" s="34" t="s">
        <v>165</v>
      </c>
      <c r="L161" s="34" t="s">
        <v>166</v>
      </c>
      <c r="M161" s="34" t="s">
        <v>153</v>
      </c>
      <c r="N161" s="34" t="s">
        <v>517</v>
      </c>
      <c r="O161" s="48" t="s">
        <v>114</v>
      </c>
      <c r="P161" s="48" t="s">
        <v>114</v>
      </c>
      <c r="Q161" s="48" t="s">
        <v>154</v>
      </c>
      <c r="R161" s="48" t="s">
        <v>435</v>
      </c>
      <c r="S161" s="44" t="s">
        <v>116</v>
      </c>
      <c r="T161" s="44" t="s">
        <v>319</v>
      </c>
      <c r="U161" s="48" t="s">
        <v>118</v>
      </c>
      <c r="V161" s="48" t="s">
        <v>157</v>
      </c>
      <c r="W161" s="212">
        <v>0.16666666666666666</v>
      </c>
      <c r="X161" s="213">
        <v>1</v>
      </c>
      <c r="Y161" s="210">
        <v>0</v>
      </c>
      <c r="Z161" s="210">
        <v>0</v>
      </c>
      <c r="AA161" s="209">
        <v>2.2112268518518517E-2</v>
      </c>
      <c r="AB161" s="44"/>
      <c r="AC161" s="17">
        <v>0</v>
      </c>
      <c r="AD161" s="17">
        <v>0</v>
      </c>
      <c r="AE161" s="17">
        <v>0</v>
      </c>
      <c r="AF161" s="17">
        <v>0</v>
      </c>
      <c r="AG161" s="208">
        <v>46.833333333333336</v>
      </c>
      <c r="AH161" s="209">
        <v>12.906045172275689</v>
      </c>
      <c r="AI161" s="208">
        <v>562</v>
      </c>
    </row>
    <row r="162" spans="1:35" ht="14.45">
      <c r="A162" s="48">
        <v>160</v>
      </c>
      <c r="B162" s="5" t="s">
        <v>432</v>
      </c>
      <c r="C162" s="5" t="s">
        <v>928</v>
      </c>
      <c r="D162" s="5" t="s">
        <v>929</v>
      </c>
      <c r="E162" s="44"/>
      <c r="F162" s="34" t="s">
        <v>94</v>
      </c>
      <c r="G162" s="34" t="s">
        <v>141</v>
      </c>
      <c r="H162" s="34" t="s">
        <v>149</v>
      </c>
      <c r="I162" s="34"/>
      <c r="J162" s="34" t="s">
        <v>112</v>
      </c>
      <c r="K162" s="34" t="s">
        <v>98</v>
      </c>
      <c r="L162" s="34" t="s">
        <v>172</v>
      </c>
      <c r="M162" s="34" t="s">
        <v>471</v>
      </c>
      <c r="N162" s="34" t="s">
        <v>517</v>
      </c>
      <c r="O162" s="48" t="s">
        <v>114</v>
      </c>
      <c r="P162" s="48" t="s">
        <v>114</v>
      </c>
      <c r="Q162" s="48" t="s">
        <v>154</v>
      </c>
      <c r="R162" s="48" t="s">
        <v>474</v>
      </c>
      <c r="S162" s="48"/>
      <c r="T162" s="48" t="s">
        <v>319</v>
      </c>
      <c r="U162" s="48" t="s">
        <v>156</v>
      </c>
      <c r="V162" s="48" t="s">
        <v>157</v>
      </c>
      <c r="W162" s="212">
        <v>0</v>
      </c>
      <c r="X162" s="213">
        <v>0</v>
      </c>
      <c r="Y162" s="210">
        <v>0</v>
      </c>
      <c r="Z162" s="210">
        <v>0</v>
      </c>
      <c r="AA162" s="209">
        <v>0</v>
      </c>
      <c r="AB162" s="44"/>
      <c r="AC162" s="17">
        <v>0</v>
      </c>
      <c r="AD162" s="17">
        <v>0</v>
      </c>
      <c r="AE162" s="17">
        <v>0</v>
      </c>
      <c r="AF162" s="17">
        <v>0</v>
      </c>
      <c r="AG162" s="208">
        <v>45.833333333333336</v>
      </c>
      <c r="AH162" s="209">
        <v>13.309955966950911</v>
      </c>
      <c r="AI162" s="208">
        <v>550</v>
      </c>
    </row>
    <row r="163" spans="1:35" ht="14.45">
      <c r="A163" s="48">
        <v>161</v>
      </c>
      <c r="B163" s="5" t="s">
        <v>432</v>
      </c>
      <c r="C163" s="5" t="s">
        <v>930</v>
      </c>
      <c r="D163" s="5" t="s">
        <v>931</v>
      </c>
      <c r="E163" s="44"/>
      <c r="F163" s="34" t="s">
        <v>94</v>
      </c>
      <c r="G163" s="34" t="s">
        <v>141</v>
      </c>
      <c r="H163" s="34" t="s">
        <v>149</v>
      </c>
      <c r="I163" s="34"/>
      <c r="J163" s="34" t="s">
        <v>112</v>
      </c>
      <c r="K163" s="34" t="s">
        <v>98</v>
      </c>
      <c r="L163" s="34" t="s">
        <v>172</v>
      </c>
      <c r="M163" s="34" t="s">
        <v>471</v>
      </c>
      <c r="N163" s="34" t="s">
        <v>517</v>
      </c>
      <c r="O163" s="48" t="s">
        <v>114</v>
      </c>
      <c r="P163" s="48" t="s">
        <v>114</v>
      </c>
      <c r="Q163" s="48" t="s">
        <v>154</v>
      </c>
      <c r="R163" s="48" t="s">
        <v>474</v>
      </c>
      <c r="S163" s="48"/>
      <c r="T163" s="48" t="s">
        <v>319</v>
      </c>
      <c r="U163" s="48" t="s">
        <v>156</v>
      </c>
      <c r="V163" s="48" t="s">
        <v>157</v>
      </c>
      <c r="W163" s="212">
        <v>0</v>
      </c>
      <c r="X163" s="213">
        <v>0</v>
      </c>
      <c r="Y163" s="210">
        <v>0</v>
      </c>
      <c r="Z163" s="210">
        <v>0</v>
      </c>
      <c r="AA163" s="209">
        <v>0</v>
      </c>
      <c r="AB163" s="44"/>
      <c r="AC163" s="17">
        <v>0</v>
      </c>
      <c r="AD163" s="17">
        <v>0</v>
      </c>
      <c r="AE163" s="17">
        <v>0</v>
      </c>
      <c r="AF163" s="17">
        <v>0</v>
      </c>
      <c r="AG163" s="208">
        <v>45.75</v>
      </c>
      <c r="AH163" s="209">
        <v>13.276725599669192</v>
      </c>
      <c r="AI163" s="208">
        <v>549</v>
      </c>
    </row>
    <row r="164" spans="1:35" ht="14.45">
      <c r="A164" s="48">
        <v>162</v>
      </c>
      <c r="B164" s="5" t="s">
        <v>432</v>
      </c>
      <c r="C164" s="5" t="s">
        <v>932</v>
      </c>
      <c r="D164" s="5" t="s">
        <v>933</v>
      </c>
      <c r="E164" s="44"/>
      <c r="F164" s="34" t="s">
        <v>94</v>
      </c>
      <c r="G164" s="34" t="s">
        <v>141</v>
      </c>
      <c r="H164" s="34" t="s">
        <v>149</v>
      </c>
      <c r="I164" s="34"/>
      <c r="J164" s="34" t="s">
        <v>112</v>
      </c>
      <c r="K164" s="34" t="s">
        <v>98</v>
      </c>
      <c r="L164" s="34" t="s">
        <v>172</v>
      </c>
      <c r="M164" s="34" t="s">
        <v>471</v>
      </c>
      <c r="N164" s="34" t="s">
        <v>517</v>
      </c>
      <c r="O164" s="48" t="s">
        <v>114</v>
      </c>
      <c r="P164" s="48" t="s">
        <v>114</v>
      </c>
      <c r="Q164" s="48" t="s">
        <v>154</v>
      </c>
      <c r="R164" s="48" t="s">
        <v>474</v>
      </c>
      <c r="S164" s="48"/>
      <c r="T164" s="48" t="s">
        <v>319</v>
      </c>
      <c r="U164" s="48" t="s">
        <v>156</v>
      </c>
      <c r="V164" s="48" t="s">
        <v>157</v>
      </c>
      <c r="W164" s="212">
        <v>0</v>
      </c>
      <c r="X164" s="213">
        <v>0</v>
      </c>
      <c r="Y164" s="210">
        <v>0</v>
      </c>
      <c r="Z164" s="210">
        <v>0</v>
      </c>
      <c r="AA164" s="209">
        <v>0</v>
      </c>
      <c r="AB164" s="44"/>
      <c r="AC164" s="17">
        <v>0</v>
      </c>
      <c r="AD164" s="17">
        <v>0</v>
      </c>
      <c r="AE164" s="17">
        <v>0</v>
      </c>
      <c r="AF164" s="17">
        <v>0</v>
      </c>
      <c r="AG164" s="208">
        <v>45.75</v>
      </c>
      <c r="AH164" s="209">
        <v>13.292588887740147</v>
      </c>
      <c r="AI164" s="208">
        <v>549</v>
      </c>
    </row>
    <row r="165" spans="1:35" ht="14.45">
      <c r="A165" s="48">
        <v>163</v>
      </c>
      <c r="B165" s="5" t="s">
        <v>432</v>
      </c>
      <c r="C165" s="5" t="s">
        <v>934</v>
      </c>
      <c r="D165" s="5" t="s">
        <v>935</v>
      </c>
      <c r="E165" s="44"/>
      <c r="F165" s="34" t="s">
        <v>94</v>
      </c>
      <c r="G165" s="34" t="s">
        <v>128</v>
      </c>
      <c r="H165" s="34" t="s">
        <v>96</v>
      </c>
      <c r="I165" s="44"/>
      <c r="J165" s="34" t="s">
        <v>112</v>
      </c>
      <c r="K165" s="34" t="s">
        <v>98</v>
      </c>
      <c r="L165" s="34" t="s">
        <v>99</v>
      </c>
      <c r="M165" s="34" t="s">
        <v>153</v>
      </c>
      <c r="N165" s="34" t="s">
        <v>101</v>
      </c>
      <c r="O165" s="48" t="s">
        <v>114</v>
      </c>
      <c r="P165" s="48" t="s">
        <v>114</v>
      </c>
      <c r="Q165" s="48" t="s">
        <v>154</v>
      </c>
      <c r="R165" s="48" t="s">
        <v>474</v>
      </c>
      <c r="S165" s="48"/>
      <c r="T165" s="48"/>
      <c r="U165" s="48"/>
      <c r="V165" s="48" t="s">
        <v>157</v>
      </c>
      <c r="W165" s="212">
        <v>0</v>
      </c>
      <c r="X165" s="213">
        <v>0</v>
      </c>
      <c r="Y165" s="210">
        <v>0</v>
      </c>
      <c r="Z165" s="210">
        <v>0</v>
      </c>
      <c r="AA165" s="209">
        <v>0</v>
      </c>
      <c r="AB165" s="44"/>
      <c r="AC165" s="17">
        <v>0</v>
      </c>
      <c r="AD165" s="17">
        <v>0</v>
      </c>
      <c r="AE165" s="17">
        <v>0</v>
      </c>
      <c r="AF165" s="17">
        <v>0</v>
      </c>
      <c r="AG165" s="208">
        <v>45.75</v>
      </c>
      <c r="AH165" s="209">
        <v>13.276729649159128</v>
      </c>
      <c r="AI165" s="208">
        <v>549</v>
      </c>
    </row>
    <row r="166" spans="1:35" ht="14.45">
      <c r="A166" s="48">
        <v>164</v>
      </c>
      <c r="B166" s="5" t="s">
        <v>432</v>
      </c>
      <c r="C166" s="5" t="s">
        <v>936</v>
      </c>
      <c r="D166" s="5" t="s">
        <v>937</v>
      </c>
      <c r="E166" s="44"/>
      <c r="F166" s="34" t="s">
        <v>94</v>
      </c>
      <c r="G166" s="34" t="s">
        <v>128</v>
      </c>
      <c r="H166" s="34" t="s">
        <v>96</v>
      </c>
      <c r="I166" s="34"/>
      <c r="J166" s="34" t="s">
        <v>97</v>
      </c>
      <c r="K166" s="34" t="s">
        <v>165</v>
      </c>
      <c r="L166" s="34" t="s">
        <v>99</v>
      </c>
      <c r="M166" s="34" t="s">
        <v>153</v>
      </c>
      <c r="N166" s="34" t="s">
        <v>101</v>
      </c>
      <c r="O166" s="48" t="s">
        <v>102</v>
      </c>
      <c r="P166" s="48" t="s">
        <v>114</v>
      </c>
      <c r="Q166" s="44" t="s">
        <v>115</v>
      </c>
      <c r="R166" s="48" t="s">
        <v>435</v>
      </c>
      <c r="S166" s="44"/>
      <c r="T166" s="44"/>
      <c r="U166" s="48" t="s">
        <v>156</v>
      </c>
      <c r="V166" s="48" t="s">
        <v>157</v>
      </c>
      <c r="W166" s="212">
        <v>8.25</v>
      </c>
      <c r="X166" s="213">
        <v>0.84848484848484851</v>
      </c>
      <c r="Y166" s="210">
        <v>8.3333333333333329E-2</v>
      </c>
      <c r="Z166" s="210">
        <v>0.25</v>
      </c>
      <c r="AA166" s="209">
        <v>4.4742883974983751</v>
      </c>
      <c r="AB166" s="44"/>
      <c r="AC166" s="17">
        <v>0</v>
      </c>
      <c r="AD166" s="17">
        <v>0</v>
      </c>
      <c r="AE166" s="17">
        <v>0</v>
      </c>
      <c r="AF166" s="17">
        <v>0</v>
      </c>
      <c r="AG166" s="208">
        <v>12.166666666666666</v>
      </c>
      <c r="AH166" s="209">
        <v>7.5463893481775441</v>
      </c>
      <c r="AI166" s="208">
        <v>146</v>
      </c>
    </row>
    <row r="167" spans="1:35" ht="14.45">
      <c r="A167" s="48">
        <v>165</v>
      </c>
      <c r="B167" s="5" t="s">
        <v>432</v>
      </c>
      <c r="C167" s="5" t="s">
        <v>938</v>
      </c>
      <c r="D167" s="5" t="s">
        <v>939</v>
      </c>
      <c r="E167" s="44"/>
      <c r="F167" s="34" t="s">
        <v>94</v>
      </c>
      <c r="G167" s="34" t="s">
        <v>128</v>
      </c>
      <c r="H167" s="34" t="s">
        <v>96</v>
      </c>
      <c r="I167" s="34"/>
      <c r="J167" s="34" t="s">
        <v>142</v>
      </c>
      <c r="K167" s="34" t="s">
        <v>165</v>
      </c>
      <c r="L167" s="34" t="s">
        <v>99</v>
      </c>
      <c r="M167" s="34" t="s">
        <v>153</v>
      </c>
      <c r="N167" s="34" t="s">
        <v>101</v>
      </c>
      <c r="O167" s="48" t="s">
        <v>114</v>
      </c>
      <c r="P167" s="48" t="s">
        <v>114</v>
      </c>
      <c r="Q167" s="44"/>
      <c r="R167" s="44"/>
      <c r="S167" s="48" t="s">
        <v>493</v>
      </c>
      <c r="T167" s="44"/>
      <c r="U167" s="44"/>
      <c r="V167" s="48" t="s">
        <v>157</v>
      </c>
      <c r="W167" s="212">
        <v>0.75</v>
      </c>
      <c r="X167" s="213">
        <v>0</v>
      </c>
      <c r="Y167" s="210">
        <v>0.16666666666666666</v>
      </c>
      <c r="Z167" s="210">
        <v>0.16666666666666666</v>
      </c>
      <c r="AA167" s="209">
        <v>2.1088015572390573</v>
      </c>
      <c r="AB167" s="44"/>
      <c r="AC167" s="17">
        <v>0</v>
      </c>
      <c r="AD167" s="17">
        <v>0</v>
      </c>
      <c r="AE167" s="17">
        <v>0</v>
      </c>
      <c r="AF167" s="17">
        <v>0</v>
      </c>
      <c r="AG167" s="208">
        <v>12</v>
      </c>
      <c r="AH167" s="209">
        <v>9.1922564887722338</v>
      </c>
      <c r="AI167" s="208">
        <v>144</v>
      </c>
    </row>
    <row r="168" spans="1:35" ht="14.45">
      <c r="A168" s="48">
        <v>166</v>
      </c>
      <c r="B168" s="5" t="s">
        <v>432</v>
      </c>
      <c r="C168" s="5" t="s">
        <v>475</v>
      </c>
      <c r="D168" s="5" t="s">
        <v>476</v>
      </c>
      <c r="E168" s="44"/>
      <c r="F168" s="34" t="s">
        <v>94</v>
      </c>
      <c r="G168" s="34" t="s">
        <v>141</v>
      </c>
      <c r="H168" s="34" t="s">
        <v>149</v>
      </c>
      <c r="I168" s="44"/>
      <c r="J168" s="34" t="s">
        <v>142</v>
      </c>
      <c r="K168" s="34" t="s">
        <v>98</v>
      </c>
      <c r="L168" s="34" t="s">
        <v>172</v>
      </c>
      <c r="M168" s="34" t="s">
        <v>477</v>
      </c>
      <c r="N168" s="34" t="s">
        <v>101</v>
      </c>
      <c r="O168" s="48" t="s">
        <v>114</v>
      </c>
      <c r="P168" s="48" t="s">
        <v>114</v>
      </c>
      <c r="Q168" s="48" t="s">
        <v>115</v>
      </c>
      <c r="R168" s="48" t="s">
        <v>435</v>
      </c>
      <c r="S168" s="44" t="s">
        <v>116</v>
      </c>
      <c r="T168" s="44" t="s">
        <v>478</v>
      </c>
      <c r="U168" s="48" t="s">
        <v>145</v>
      </c>
      <c r="V168" s="48" t="s">
        <v>119</v>
      </c>
      <c r="W168" s="212">
        <v>126.41666666666667</v>
      </c>
      <c r="X168" s="213">
        <v>6.5260382333553066E-2</v>
      </c>
      <c r="Y168" s="210">
        <v>5.5</v>
      </c>
      <c r="Z168" s="210">
        <v>9.5833333333333339</v>
      </c>
      <c r="AA168" s="209">
        <v>3.2929763333784177</v>
      </c>
      <c r="AB168" s="44"/>
      <c r="AC168" s="17">
        <v>5</v>
      </c>
      <c r="AD168" s="17">
        <v>0.58333333333333337</v>
      </c>
      <c r="AE168" s="17">
        <v>48.131605489417993</v>
      </c>
      <c r="AF168" s="17">
        <v>0</v>
      </c>
      <c r="AG168" s="208">
        <v>266</v>
      </c>
      <c r="AH168" s="209">
        <v>4.0924329871683423</v>
      </c>
      <c r="AI168" s="208">
        <v>3192</v>
      </c>
    </row>
    <row r="169" spans="1:35" ht="14.45">
      <c r="A169" s="48">
        <v>167</v>
      </c>
      <c r="B169" s="5" t="s">
        <v>432</v>
      </c>
      <c r="C169" s="5" t="s">
        <v>940</v>
      </c>
      <c r="D169" s="5" t="s">
        <v>941</v>
      </c>
      <c r="E169" s="44"/>
      <c r="F169" s="34" t="s">
        <v>94</v>
      </c>
      <c r="G169" s="34" t="s">
        <v>128</v>
      </c>
      <c r="H169" s="34" t="s">
        <v>149</v>
      </c>
      <c r="I169" s="44"/>
      <c r="J169" s="34" t="s">
        <v>142</v>
      </c>
      <c r="K169" s="34" t="s">
        <v>98</v>
      </c>
      <c r="L169" s="34" t="s">
        <v>99</v>
      </c>
      <c r="M169" s="34" t="s">
        <v>477</v>
      </c>
      <c r="N169" s="34" t="s">
        <v>101</v>
      </c>
      <c r="O169" s="48" t="s">
        <v>114</v>
      </c>
      <c r="P169" s="48" t="s">
        <v>114</v>
      </c>
      <c r="Q169" s="48" t="s">
        <v>115</v>
      </c>
      <c r="R169" s="48" t="s">
        <v>435</v>
      </c>
      <c r="S169" s="44"/>
      <c r="T169" s="235"/>
      <c r="U169" s="48" t="s">
        <v>156</v>
      </c>
      <c r="V169" s="48" t="s">
        <v>157</v>
      </c>
      <c r="W169" s="212">
        <v>14.583333333333334</v>
      </c>
      <c r="X169" s="213">
        <v>0.87428571428571433</v>
      </c>
      <c r="Y169" s="210">
        <v>0.25</v>
      </c>
      <c r="Z169" s="210">
        <v>0.41666666666666669</v>
      </c>
      <c r="AA169" s="209">
        <v>1.8439280895216825</v>
      </c>
      <c r="AB169" s="44"/>
      <c r="AC169" s="17">
        <v>1</v>
      </c>
      <c r="AD169" s="17">
        <v>0</v>
      </c>
      <c r="AE169" s="17">
        <v>0</v>
      </c>
      <c r="AF169" s="17">
        <v>0</v>
      </c>
      <c r="AG169" s="208">
        <v>45.833333333333336</v>
      </c>
      <c r="AH169" s="209">
        <v>13.292579381490716</v>
      </c>
      <c r="AI169" s="208">
        <v>550</v>
      </c>
    </row>
    <row r="170" spans="1:35" ht="14.45">
      <c r="A170" s="48">
        <v>168</v>
      </c>
      <c r="B170" s="5" t="s">
        <v>432</v>
      </c>
      <c r="C170" s="5" t="s">
        <v>942</v>
      </c>
      <c r="D170" s="5" t="s">
        <v>943</v>
      </c>
      <c r="E170" s="44"/>
      <c r="F170" s="34" t="s">
        <v>94</v>
      </c>
      <c r="G170" s="34" t="s">
        <v>128</v>
      </c>
      <c r="H170" s="34" t="s">
        <v>96</v>
      </c>
      <c r="I170" s="34"/>
      <c r="J170" s="34" t="s">
        <v>112</v>
      </c>
      <c r="K170" s="34" t="s">
        <v>98</v>
      </c>
      <c r="L170" s="34" t="s">
        <v>99</v>
      </c>
      <c r="M170" s="34" t="s">
        <v>153</v>
      </c>
      <c r="N170" s="34" t="s">
        <v>101</v>
      </c>
      <c r="O170" s="48" t="s">
        <v>114</v>
      </c>
      <c r="P170" s="48" t="s">
        <v>114</v>
      </c>
      <c r="Q170" s="48" t="s">
        <v>115</v>
      </c>
      <c r="R170" s="48" t="s">
        <v>435</v>
      </c>
      <c r="S170" s="44"/>
      <c r="T170" s="235"/>
      <c r="U170" s="48"/>
      <c r="V170" s="48" t="s">
        <v>157</v>
      </c>
      <c r="W170" s="212">
        <v>0.41666666666666669</v>
      </c>
      <c r="X170" s="213">
        <v>0</v>
      </c>
      <c r="Y170" s="210">
        <v>0</v>
      </c>
      <c r="Z170" s="210">
        <v>0.16666666666666666</v>
      </c>
      <c r="AA170" s="209">
        <v>0.31933449074074072</v>
      </c>
      <c r="AB170" s="44"/>
      <c r="AC170" s="17">
        <v>0</v>
      </c>
      <c r="AD170" s="17">
        <v>0</v>
      </c>
      <c r="AE170" s="17">
        <v>0</v>
      </c>
      <c r="AF170" s="17">
        <v>0</v>
      </c>
      <c r="AG170" s="208">
        <v>54.333333333333336</v>
      </c>
      <c r="AH170" s="209">
        <v>2.2639279023899079</v>
      </c>
      <c r="AI170" s="208">
        <v>652</v>
      </c>
    </row>
    <row r="171" spans="1:35" ht="14.45">
      <c r="A171" s="48">
        <v>169</v>
      </c>
      <c r="B171" s="5" t="s">
        <v>432</v>
      </c>
      <c r="C171" s="5" t="s">
        <v>944</v>
      </c>
      <c r="D171" s="5" t="s">
        <v>945</v>
      </c>
      <c r="E171" s="44"/>
      <c r="F171" s="34" t="s">
        <v>94</v>
      </c>
      <c r="G171" s="34" t="s">
        <v>95</v>
      </c>
      <c r="H171" s="34" t="s">
        <v>96</v>
      </c>
      <c r="I171" s="34"/>
      <c r="J171" s="34" t="s">
        <v>97</v>
      </c>
      <c r="K171" s="34" t="s">
        <v>98</v>
      </c>
      <c r="L171" s="34" t="s">
        <v>99</v>
      </c>
      <c r="M171" s="34" t="s">
        <v>153</v>
      </c>
      <c r="N171" s="34" t="s">
        <v>101</v>
      </c>
      <c r="O171" s="48" t="s">
        <v>102</v>
      </c>
      <c r="P171" s="48" t="s">
        <v>114</v>
      </c>
      <c r="Q171" s="48" t="s">
        <v>115</v>
      </c>
      <c r="R171" s="48" t="s">
        <v>435</v>
      </c>
      <c r="S171" s="44"/>
      <c r="T171" s="235"/>
      <c r="U171" s="48" t="s">
        <v>156</v>
      </c>
      <c r="V171" s="48" t="s">
        <v>157</v>
      </c>
      <c r="W171" s="212">
        <v>0</v>
      </c>
      <c r="X171" s="213">
        <v>0</v>
      </c>
      <c r="Y171" s="210">
        <v>0</v>
      </c>
      <c r="Z171" s="210">
        <v>0</v>
      </c>
      <c r="AA171" s="209">
        <v>0</v>
      </c>
      <c r="AB171" s="44"/>
      <c r="AC171" s="17">
        <v>0</v>
      </c>
      <c r="AD171" s="17">
        <v>0</v>
      </c>
      <c r="AE171" s="17">
        <v>0</v>
      </c>
      <c r="AF171" s="17">
        <v>0</v>
      </c>
      <c r="AG171" s="208">
        <v>45.833333333333336</v>
      </c>
      <c r="AH171" s="209">
        <v>13.276728701406165</v>
      </c>
      <c r="AI171" s="208">
        <v>550</v>
      </c>
    </row>
    <row r="172" spans="1:35" ht="14.45">
      <c r="A172" s="48">
        <v>170</v>
      </c>
      <c r="B172" s="5" t="s">
        <v>432</v>
      </c>
      <c r="C172" s="5" t="s">
        <v>946</v>
      </c>
      <c r="D172" s="5" t="s">
        <v>947</v>
      </c>
      <c r="E172" s="44"/>
      <c r="F172" s="34" t="s">
        <v>94</v>
      </c>
      <c r="G172" s="34" t="s">
        <v>128</v>
      </c>
      <c r="H172" s="34" t="s">
        <v>96</v>
      </c>
      <c r="I172" s="34"/>
      <c r="J172" s="34" t="s">
        <v>97</v>
      </c>
      <c r="K172" s="34" t="s">
        <v>98</v>
      </c>
      <c r="L172" s="34" t="s">
        <v>99</v>
      </c>
      <c r="M172" s="34" t="s">
        <v>153</v>
      </c>
      <c r="N172" s="34" t="s">
        <v>101</v>
      </c>
      <c r="O172" s="48" t="s">
        <v>102</v>
      </c>
      <c r="P172" s="48" t="s">
        <v>114</v>
      </c>
      <c r="Q172" s="48" t="s">
        <v>115</v>
      </c>
      <c r="R172" s="48" t="s">
        <v>435</v>
      </c>
      <c r="S172" s="44"/>
      <c r="T172" s="44"/>
      <c r="U172" s="44"/>
      <c r="V172" s="48" t="s">
        <v>157</v>
      </c>
      <c r="W172" s="212">
        <v>1.6666666666666667</v>
      </c>
      <c r="X172" s="213">
        <v>0.7</v>
      </c>
      <c r="Y172" s="210">
        <v>0.33333333333333331</v>
      </c>
      <c r="Z172" s="210">
        <v>8.3333333333333329E-2</v>
      </c>
      <c r="AA172" s="209">
        <v>1.0065269204389575</v>
      </c>
      <c r="AB172" s="44"/>
      <c r="AC172" s="17">
        <v>0</v>
      </c>
      <c r="AD172" s="17">
        <v>0</v>
      </c>
      <c r="AE172" s="17">
        <v>0</v>
      </c>
      <c r="AF172" s="17">
        <v>0</v>
      </c>
      <c r="AG172" s="208">
        <v>46.083333333333336</v>
      </c>
      <c r="AH172" s="209">
        <v>13.230201320470758</v>
      </c>
      <c r="AI172" s="208">
        <v>553</v>
      </c>
    </row>
    <row r="173" spans="1:35" ht="15.6">
      <c r="A173" s="48">
        <v>171</v>
      </c>
      <c r="B173" s="5" t="s">
        <v>440</v>
      </c>
      <c r="C173" s="5" t="s">
        <v>948</v>
      </c>
      <c r="D173" s="5" t="s">
        <v>949</v>
      </c>
      <c r="E173" s="34"/>
      <c r="F173" s="34" t="s">
        <v>94</v>
      </c>
      <c r="G173" s="227" t="s">
        <v>95</v>
      </c>
      <c r="H173" s="227" t="s">
        <v>554</v>
      </c>
      <c r="I173" s="227"/>
      <c r="J173" s="34" t="s">
        <v>97</v>
      </c>
      <c r="K173" s="227"/>
      <c r="L173" s="227" t="s">
        <v>456</v>
      </c>
      <c r="M173" s="228" t="s">
        <v>950</v>
      </c>
      <c r="N173" s="228" t="s">
        <v>101</v>
      </c>
      <c r="O173" s="228"/>
      <c r="P173" s="228" t="s">
        <v>452</v>
      </c>
      <c r="Q173" s="227"/>
      <c r="R173" s="48" t="s">
        <v>435</v>
      </c>
      <c r="S173" s="227" t="s">
        <v>116</v>
      </c>
      <c r="T173" s="227"/>
      <c r="U173" s="227"/>
      <c r="V173" s="227"/>
      <c r="W173" s="212">
        <v>1.4166666666666667</v>
      </c>
      <c r="X173" s="213">
        <v>0.70588235294117652</v>
      </c>
      <c r="Y173" s="210">
        <v>0</v>
      </c>
      <c r="Z173" s="210">
        <v>0.33333333333333331</v>
      </c>
      <c r="AA173" s="209">
        <v>0.62230902777777775</v>
      </c>
      <c r="AB173" s="44"/>
      <c r="AC173" s="17">
        <v>0</v>
      </c>
      <c r="AD173" s="17">
        <v>0</v>
      </c>
      <c r="AE173" s="17">
        <v>0</v>
      </c>
      <c r="AF173" s="17">
        <v>0</v>
      </c>
      <c r="AG173" s="208">
        <v>45.75</v>
      </c>
      <c r="AH173" s="209">
        <v>13.276717471969526</v>
      </c>
      <c r="AI173" s="208">
        <v>549</v>
      </c>
    </row>
    <row r="174" spans="1:35" ht="15.6">
      <c r="A174" s="48">
        <v>172</v>
      </c>
      <c r="B174" s="5" t="s">
        <v>440</v>
      </c>
      <c r="C174" s="5" t="s">
        <v>951</v>
      </c>
      <c r="D174" s="5" t="s">
        <v>952</v>
      </c>
      <c r="E174" s="34"/>
      <c r="F174" s="34" t="s">
        <v>94</v>
      </c>
      <c r="G174" s="227" t="s">
        <v>128</v>
      </c>
      <c r="H174" s="227" t="s">
        <v>548</v>
      </c>
      <c r="I174" s="227"/>
      <c r="J174" s="34" t="s">
        <v>97</v>
      </c>
      <c r="K174" s="227"/>
      <c r="L174" s="227" t="s">
        <v>456</v>
      </c>
      <c r="M174" s="228" t="s">
        <v>950</v>
      </c>
      <c r="N174" s="228" t="s">
        <v>101</v>
      </c>
      <c r="O174" s="228"/>
      <c r="P174" s="228" t="s">
        <v>452</v>
      </c>
      <c r="Q174" s="227"/>
      <c r="R174" s="48" t="s">
        <v>435</v>
      </c>
      <c r="S174" s="227" t="s">
        <v>116</v>
      </c>
      <c r="T174" s="227"/>
      <c r="U174" s="227"/>
      <c r="V174" s="227"/>
      <c r="W174" s="212">
        <v>3</v>
      </c>
      <c r="X174" s="213">
        <v>8.3333333333333329E-2</v>
      </c>
      <c r="Y174" s="210">
        <v>0.25</v>
      </c>
      <c r="Z174" s="210">
        <v>0.58333333333333337</v>
      </c>
      <c r="AA174" s="209">
        <v>2.8160638503086424</v>
      </c>
      <c r="AB174" s="44"/>
      <c r="AC174" s="17">
        <v>0</v>
      </c>
      <c r="AD174" s="17">
        <v>0</v>
      </c>
      <c r="AE174" s="17">
        <v>0</v>
      </c>
      <c r="AF174" s="17">
        <v>0</v>
      </c>
      <c r="AG174" s="208">
        <v>98.833333333333329</v>
      </c>
      <c r="AH174" s="209">
        <v>6.8533109622847794</v>
      </c>
      <c r="AI174" s="208">
        <v>1186</v>
      </c>
    </row>
    <row r="175" spans="1:35" ht="15.6">
      <c r="A175" s="48">
        <v>173</v>
      </c>
      <c r="B175" s="5" t="s">
        <v>440</v>
      </c>
      <c r="C175" s="5" t="s">
        <v>953</v>
      </c>
      <c r="D175" s="5" t="s">
        <v>954</v>
      </c>
      <c r="E175" s="34"/>
      <c r="F175" s="34" t="s">
        <v>94</v>
      </c>
      <c r="G175" s="227" t="s">
        <v>95</v>
      </c>
      <c r="H175" s="227" t="s">
        <v>554</v>
      </c>
      <c r="I175" s="227"/>
      <c r="J175" s="34" t="s">
        <v>97</v>
      </c>
      <c r="K175" s="227"/>
      <c r="L175" s="227" t="s">
        <v>456</v>
      </c>
      <c r="M175" s="228" t="s">
        <v>950</v>
      </c>
      <c r="N175" s="228" t="s">
        <v>101</v>
      </c>
      <c r="O175" s="228"/>
      <c r="P175" s="228" t="s">
        <v>452</v>
      </c>
      <c r="Q175" s="227"/>
      <c r="R175" s="48" t="s">
        <v>435</v>
      </c>
      <c r="S175" s="227" t="s">
        <v>116</v>
      </c>
      <c r="T175" s="227"/>
      <c r="U175" s="227"/>
      <c r="V175" s="227"/>
      <c r="W175" s="212">
        <v>0.75</v>
      </c>
      <c r="X175" s="213">
        <v>0.1111111111111111</v>
      </c>
      <c r="Y175" s="210">
        <v>0</v>
      </c>
      <c r="Z175" s="210">
        <v>0.16666666666666666</v>
      </c>
      <c r="AA175" s="209">
        <v>0.49155423280423277</v>
      </c>
      <c r="AB175" s="44"/>
      <c r="AC175" s="17">
        <v>0</v>
      </c>
      <c r="AD175" s="17">
        <v>0</v>
      </c>
      <c r="AE175" s="17">
        <v>0</v>
      </c>
      <c r="AF175" s="17">
        <v>0</v>
      </c>
      <c r="AG175" s="208">
        <v>8.9166666666666661</v>
      </c>
      <c r="AH175" s="209">
        <v>8.054564839975848</v>
      </c>
      <c r="AI175" s="208">
        <v>107</v>
      </c>
    </row>
    <row r="176" spans="1:35" ht="15.6">
      <c r="A176" s="48">
        <v>174</v>
      </c>
      <c r="B176" s="5" t="s">
        <v>440</v>
      </c>
      <c r="C176" s="5" t="s">
        <v>955</v>
      </c>
      <c r="D176" s="5" t="s">
        <v>956</v>
      </c>
      <c r="E176" s="34"/>
      <c r="F176" s="34" t="s">
        <v>94</v>
      </c>
      <c r="G176" s="227" t="s">
        <v>128</v>
      </c>
      <c r="H176" s="227" t="s">
        <v>548</v>
      </c>
      <c r="I176" s="227"/>
      <c r="J176" s="34" t="s">
        <v>97</v>
      </c>
      <c r="K176" s="227"/>
      <c r="L176" s="227" t="s">
        <v>456</v>
      </c>
      <c r="M176" s="228"/>
      <c r="N176" s="228" t="s">
        <v>101</v>
      </c>
      <c r="O176" s="228"/>
      <c r="P176" s="228" t="s">
        <v>452</v>
      </c>
      <c r="Q176" s="48" t="s">
        <v>115</v>
      </c>
      <c r="R176" s="48" t="s">
        <v>435</v>
      </c>
      <c r="S176" s="227" t="s">
        <v>116</v>
      </c>
      <c r="T176" s="227" t="s">
        <v>439</v>
      </c>
      <c r="U176" s="48" t="s">
        <v>156</v>
      </c>
      <c r="V176" s="227"/>
      <c r="W176" s="212">
        <v>2.4166666666666665</v>
      </c>
      <c r="X176" s="213">
        <v>0</v>
      </c>
      <c r="Y176" s="210">
        <v>0.16666666666666666</v>
      </c>
      <c r="Z176" s="210">
        <v>0.66666666666666663</v>
      </c>
      <c r="AA176" s="209">
        <v>4.5934239969135797</v>
      </c>
      <c r="AB176" s="44"/>
      <c r="AC176" s="17">
        <v>0</v>
      </c>
      <c r="AD176" s="17">
        <v>0</v>
      </c>
      <c r="AE176" s="17">
        <v>0</v>
      </c>
      <c r="AF176" s="17">
        <v>0</v>
      </c>
      <c r="AG176" s="208">
        <v>51</v>
      </c>
      <c r="AH176" s="209">
        <v>4.5819950779205234</v>
      </c>
      <c r="AI176" s="208">
        <v>612</v>
      </c>
    </row>
    <row r="177" spans="1:35" ht="15.6">
      <c r="A177" s="48">
        <v>175</v>
      </c>
      <c r="B177" s="5" t="s">
        <v>440</v>
      </c>
      <c r="C177" s="5" t="s">
        <v>957</v>
      </c>
      <c r="D177" s="5" t="s">
        <v>958</v>
      </c>
      <c r="E177" s="34"/>
      <c r="F177" s="34" t="s">
        <v>94</v>
      </c>
      <c r="G177" s="227" t="s">
        <v>95</v>
      </c>
      <c r="H177" s="227" t="s">
        <v>554</v>
      </c>
      <c r="I177" s="227"/>
      <c r="J177" s="34" t="s">
        <v>97</v>
      </c>
      <c r="K177" s="227"/>
      <c r="L177" s="227" t="s">
        <v>456</v>
      </c>
      <c r="M177" s="228"/>
      <c r="N177" s="228" t="s">
        <v>113</v>
      </c>
      <c r="O177" s="228"/>
      <c r="P177" s="228" t="s">
        <v>452</v>
      </c>
      <c r="Q177" s="227"/>
      <c r="R177" s="227"/>
      <c r="S177" s="227"/>
      <c r="T177" s="227"/>
      <c r="U177" s="227"/>
      <c r="V177" s="227"/>
      <c r="W177" s="212">
        <v>13.5</v>
      </c>
      <c r="X177" s="213">
        <v>6.1728395061728392E-2</v>
      </c>
      <c r="Y177" s="210">
        <v>8.3333333333333329E-2</v>
      </c>
      <c r="Z177" s="210">
        <v>1.3333333333333333</v>
      </c>
      <c r="AA177" s="209">
        <v>3.9413673941798955</v>
      </c>
      <c r="AB177" s="44"/>
      <c r="AC177" s="17">
        <v>0</v>
      </c>
      <c r="AD177" s="17">
        <v>0</v>
      </c>
      <c r="AE177" s="17">
        <v>0</v>
      </c>
      <c r="AF177" s="17">
        <v>0</v>
      </c>
      <c r="AG177" s="208">
        <v>0.25</v>
      </c>
      <c r="AH177" s="209">
        <v>2.0790470679012345</v>
      </c>
      <c r="AI177" s="208">
        <v>3</v>
      </c>
    </row>
    <row r="178" spans="1:35" ht="15.6">
      <c r="A178" s="48">
        <v>176</v>
      </c>
      <c r="B178" s="5" t="s">
        <v>440</v>
      </c>
      <c r="C178" s="5" t="s">
        <v>959</v>
      </c>
      <c r="D178" s="5" t="s">
        <v>960</v>
      </c>
      <c r="E178" s="44"/>
      <c r="F178" s="34" t="s">
        <v>94</v>
      </c>
      <c r="G178" s="227" t="s">
        <v>95</v>
      </c>
      <c r="H178" s="227" t="s">
        <v>554</v>
      </c>
      <c r="I178" s="44"/>
      <c r="J178" s="227" t="s">
        <v>463</v>
      </c>
      <c r="K178" s="227"/>
      <c r="L178" s="227" t="s">
        <v>558</v>
      </c>
      <c r="M178" s="230"/>
      <c r="N178" s="230" t="s">
        <v>101</v>
      </c>
      <c r="O178" s="230"/>
      <c r="P178" s="230" t="s">
        <v>452</v>
      </c>
      <c r="Q178" s="227" t="s">
        <v>564</v>
      </c>
      <c r="R178" s="227"/>
      <c r="S178" s="227"/>
      <c r="T178" s="227"/>
      <c r="U178" s="227"/>
      <c r="V178" s="227"/>
      <c r="W178" s="212">
        <v>8.3333333333333329E-2</v>
      </c>
      <c r="X178" s="213">
        <v>0</v>
      </c>
      <c r="Y178" s="210">
        <v>0</v>
      </c>
      <c r="Z178" s="210">
        <v>0</v>
      </c>
      <c r="AA178" s="209">
        <v>0</v>
      </c>
      <c r="AB178" s="44"/>
      <c r="AC178" s="17">
        <v>0</v>
      </c>
      <c r="AD178" s="17">
        <v>0</v>
      </c>
      <c r="AE178" s="17">
        <v>0</v>
      </c>
      <c r="AF178" s="17">
        <v>0</v>
      </c>
      <c r="AG178" s="208">
        <v>0</v>
      </c>
      <c r="AH178" s="209">
        <v>0</v>
      </c>
      <c r="AI178" s="208">
        <v>0</v>
      </c>
    </row>
    <row r="179" spans="1:35" ht="15.6">
      <c r="A179" s="48">
        <v>177</v>
      </c>
      <c r="B179" s="5" t="s">
        <v>440</v>
      </c>
      <c r="C179" s="5" t="s">
        <v>961</v>
      </c>
      <c r="D179" s="5" t="s">
        <v>962</v>
      </c>
      <c r="E179" s="44"/>
      <c r="F179" s="34" t="s">
        <v>94</v>
      </c>
      <c r="G179" s="227" t="s">
        <v>141</v>
      </c>
      <c r="H179" s="227" t="s">
        <v>443</v>
      </c>
      <c r="I179" s="227"/>
      <c r="J179" s="227" t="s">
        <v>463</v>
      </c>
      <c r="K179" s="227"/>
      <c r="L179" s="227" t="s">
        <v>172</v>
      </c>
      <c r="M179" s="230" t="s">
        <v>569</v>
      </c>
      <c r="N179" s="230" t="s">
        <v>101</v>
      </c>
      <c r="O179" s="230" t="s">
        <v>445</v>
      </c>
      <c r="P179" s="44" t="s">
        <v>445</v>
      </c>
      <c r="Q179" s="227" t="s">
        <v>545</v>
      </c>
      <c r="R179" s="48"/>
      <c r="S179" s="227" t="s">
        <v>493</v>
      </c>
      <c r="T179" s="227"/>
      <c r="U179" s="227"/>
      <c r="V179" s="227"/>
      <c r="W179" s="212">
        <v>17.166666666666668</v>
      </c>
      <c r="X179" s="213">
        <v>1.9417475728155338E-2</v>
      </c>
      <c r="Y179" s="210">
        <v>1.1666666666666667</v>
      </c>
      <c r="Z179" s="210">
        <v>5</v>
      </c>
      <c r="AA179" s="209">
        <v>2.2684169444444438</v>
      </c>
      <c r="AB179" s="44"/>
      <c r="AC179" s="17">
        <v>0</v>
      </c>
      <c r="AD179" s="17">
        <v>0</v>
      </c>
      <c r="AE179" s="17">
        <v>0</v>
      </c>
      <c r="AF179" s="17">
        <v>0</v>
      </c>
      <c r="AG179" s="208">
        <v>68.083333333333329</v>
      </c>
      <c r="AH179" s="209">
        <v>10.892662968074571</v>
      </c>
      <c r="AI179" s="208">
        <v>817</v>
      </c>
    </row>
    <row r="180" spans="1:35" ht="15.6">
      <c r="A180" s="48">
        <v>178</v>
      </c>
      <c r="B180" s="5" t="s">
        <v>440</v>
      </c>
      <c r="C180" s="5" t="s">
        <v>963</v>
      </c>
      <c r="D180" s="5" t="s">
        <v>964</v>
      </c>
      <c r="E180" s="44"/>
      <c r="F180" s="34" t="s">
        <v>94</v>
      </c>
      <c r="G180" s="227" t="s">
        <v>95</v>
      </c>
      <c r="H180" s="227" t="s">
        <v>554</v>
      </c>
      <c r="I180" s="227"/>
      <c r="J180" s="227" t="s">
        <v>444</v>
      </c>
      <c r="K180" s="227"/>
      <c r="L180" s="227" t="s">
        <v>456</v>
      </c>
      <c r="M180" s="230" t="s">
        <v>457</v>
      </c>
      <c r="N180" s="230" t="s">
        <v>101</v>
      </c>
      <c r="O180" s="230"/>
      <c r="P180" s="230" t="s">
        <v>452</v>
      </c>
      <c r="Q180" s="227"/>
      <c r="R180" s="227"/>
      <c r="S180" s="227"/>
      <c r="T180" s="227"/>
      <c r="U180" s="227"/>
      <c r="V180" s="227"/>
      <c r="W180" s="212">
        <v>4.083333333333333</v>
      </c>
      <c r="X180" s="213">
        <v>0</v>
      </c>
      <c r="Y180" s="210">
        <v>8.3333333333333329E-2</v>
      </c>
      <c r="Z180" s="210">
        <v>8.3333333333333329E-2</v>
      </c>
      <c r="AA180" s="209">
        <v>3.0198292316439255</v>
      </c>
      <c r="AB180" s="44"/>
      <c r="AC180" s="17">
        <v>0</v>
      </c>
      <c r="AD180" s="17">
        <v>0</v>
      </c>
      <c r="AE180" s="17">
        <v>0</v>
      </c>
      <c r="AF180" s="17">
        <v>0</v>
      </c>
      <c r="AG180" s="208">
        <v>8.3333333333333329E-2</v>
      </c>
      <c r="AH180" s="209">
        <v>5.4280902777777778</v>
      </c>
      <c r="AI180" s="208">
        <v>1</v>
      </c>
    </row>
    <row r="181" spans="1:35" ht="15.6">
      <c r="A181" s="48">
        <v>179</v>
      </c>
      <c r="B181" s="5" t="s">
        <v>440</v>
      </c>
      <c r="C181" s="5" t="s">
        <v>965</v>
      </c>
      <c r="D181" s="5" t="s">
        <v>966</v>
      </c>
      <c r="E181" s="44"/>
      <c r="F181" s="34" t="s">
        <v>94</v>
      </c>
      <c r="G181" s="227" t="s">
        <v>128</v>
      </c>
      <c r="H181" s="227" t="s">
        <v>443</v>
      </c>
      <c r="I181" s="227"/>
      <c r="J181" s="227" t="s">
        <v>585</v>
      </c>
      <c r="K181" s="227"/>
      <c r="L181" s="227" t="s">
        <v>456</v>
      </c>
      <c r="M181" s="228" t="s">
        <v>457</v>
      </c>
      <c r="N181" s="228" t="s">
        <v>101</v>
      </c>
      <c r="O181" s="228"/>
      <c r="P181" s="228" t="s">
        <v>452</v>
      </c>
      <c r="Q181" s="227"/>
      <c r="R181" s="227"/>
      <c r="S181" s="227" t="s">
        <v>493</v>
      </c>
      <c r="T181" s="227"/>
      <c r="U181" s="227"/>
      <c r="V181" s="227"/>
      <c r="W181" s="212">
        <v>2.1666666666666665</v>
      </c>
      <c r="X181" s="213">
        <v>3.8461538461538464E-2</v>
      </c>
      <c r="Y181" s="210">
        <v>0.33333333333333331</v>
      </c>
      <c r="Z181" s="210">
        <v>1.1666666666666667</v>
      </c>
      <c r="AA181" s="209">
        <v>2.767986111111111</v>
      </c>
      <c r="AB181" s="44"/>
      <c r="AC181" s="17">
        <v>0</v>
      </c>
      <c r="AD181" s="17">
        <v>0</v>
      </c>
      <c r="AE181" s="17">
        <v>0</v>
      </c>
      <c r="AF181" s="17">
        <v>0</v>
      </c>
      <c r="AG181" s="208">
        <v>38.916666666666664</v>
      </c>
      <c r="AH181" s="209">
        <v>3.4302194643806496</v>
      </c>
      <c r="AI181" s="208">
        <v>467</v>
      </c>
    </row>
    <row r="182" spans="1:35" ht="15.6">
      <c r="A182" s="48">
        <v>180</v>
      </c>
      <c r="B182" s="5" t="s">
        <v>440</v>
      </c>
      <c r="C182" s="5" t="s">
        <v>967</v>
      </c>
      <c r="D182" s="5" t="s">
        <v>968</v>
      </c>
      <c r="E182" s="44"/>
      <c r="F182" s="34" t="s">
        <v>94</v>
      </c>
      <c r="G182" s="227" t="s">
        <v>95</v>
      </c>
      <c r="H182" s="227" t="s">
        <v>554</v>
      </c>
      <c r="I182" s="227"/>
      <c r="J182" s="227" t="s">
        <v>245</v>
      </c>
      <c r="K182" s="227"/>
      <c r="L182" s="227" t="s">
        <v>558</v>
      </c>
      <c r="M182" s="228" t="s">
        <v>569</v>
      </c>
      <c r="N182" s="228" t="s">
        <v>101</v>
      </c>
      <c r="O182" s="228"/>
      <c r="P182" s="228" t="s">
        <v>452</v>
      </c>
      <c r="Q182" s="227"/>
      <c r="R182" s="227"/>
      <c r="S182" s="227"/>
      <c r="T182" s="227"/>
      <c r="U182" s="227"/>
      <c r="V182" s="227"/>
      <c r="W182" s="212">
        <v>0.25</v>
      </c>
      <c r="X182" s="213">
        <v>0</v>
      </c>
      <c r="Y182" s="210">
        <v>0.16666666666666666</v>
      </c>
      <c r="Z182" s="210">
        <v>0</v>
      </c>
      <c r="AA182" s="209">
        <v>5.5196141975308644</v>
      </c>
      <c r="AB182" s="44"/>
      <c r="AC182" s="17">
        <v>1</v>
      </c>
      <c r="AD182" s="17">
        <v>0</v>
      </c>
      <c r="AE182" s="17">
        <v>0</v>
      </c>
      <c r="AF182" s="17">
        <v>0</v>
      </c>
      <c r="AG182" s="208">
        <v>0.25</v>
      </c>
      <c r="AH182" s="209">
        <v>4.9390123456790134</v>
      </c>
      <c r="AI182" s="208">
        <v>3</v>
      </c>
    </row>
    <row r="183" spans="1:35" ht="15.6">
      <c r="A183" s="48">
        <v>181</v>
      </c>
      <c r="B183" s="5" t="s">
        <v>440</v>
      </c>
      <c r="C183" s="5" t="s">
        <v>969</v>
      </c>
      <c r="D183" s="5" t="s">
        <v>970</v>
      </c>
      <c r="E183" s="44"/>
      <c r="F183" s="34" t="s">
        <v>94</v>
      </c>
      <c r="G183" s="227" t="s">
        <v>95</v>
      </c>
      <c r="H183" s="227" t="s">
        <v>554</v>
      </c>
      <c r="I183" s="227"/>
      <c r="J183" s="227" t="s">
        <v>585</v>
      </c>
      <c r="K183" s="227"/>
      <c r="L183" s="227" t="s">
        <v>456</v>
      </c>
      <c r="M183" s="230" t="s">
        <v>569</v>
      </c>
      <c r="N183" s="230" t="s">
        <v>101</v>
      </c>
      <c r="O183" s="230"/>
      <c r="P183" s="230" t="s">
        <v>452</v>
      </c>
      <c r="Q183" s="227"/>
      <c r="R183" s="227"/>
      <c r="S183" s="227"/>
      <c r="T183" s="227"/>
      <c r="U183" s="227"/>
      <c r="V183" s="227"/>
      <c r="W183" s="212">
        <v>8.3333333333333329E-2</v>
      </c>
      <c r="X183" s="213">
        <v>0</v>
      </c>
      <c r="Y183" s="210">
        <v>0</v>
      </c>
      <c r="Z183" s="210">
        <v>0</v>
      </c>
      <c r="AA183" s="209">
        <v>0</v>
      </c>
      <c r="AB183" s="44"/>
      <c r="AC183" s="17">
        <v>0</v>
      </c>
      <c r="AD183" s="17">
        <v>0</v>
      </c>
      <c r="AE183" s="17">
        <v>0</v>
      </c>
      <c r="AF183" s="17">
        <v>0</v>
      </c>
      <c r="AG183" s="208">
        <v>108</v>
      </c>
      <c r="AH183" s="209">
        <v>6.9691138155482335</v>
      </c>
      <c r="AI183" s="208">
        <v>1296</v>
      </c>
    </row>
    <row r="184" spans="1:35" ht="15.6">
      <c r="A184" s="48">
        <v>182</v>
      </c>
      <c r="B184" s="5" t="s">
        <v>440</v>
      </c>
      <c r="C184" s="5" t="s">
        <v>971</v>
      </c>
      <c r="D184" s="5" t="s">
        <v>972</v>
      </c>
      <c r="E184" s="44"/>
      <c r="F184" s="34" t="s">
        <v>94</v>
      </c>
      <c r="G184" s="227" t="s">
        <v>95</v>
      </c>
      <c r="H184" s="227" t="s">
        <v>554</v>
      </c>
      <c r="I184" s="227"/>
      <c r="J184" s="227" t="s">
        <v>973</v>
      </c>
      <c r="K184" s="227"/>
      <c r="L184" s="227" t="s">
        <v>456</v>
      </c>
      <c r="M184" s="230" t="s">
        <v>457</v>
      </c>
      <c r="N184" s="230" t="s">
        <v>101</v>
      </c>
      <c r="O184" s="230"/>
      <c r="P184" s="230" t="s">
        <v>561</v>
      </c>
      <c r="Q184" s="227" t="s">
        <v>492</v>
      </c>
      <c r="R184" s="227"/>
      <c r="S184" s="227"/>
      <c r="T184" s="227"/>
      <c r="U184" s="227"/>
      <c r="V184" s="227"/>
      <c r="W184" s="212">
        <v>1.0833333333333333</v>
      </c>
      <c r="X184" s="213">
        <v>0</v>
      </c>
      <c r="Y184" s="210">
        <v>8.3333333333333329E-2</v>
      </c>
      <c r="Z184" s="210">
        <v>8.3333333333333329E-2</v>
      </c>
      <c r="AA184" s="209">
        <v>1.062337962962963</v>
      </c>
      <c r="AB184" s="44"/>
      <c r="AC184" s="17">
        <v>0</v>
      </c>
      <c r="AD184" s="17">
        <v>0</v>
      </c>
      <c r="AE184" s="17">
        <v>0</v>
      </c>
      <c r="AF184" s="17">
        <v>0</v>
      </c>
      <c r="AG184" s="208">
        <v>0.33333333333333331</v>
      </c>
      <c r="AH184" s="209">
        <v>6.4335243055555553</v>
      </c>
      <c r="AI184" s="208">
        <v>4</v>
      </c>
    </row>
    <row r="185" spans="1:35" ht="15.6">
      <c r="A185" s="48">
        <v>183</v>
      </c>
      <c r="B185" s="5" t="s">
        <v>440</v>
      </c>
      <c r="C185" s="5" t="s">
        <v>974</v>
      </c>
      <c r="D185" s="5" t="s">
        <v>975</v>
      </c>
      <c r="E185" s="44"/>
      <c r="F185" s="34" t="s">
        <v>94</v>
      </c>
      <c r="G185" s="227" t="s">
        <v>95</v>
      </c>
      <c r="H185" s="227" t="s">
        <v>554</v>
      </c>
      <c r="I185" s="227"/>
      <c r="J185" s="227" t="s">
        <v>612</v>
      </c>
      <c r="K185" s="227"/>
      <c r="L185" s="227" t="s">
        <v>558</v>
      </c>
      <c r="M185" s="228"/>
      <c r="N185" s="228" t="s">
        <v>101</v>
      </c>
      <c r="O185" s="228"/>
      <c r="P185" s="228" t="s">
        <v>452</v>
      </c>
      <c r="Q185" s="227"/>
      <c r="R185" s="227"/>
      <c r="S185" s="227"/>
      <c r="T185" s="227"/>
      <c r="U185" s="227"/>
      <c r="V185" s="227"/>
      <c r="W185" s="212">
        <v>52.166666666666664</v>
      </c>
      <c r="X185" s="213">
        <v>1.5974440894568689E-3</v>
      </c>
      <c r="Y185" s="210">
        <v>8.3333333333333329E-2</v>
      </c>
      <c r="Z185" s="210">
        <v>1</v>
      </c>
      <c r="AA185" s="209">
        <v>3.2841697199500102</v>
      </c>
      <c r="AB185" s="44"/>
      <c r="AC185" s="17">
        <v>4</v>
      </c>
      <c r="AD185" s="17">
        <v>0</v>
      </c>
      <c r="AE185" s="17">
        <v>0</v>
      </c>
      <c r="AF185" s="17">
        <v>0</v>
      </c>
      <c r="AG185" s="208">
        <v>65.166666666666671</v>
      </c>
      <c r="AH185" s="209">
        <v>9.0477706119815426</v>
      </c>
      <c r="AI185" s="208">
        <v>782</v>
      </c>
    </row>
    <row r="186" spans="1:35" ht="15.6">
      <c r="A186" s="48">
        <v>184</v>
      </c>
      <c r="B186" s="5" t="s">
        <v>440</v>
      </c>
      <c r="C186" s="5" t="s">
        <v>976</v>
      </c>
      <c r="D186" s="5" t="s">
        <v>977</v>
      </c>
      <c r="E186" s="44"/>
      <c r="F186" s="34" t="s">
        <v>94</v>
      </c>
      <c r="G186" s="227" t="s">
        <v>141</v>
      </c>
      <c r="H186" s="227" t="s">
        <v>443</v>
      </c>
      <c r="I186" s="227"/>
      <c r="J186" s="227" t="s">
        <v>481</v>
      </c>
      <c r="K186" s="227"/>
      <c r="L186" s="227" t="s">
        <v>456</v>
      </c>
      <c r="M186" s="228" t="s">
        <v>457</v>
      </c>
      <c r="N186" s="228" t="s">
        <v>113</v>
      </c>
      <c r="O186" s="228"/>
      <c r="P186" s="228" t="s">
        <v>452</v>
      </c>
      <c r="Q186" s="227"/>
      <c r="R186" s="227"/>
      <c r="S186" s="227" t="s">
        <v>493</v>
      </c>
      <c r="T186" s="227"/>
      <c r="U186" s="227"/>
      <c r="V186" s="227"/>
      <c r="W186" s="212">
        <v>0.25</v>
      </c>
      <c r="X186" s="213">
        <v>0</v>
      </c>
      <c r="Y186" s="210">
        <v>0.16666666666666666</v>
      </c>
      <c r="Z186" s="210">
        <v>0</v>
      </c>
      <c r="AA186" s="209">
        <v>0.60686921296296292</v>
      </c>
      <c r="AB186" s="44"/>
      <c r="AC186" s="17">
        <v>0</v>
      </c>
      <c r="AD186" s="17">
        <v>0</v>
      </c>
      <c r="AE186" s="17">
        <v>0</v>
      </c>
      <c r="AF186" s="17">
        <v>0</v>
      </c>
      <c r="AG186" s="208">
        <v>13.333333333333334</v>
      </c>
      <c r="AH186" s="209">
        <v>8.4459605611250304</v>
      </c>
      <c r="AI186" s="208">
        <v>160</v>
      </c>
    </row>
    <row r="187" spans="1:35" ht="15.6">
      <c r="A187" s="48">
        <v>185</v>
      </c>
      <c r="B187" s="5" t="s">
        <v>440</v>
      </c>
      <c r="C187" s="5" t="s">
        <v>978</v>
      </c>
      <c r="D187" s="5" t="s">
        <v>979</v>
      </c>
      <c r="E187" s="44"/>
      <c r="F187" s="34" t="s">
        <v>94</v>
      </c>
      <c r="G187" s="227" t="s">
        <v>141</v>
      </c>
      <c r="H187" s="227" t="s">
        <v>548</v>
      </c>
      <c r="I187" s="227"/>
      <c r="J187" s="227" t="s">
        <v>612</v>
      </c>
      <c r="K187" s="227"/>
      <c r="L187" s="227" t="s">
        <v>456</v>
      </c>
      <c r="M187" s="228" t="s">
        <v>457</v>
      </c>
      <c r="N187" s="228" t="s">
        <v>101</v>
      </c>
      <c r="O187" s="228"/>
      <c r="P187" s="228" t="s">
        <v>452</v>
      </c>
      <c r="Q187" s="227"/>
      <c r="R187" s="48" t="s">
        <v>435</v>
      </c>
      <c r="S187" s="227" t="s">
        <v>116</v>
      </c>
      <c r="T187" s="227"/>
      <c r="U187" s="227"/>
      <c r="V187" s="227"/>
      <c r="W187" s="212">
        <v>0.83333333333333337</v>
      </c>
      <c r="X187" s="213">
        <v>0.8</v>
      </c>
      <c r="Y187" s="210">
        <v>0</v>
      </c>
      <c r="Z187" s="210">
        <v>0</v>
      </c>
      <c r="AA187" s="209">
        <v>1.1788927469135801</v>
      </c>
      <c r="AB187" s="44"/>
      <c r="AC187" s="17">
        <v>0</v>
      </c>
      <c r="AD187" s="17">
        <v>0</v>
      </c>
      <c r="AE187" s="17">
        <v>0</v>
      </c>
      <c r="AF187" s="17">
        <v>0</v>
      </c>
      <c r="AG187" s="208">
        <v>45.916666666666664</v>
      </c>
      <c r="AH187" s="209">
        <v>13.215119170096065</v>
      </c>
      <c r="AI187" s="208">
        <v>551</v>
      </c>
    </row>
    <row r="188" spans="1:35" ht="15.6">
      <c r="A188" s="48">
        <v>186</v>
      </c>
      <c r="B188" s="5" t="s">
        <v>440</v>
      </c>
      <c r="C188" s="5" t="s">
        <v>479</v>
      </c>
      <c r="D188" s="5" t="s">
        <v>480</v>
      </c>
      <c r="E188" s="44"/>
      <c r="F188" s="34" t="s">
        <v>94</v>
      </c>
      <c r="G188" s="227" t="s">
        <v>141</v>
      </c>
      <c r="H188" s="227" t="s">
        <v>443</v>
      </c>
      <c r="I188" s="227"/>
      <c r="J188" s="227" t="s">
        <v>481</v>
      </c>
      <c r="K188" s="227"/>
      <c r="L188" s="227" t="s">
        <v>456</v>
      </c>
      <c r="M188" s="228" t="s">
        <v>457</v>
      </c>
      <c r="N188" s="228" t="s">
        <v>101</v>
      </c>
      <c r="O188" s="228"/>
      <c r="P188" s="228" t="s">
        <v>452</v>
      </c>
      <c r="Q188" s="227"/>
      <c r="R188" s="48" t="s">
        <v>435</v>
      </c>
      <c r="S188" s="227" t="s">
        <v>116</v>
      </c>
      <c r="T188" s="227"/>
      <c r="U188" s="227"/>
      <c r="V188" s="227"/>
      <c r="W188" s="212">
        <v>24.25</v>
      </c>
      <c r="X188" s="213">
        <v>0.10309278350515463</v>
      </c>
      <c r="Y188" s="210">
        <v>0.58333333333333337</v>
      </c>
      <c r="Z188" s="210">
        <v>3.1666666666666665</v>
      </c>
      <c r="AA188" s="209">
        <v>4.6179989947898976</v>
      </c>
      <c r="AB188" s="44"/>
      <c r="AC188" s="17">
        <v>1</v>
      </c>
      <c r="AD188" s="17">
        <v>0</v>
      </c>
      <c r="AE188" s="17">
        <v>0</v>
      </c>
      <c r="AF188" s="17">
        <v>0</v>
      </c>
      <c r="AG188" s="208">
        <v>72.333333333333329</v>
      </c>
      <c r="AH188" s="209">
        <v>8.1493045455147737</v>
      </c>
      <c r="AI188" s="208">
        <v>868</v>
      </c>
    </row>
    <row r="189" spans="1:35" ht="15.6">
      <c r="A189" s="48">
        <v>187</v>
      </c>
      <c r="B189" s="5" t="s">
        <v>440</v>
      </c>
      <c r="C189" s="5" t="s">
        <v>980</v>
      </c>
      <c r="D189" s="5" t="s">
        <v>981</v>
      </c>
      <c r="E189" s="44"/>
      <c r="F189" s="34" t="s">
        <v>94</v>
      </c>
      <c r="G189" s="227" t="s">
        <v>95</v>
      </c>
      <c r="H189" s="227" t="s">
        <v>554</v>
      </c>
      <c r="I189" s="227"/>
      <c r="J189" s="227" t="s">
        <v>585</v>
      </c>
      <c r="K189" s="227"/>
      <c r="L189" s="227" t="s">
        <v>456</v>
      </c>
      <c r="M189" s="228" t="s">
        <v>569</v>
      </c>
      <c r="N189" s="228" t="s">
        <v>101</v>
      </c>
      <c r="O189" s="228"/>
      <c r="P189" s="228" t="s">
        <v>452</v>
      </c>
      <c r="Q189" s="227"/>
      <c r="R189" s="48" t="s">
        <v>435</v>
      </c>
      <c r="S189" s="227" t="s">
        <v>982</v>
      </c>
      <c r="T189" s="227"/>
      <c r="U189" s="227"/>
      <c r="V189" s="227"/>
      <c r="W189" s="212">
        <v>1.4166666666666667</v>
      </c>
      <c r="X189" s="213">
        <v>5.8823529411764705E-2</v>
      </c>
      <c r="Y189" s="210">
        <v>0.25</v>
      </c>
      <c r="Z189" s="210">
        <v>0.58333333333333337</v>
      </c>
      <c r="AA189" s="209">
        <v>3.4802256944444445</v>
      </c>
      <c r="AB189" s="44"/>
      <c r="AC189" s="17">
        <v>0</v>
      </c>
      <c r="AD189" s="17">
        <v>0</v>
      </c>
      <c r="AE189" s="17">
        <v>0</v>
      </c>
      <c r="AF189" s="17">
        <v>0</v>
      </c>
      <c r="AG189" s="208">
        <v>78.75</v>
      </c>
      <c r="AH189" s="209">
        <v>9.1077981252024838</v>
      </c>
      <c r="AI189" s="208">
        <v>945</v>
      </c>
    </row>
    <row r="190" spans="1:35" ht="15.6">
      <c r="A190" s="48">
        <v>188</v>
      </c>
      <c r="B190" s="5" t="s">
        <v>440</v>
      </c>
      <c r="C190" s="5" t="s">
        <v>983</v>
      </c>
      <c r="D190" s="5" t="s">
        <v>984</v>
      </c>
      <c r="E190" s="44"/>
      <c r="F190" s="34" t="s">
        <v>94</v>
      </c>
      <c r="G190" s="227" t="s">
        <v>141</v>
      </c>
      <c r="H190" s="227" t="s">
        <v>443</v>
      </c>
      <c r="I190" s="227"/>
      <c r="J190" s="227" t="s">
        <v>585</v>
      </c>
      <c r="K190" s="227"/>
      <c r="L190" s="227" t="s">
        <v>172</v>
      </c>
      <c r="M190" s="228" t="s">
        <v>457</v>
      </c>
      <c r="N190" s="228" t="s">
        <v>113</v>
      </c>
      <c r="O190" s="228" t="s">
        <v>445</v>
      </c>
      <c r="P190" s="228" t="s">
        <v>445</v>
      </c>
      <c r="Q190" s="227" t="s">
        <v>545</v>
      </c>
      <c r="R190" s="48"/>
      <c r="S190" s="44" t="s">
        <v>493</v>
      </c>
      <c r="T190" s="227"/>
      <c r="U190" s="227"/>
      <c r="V190" s="227"/>
      <c r="W190" s="212">
        <v>48.583333333333336</v>
      </c>
      <c r="X190" s="213">
        <v>2.4013722126929673E-2</v>
      </c>
      <c r="Y190" s="210">
        <v>2.0833333333333335</v>
      </c>
      <c r="Z190" s="210">
        <v>24.916666666666668</v>
      </c>
      <c r="AA190" s="209">
        <v>1.9444309862187765</v>
      </c>
      <c r="AB190" s="44"/>
      <c r="AC190" s="17">
        <v>1</v>
      </c>
      <c r="AD190" s="17">
        <v>8.3333333333333329E-2</v>
      </c>
      <c r="AE190" s="17">
        <v>61.883483796296296</v>
      </c>
      <c r="AF190" s="17">
        <v>0</v>
      </c>
      <c r="AG190" s="208">
        <v>164</v>
      </c>
      <c r="AH190" s="209">
        <v>5.6038101717659812</v>
      </c>
      <c r="AI190" s="208">
        <v>1968</v>
      </c>
    </row>
    <row r="191" spans="1:35" ht="15.6">
      <c r="A191" s="48">
        <v>189</v>
      </c>
      <c r="B191" s="5" t="s">
        <v>440</v>
      </c>
      <c r="C191" s="5" t="s">
        <v>985</v>
      </c>
      <c r="D191" s="5" t="s">
        <v>986</v>
      </c>
      <c r="E191" s="44"/>
      <c r="F191" s="34" t="s">
        <v>94</v>
      </c>
      <c r="G191" s="227" t="s">
        <v>95</v>
      </c>
      <c r="H191" s="227" t="s">
        <v>548</v>
      </c>
      <c r="I191" s="227"/>
      <c r="J191" s="34" t="s">
        <v>97</v>
      </c>
      <c r="K191" s="227"/>
      <c r="L191" s="227" t="s">
        <v>558</v>
      </c>
      <c r="M191" s="230" t="s">
        <v>569</v>
      </c>
      <c r="N191" s="230" t="s">
        <v>101</v>
      </c>
      <c r="O191" s="230"/>
      <c r="P191" s="230" t="s">
        <v>452</v>
      </c>
      <c r="Q191" s="227"/>
      <c r="R191" s="227"/>
      <c r="S191" s="227"/>
      <c r="T191" s="227"/>
      <c r="U191" s="227"/>
      <c r="V191" s="227"/>
      <c r="W191" s="212">
        <v>5.083333333333333</v>
      </c>
      <c r="X191" s="213">
        <v>1.6393442622950821E-2</v>
      </c>
      <c r="Y191" s="210">
        <v>0.16666666666666666</v>
      </c>
      <c r="Z191" s="210">
        <v>0.33333333333333331</v>
      </c>
      <c r="AA191" s="209">
        <v>3.0595608866442205</v>
      </c>
      <c r="AB191" s="44"/>
      <c r="AC191" s="17">
        <v>0</v>
      </c>
      <c r="AD191" s="17">
        <v>0</v>
      </c>
      <c r="AE191" s="17">
        <v>0</v>
      </c>
      <c r="AF191" s="17">
        <v>0</v>
      </c>
      <c r="AG191" s="208">
        <v>72.166666666666671</v>
      </c>
      <c r="AH191" s="209">
        <v>3.2352659771028507</v>
      </c>
      <c r="AI191" s="208">
        <v>866</v>
      </c>
    </row>
    <row r="192" spans="1:35" ht="15.6">
      <c r="A192" s="48">
        <v>190</v>
      </c>
      <c r="B192" s="5" t="s">
        <v>440</v>
      </c>
      <c r="C192" s="5" t="s">
        <v>987</v>
      </c>
      <c r="D192" s="5" t="s">
        <v>988</v>
      </c>
      <c r="E192" s="44"/>
      <c r="F192" s="34" t="s">
        <v>94</v>
      </c>
      <c r="G192" s="227" t="s">
        <v>128</v>
      </c>
      <c r="H192" s="227" t="s">
        <v>554</v>
      </c>
      <c r="I192" s="227"/>
      <c r="J192" s="227" t="s">
        <v>585</v>
      </c>
      <c r="K192" s="227"/>
      <c r="L192" s="227" t="s">
        <v>456</v>
      </c>
      <c r="M192" s="228" t="s">
        <v>569</v>
      </c>
      <c r="N192" s="228" t="s">
        <v>101</v>
      </c>
      <c r="O192" s="228"/>
      <c r="P192" s="228" t="s">
        <v>452</v>
      </c>
      <c r="Q192" s="227"/>
      <c r="R192" s="48" t="s">
        <v>435</v>
      </c>
      <c r="S192" s="227" t="s">
        <v>116</v>
      </c>
      <c r="T192" s="227"/>
      <c r="U192" s="227"/>
      <c r="V192" s="227"/>
      <c r="W192" s="212">
        <v>0.25</v>
      </c>
      <c r="X192" s="213">
        <v>0.33333333333333331</v>
      </c>
      <c r="Y192" s="210">
        <v>0</v>
      </c>
      <c r="Z192" s="210">
        <v>0</v>
      </c>
      <c r="AA192" s="209">
        <v>8.5069444444444448E-2</v>
      </c>
      <c r="AB192" s="44"/>
      <c r="AC192" s="17">
        <v>0</v>
      </c>
      <c r="AD192" s="17">
        <v>0</v>
      </c>
      <c r="AE192" s="17">
        <v>0</v>
      </c>
      <c r="AF192" s="17">
        <v>0</v>
      </c>
      <c r="AG192" s="208">
        <v>46.083333333333336</v>
      </c>
      <c r="AH192" s="209">
        <v>13.252721082004081</v>
      </c>
      <c r="AI192" s="208">
        <v>553</v>
      </c>
    </row>
    <row r="193" spans="1:35" ht="15.6">
      <c r="A193" s="48">
        <v>191</v>
      </c>
      <c r="B193" s="5" t="s">
        <v>440</v>
      </c>
      <c r="C193" s="5" t="s">
        <v>989</v>
      </c>
      <c r="D193" s="5" t="s">
        <v>990</v>
      </c>
      <c r="E193" s="44"/>
      <c r="F193" s="34" t="s">
        <v>94</v>
      </c>
      <c r="G193" s="227" t="s">
        <v>95</v>
      </c>
      <c r="H193" s="227" t="s">
        <v>554</v>
      </c>
      <c r="I193" s="227"/>
      <c r="J193" s="227" t="s">
        <v>585</v>
      </c>
      <c r="K193" s="227"/>
      <c r="L193" s="227" t="s">
        <v>456</v>
      </c>
      <c r="M193" s="228" t="s">
        <v>569</v>
      </c>
      <c r="N193" s="228" t="s">
        <v>113</v>
      </c>
      <c r="O193" s="228"/>
      <c r="P193" s="228" t="s">
        <v>452</v>
      </c>
      <c r="Q193" s="227"/>
      <c r="R193" s="48"/>
      <c r="S193" s="227" t="s">
        <v>991</v>
      </c>
      <c r="T193" s="227"/>
      <c r="U193" s="227"/>
      <c r="V193" s="227"/>
      <c r="W193" s="212">
        <v>2.4166666666666665</v>
      </c>
      <c r="X193" s="213">
        <v>0</v>
      </c>
      <c r="Y193" s="210">
        <v>0</v>
      </c>
      <c r="Z193" s="210">
        <v>0.33333333333333331</v>
      </c>
      <c r="AA193" s="209">
        <v>6.9992093079922029</v>
      </c>
      <c r="AB193" s="44"/>
      <c r="AC193" s="17">
        <v>0</v>
      </c>
      <c r="AD193" s="17">
        <v>0</v>
      </c>
      <c r="AE193" s="17">
        <v>0</v>
      </c>
      <c r="AF193" s="17">
        <v>0</v>
      </c>
      <c r="AG193" s="208">
        <v>43.5</v>
      </c>
      <c r="AH193" s="209">
        <v>3.2471453824667869</v>
      </c>
      <c r="AI193" s="208">
        <v>522</v>
      </c>
    </row>
    <row r="194" spans="1:35" ht="15.6">
      <c r="A194" s="48">
        <v>192</v>
      </c>
      <c r="B194" s="5" t="s">
        <v>440</v>
      </c>
      <c r="C194" s="5" t="s">
        <v>992</v>
      </c>
      <c r="D194" s="5" t="s">
        <v>993</v>
      </c>
      <c r="E194" s="44"/>
      <c r="F194" s="34" t="s">
        <v>94</v>
      </c>
      <c r="G194" s="227" t="s">
        <v>95</v>
      </c>
      <c r="H194" s="227" t="s">
        <v>554</v>
      </c>
      <c r="I194" s="227"/>
      <c r="J194" s="227"/>
      <c r="K194" s="227"/>
      <c r="L194" s="227" t="s">
        <v>456</v>
      </c>
      <c r="M194" s="228" t="s">
        <v>569</v>
      </c>
      <c r="N194" s="228" t="s">
        <v>113</v>
      </c>
      <c r="O194" s="228"/>
      <c r="P194" s="228" t="s">
        <v>452</v>
      </c>
      <c r="Q194" s="227"/>
      <c r="R194" s="227"/>
      <c r="S194" s="227"/>
      <c r="T194" s="227"/>
      <c r="U194" s="227"/>
      <c r="V194" s="227"/>
      <c r="W194" s="212">
        <v>0</v>
      </c>
      <c r="X194" s="213">
        <v>0</v>
      </c>
      <c r="Y194" s="210">
        <v>0</v>
      </c>
      <c r="Z194" s="210">
        <v>0</v>
      </c>
      <c r="AA194" s="209">
        <v>0</v>
      </c>
      <c r="AB194" s="44"/>
      <c r="AC194" s="17">
        <v>0</v>
      </c>
      <c r="AD194" s="17">
        <v>0</v>
      </c>
      <c r="AE194" s="17">
        <v>0</v>
      </c>
      <c r="AF194" s="17">
        <v>0</v>
      </c>
      <c r="AG194" s="208">
        <v>45.833333333333336</v>
      </c>
      <c r="AH194" s="209">
        <v>13.276714255353411</v>
      </c>
      <c r="AI194" s="208">
        <v>550</v>
      </c>
    </row>
    <row r="195" spans="1:35" ht="15.6">
      <c r="A195" s="48">
        <v>193</v>
      </c>
      <c r="B195" s="5" t="s">
        <v>440</v>
      </c>
      <c r="C195" s="5" t="s">
        <v>994</v>
      </c>
      <c r="D195" s="5" t="s">
        <v>995</v>
      </c>
      <c r="E195" s="44"/>
      <c r="F195" s="34" t="s">
        <v>94</v>
      </c>
      <c r="G195" s="227" t="s">
        <v>95</v>
      </c>
      <c r="H195" s="227" t="s">
        <v>548</v>
      </c>
      <c r="I195" s="227"/>
      <c r="J195" s="227" t="s">
        <v>585</v>
      </c>
      <c r="K195" s="227"/>
      <c r="L195" s="227" t="s">
        <v>456</v>
      </c>
      <c r="M195" s="228" t="s">
        <v>457</v>
      </c>
      <c r="N195" s="228" t="s">
        <v>113</v>
      </c>
      <c r="O195" s="228"/>
      <c r="P195" s="228" t="s">
        <v>452</v>
      </c>
      <c r="Q195" s="227"/>
      <c r="R195" s="227"/>
      <c r="S195" s="227" t="s">
        <v>493</v>
      </c>
      <c r="T195" s="227"/>
      <c r="U195" s="227"/>
      <c r="V195" s="227"/>
      <c r="W195" s="212">
        <v>1.6666666666666667</v>
      </c>
      <c r="X195" s="213">
        <v>0.15</v>
      </c>
      <c r="Y195" s="210">
        <v>0.33333333333333331</v>
      </c>
      <c r="Z195" s="210">
        <v>0.25</v>
      </c>
      <c r="AA195" s="209">
        <v>1.5215069444444445</v>
      </c>
      <c r="AB195" s="44"/>
      <c r="AC195" s="17">
        <v>0</v>
      </c>
      <c r="AD195" s="17">
        <v>0</v>
      </c>
      <c r="AE195" s="17">
        <v>0</v>
      </c>
      <c r="AF195" s="17">
        <v>0</v>
      </c>
      <c r="AG195" s="208">
        <v>46.666666666666664</v>
      </c>
      <c r="AH195" s="209">
        <v>4.8536656506402798</v>
      </c>
      <c r="AI195" s="208">
        <v>560</v>
      </c>
    </row>
    <row r="196" spans="1:35" ht="15.6">
      <c r="A196" s="48">
        <v>194</v>
      </c>
      <c r="B196" s="5" t="s">
        <v>440</v>
      </c>
      <c r="C196" s="5" t="s">
        <v>996</v>
      </c>
      <c r="D196" s="5" t="s">
        <v>997</v>
      </c>
      <c r="E196" s="44"/>
      <c r="F196" s="34" t="s">
        <v>94</v>
      </c>
      <c r="G196" s="227" t="s">
        <v>95</v>
      </c>
      <c r="H196" s="227" t="s">
        <v>554</v>
      </c>
      <c r="I196" s="227"/>
      <c r="J196" s="227" t="s">
        <v>585</v>
      </c>
      <c r="K196" s="227"/>
      <c r="L196" s="227" t="s">
        <v>456</v>
      </c>
      <c r="M196" s="228" t="s">
        <v>457</v>
      </c>
      <c r="N196" s="228" t="s">
        <v>113</v>
      </c>
      <c r="O196" s="228"/>
      <c r="P196" s="228" t="s">
        <v>452</v>
      </c>
      <c r="Q196" s="227"/>
      <c r="R196" s="227"/>
      <c r="S196" s="227" t="s">
        <v>493</v>
      </c>
      <c r="T196" s="227"/>
      <c r="U196" s="227"/>
      <c r="V196" s="227"/>
      <c r="W196" s="212">
        <v>1.0833333333333333</v>
      </c>
      <c r="X196" s="213">
        <v>0</v>
      </c>
      <c r="Y196" s="210">
        <v>0.25</v>
      </c>
      <c r="Z196" s="210">
        <v>0</v>
      </c>
      <c r="AA196" s="209">
        <v>1.3933391203703702</v>
      </c>
      <c r="AB196" s="44"/>
      <c r="AC196" s="17">
        <v>1</v>
      </c>
      <c r="AD196" s="17">
        <v>0</v>
      </c>
      <c r="AE196" s="17">
        <v>0</v>
      </c>
      <c r="AF196" s="17">
        <v>0</v>
      </c>
      <c r="AG196" s="208">
        <v>103.5</v>
      </c>
      <c r="AH196" s="209">
        <v>3.9624031132887878</v>
      </c>
      <c r="AI196" s="208">
        <v>1242</v>
      </c>
    </row>
    <row r="197" spans="1:35" ht="15.6">
      <c r="A197" s="48">
        <v>195</v>
      </c>
      <c r="B197" s="5" t="s">
        <v>440</v>
      </c>
      <c r="C197" s="5" t="s">
        <v>998</v>
      </c>
      <c r="D197" s="5" t="s">
        <v>999</v>
      </c>
      <c r="E197" s="44"/>
      <c r="F197" s="34" t="s">
        <v>94</v>
      </c>
      <c r="G197" s="227" t="s">
        <v>128</v>
      </c>
      <c r="H197" s="227" t="s">
        <v>548</v>
      </c>
      <c r="I197" s="227"/>
      <c r="J197" s="227" t="s">
        <v>585</v>
      </c>
      <c r="K197" s="227"/>
      <c r="L197" s="227" t="s">
        <v>456</v>
      </c>
      <c r="M197" s="228" t="s">
        <v>457</v>
      </c>
      <c r="N197" s="228" t="s">
        <v>101</v>
      </c>
      <c r="O197" s="228"/>
      <c r="P197" s="228" t="s">
        <v>452</v>
      </c>
      <c r="Q197" s="227"/>
      <c r="R197" s="48" t="s">
        <v>435</v>
      </c>
      <c r="S197" s="227" t="s">
        <v>116</v>
      </c>
      <c r="T197" s="227"/>
      <c r="U197" s="227"/>
      <c r="V197" s="227"/>
      <c r="W197" s="212">
        <v>0.41666666666666669</v>
      </c>
      <c r="X197" s="213">
        <v>0.4</v>
      </c>
      <c r="Y197" s="210">
        <v>0</v>
      </c>
      <c r="Z197" s="210">
        <v>0</v>
      </c>
      <c r="AA197" s="209">
        <v>1.2592592592592593E-2</v>
      </c>
      <c r="AB197" s="44"/>
      <c r="AC197" s="17">
        <v>0</v>
      </c>
      <c r="AD197" s="17">
        <v>0</v>
      </c>
      <c r="AE197" s="17">
        <v>0</v>
      </c>
      <c r="AF197" s="17">
        <v>0</v>
      </c>
      <c r="AG197" s="208">
        <v>55.333333333333336</v>
      </c>
      <c r="AH197" s="209">
        <v>11.097490911015415</v>
      </c>
      <c r="AI197" s="208">
        <v>664</v>
      </c>
    </row>
    <row r="198" spans="1:35" ht="15.6">
      <c r="A198" s="48">
        <v>196</v>
      </c>
      <c r="B198" s="5" t="s">
        <v>440</v>
      </c>
      <c r="C198" s="5" t="s">
        <v>1000</v>
      </c>
      <c r="D198" s="5" t="s">
        <v>1001</v>
      </c>
      <c r="E198" s="44"/>
      <c r="F198" s="34" t="s">
        <v>94</v>
      </c>
      <c r="G198" s="227" t="s">
        <v>95</v>
      </c>
      <c r="H198" s="227" t="s">
        <v>554</v>
      </c>
      <c r="I198" s="227"/>
      <c r="J198" s="227"/>
      <c r="K198" s="227"/>
      <c r="L198" s="227" t="s">
        <v>558</v>
      </c>
      <c r="M198" s="230" t="s">
        <v>569</v>
      </c>
      <c r="N198" s="230" t="s">
        <v>101</v>
      </c>
      <c r="O198" s="230"/>
      <c r="P198" s="230" t="s">
        <v>452</v>
      </c>
      <c r="Q198" s="227"/>
      <c r="R198" s="227"/>
      <c r="S198" s="227"/>
      <c r="T198" s="227"/>
      <c r="U198" s="227"/>
      <c r="V198" s="227"/>
      <c r="W198" s="212">
        <v>10.75</v>
      </c>
      <c r="X198" s="213">
        <v>0</v>
      </c>
      <c r="Y198" s="210">
        <v>0.16666666666666666</v>
      </c>
      <c r="Z198" s="210">
        <v>0.41666666666666669</v>
      </c>
      <c r="AA198" s="209">
        <v>2.4159339433834877</v>
      </c>
      <c r="AB198" s="44"/>
      <c r="AC198" s="17">
        <v>0</v>
      </c>
      <c r="AD198" s="17">
        <v>0</v>
      </c>
      <c r="AE198" s="17">
        <v>0</v>
      </c>
      <c r="AF198" s="17">
        <v>0</v>
      </c>
      <c r="AG198" s="208">
        <v>70.5</v>
      </c>
      <c r="AH198" s="209">
        <v>3.3263705555555432</v>
      </c>
      <c r="AI198" s="208">
        <v>846</v>
      </c>
    </row>
    <row r="202" spans="1:35">
      <c r="B202" s="1" t="s">
        <v>1002</v>
      </c>
      <c r="C202" s="1" t="s">
        <v>1003</v>
      </c>
      <c r="D202" s="1" t="s">
        <v>1004</v>
      </c>
    </row>
    <row r="203" spans="1:35">
      <c r="B203" s="5" t="s">
        <v>626</v>
      </c>
      <c r="C203" s="1" t="s">
        <v>1005</v>
      </c>
      <c r="D203" s="1" t="s">
        <v>1006</v>
      </c>
    </row>
    <row r="204" spans="1:35">
      <c r="B204" s="1" t="s">
        <v>1007</v>
      </c>
      <c r="C204" s="1" t="s">
        <v>1008</v>
      </c>
    </row>
    <row r="205" spans="1:35">
      <c r="B205" s="1" t="s">
        <v>483</v>
      </c>
      <c r="C205" s="1" t="s">
        <v>1009</v>
      </c>
      <c r="D205" s="1" t="s">
        <v>1010</v>
      </c>
    </row>
    <row r="209" spans="2:2">
      <c r="B209" s="1" t="s">
        <v>482</v>
      </c>
    </row>
    <row r="210" spans="2:2">
      <c r="B210" s="1" t="s">
        <v>483</v>
      </c>
    </row>
    <row r="211" spans="2:2">
      <c r="B211" s="1" t="s">
        <v>484</v>
      </c>
    </row>
    <row r="212" spans="2:2">
      <c r="B212" s="1" t="s">
        <v>485</v>
      </c>
    </row>
    <row r="213" spans="2:2">
      <c r="B213" s="1" t="s">
        <v>486</v>
      </c>
    </row>
    <row r="214" spans="2:2">
      <c r="B214" s="1" t="s">
        <v>487</v>
      </c>
    </row>
    <row r="215" spans="2:2">
      <c r="B215" s="1" t="s">
        <v>488</v>
      </c>
    </row>
  </sheetData>
  <autoFilter ref="A2:AN198" xr:uid="{579A36D7-8DAF-4ADD-AFD6-142604944AAD}"/>
  <mergeCells count="3">
    <mergeCell ref="A1:A2"/>
    <mergeCell ref="B1:V1"/>
    <mergeCell ref="W1:AN1"/>
  </mergeCells>
  <dataValidations count="11">
    <dataValidation type="list" allowBlank="1" showInputMessage="1" showErrorMessage="1" sqref="O3:O41 P3:P41 P44:P83 O44:O83" xr:uid="{A7D22B17-59A0-0A49-8B5E-46BD779CF2CB}">
      <formula1>"Yes, No"</formula1>
    </dataValidation>
    <dataValidation type="list" errorStyle="information" allowBlank="1" showInputMessage="1" showErrorMessage="1" sqref="K3:K41 K44:K83" xr:uid="{5095483A-0D34-6249-80E4-E58CA26329F0}">
      <formula1>"Masked data in DEV,No Masked data exist"</formula1>
    </dataValidation>
    <dataValidation type="list" errorStyle="information" allowBlank="1" showInputMessage="1" showErrorMessage="1" sqref="J92:J99 J102:J103 J124:J126 J3:J41 J44:J83" xr:uid="{62FEDE44-145E-C64B-B66B-EACF1EB0C013}">
      <formula1>"Protected B data,No Pro-B but PI,No data sensitivity"</formula1>
    </dataValidation>
    <dataValidation type="list" allowBlank="1" showInputMessage="1" showErrorMessage="1" sqref="H3:H83" xr:uid="{46E20E59-C5BE-8248-83FD-31FB6742C5A8}">
      <formula1>"Extremely complex, Complex, Average, Simple"</formula1>
    </dataValidation>
    <dataValidation type="list" allowBlank="1" showInputMessage="1" showErrorMessage="1" sqref="G3:G83" xr:uid="{533FDAEE-5D7A-DD40-B08B-DA859B8EF2D3}">
      <formula1>"Very large, Large, Medium, Small"</formula1>
    </dataValidation>
    <dataValidation type="list" allowBlank="1" showInputMessage="1" showErrorMessage="1" sqref="L3:L41 L44:L83" xr:uid="{6D782946-AF98-8648-833D-6CE8585B49E3}">
      <formula1>"Most critical, Critical, Less critical, Not critical"</formula1>
    </dataValidation>
    <dataValidation type="list" allowBlank="1" showInputMessage="1" showErrorMessage="1" sqref="U82:U83 U44 U55:U69 U71:U76 U78:U79 U3:U41 U48:U49 U98" xr:uid="{4FEEC006-1333-8343-A1E5-0EB57C52B31F}">
      <formula1>"BATCH,ONLINE, BOTH, Services"</formula1>
    </dataValidation>
    <dataValidation type="list" allowBlank="1" showInputMessage="1" showErrorMessage="1" sqref="V40:V45 V3:V38 V48:V51 V53:V83" xr:uid="{99FBACBD-4DBB-424F-BE4E-ABE13F42A3DA}">
      <formula1>"No Documentation , Fair documentation, Good documentation, Well Documentation"</formula1>
    </dataValidation>
    <dataValidation type="list" allowBlank="1" showInputMessage="1" showErrorMessage="1" sqref="Q3:Q41 Q98 Q44:Q83" xr:uid="{2A5B3E26-C9C6-984D-8FE5-E84C90C14A68}">
      <formula1>"Windows, Mainframes, Legacy Non-Mainframe, Product"</formula1>
    </dataValidation>
    <dataValidation type="list" allowBlank="1" showInputMessage="1" showErrorMessage="1" sqref="M3:M41 M44:M83" xr:uid="{02955418-4866-2348-A47E-F2BB47DD5756}">
      <formula1>"5 x 8, 5 x 16, 7 x 16, 7 x 24"</formula1>
    </dataValidation>
    <dataValidation type="list" allowBlank="1" showInputMessage="1" showErrorMessage="1" sqref="N3:N41 N44:N83" xr:uid="{A008116A-07C7-4F4A-B83E-7E9AE4B44AD6}">
      <formula1>"Grow, Harvest, Closed Block, Sunset, blank"</formula1>
    </dataValidation>
  </dataValidations>
  <pageMargins left="0.7" right="0.7" top="0.75" bottom="0.75" header="0.3" footer="0.3"/>
  <pageSetup orientation="portrait"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20"/>
  <sheetViews>
    <sheetView topLeftCell="A5" zoomScale="90" zoomScaleNormal="90" workbookViewId="0">
      <selection activeCell="C5" sqref="C5"/>
    </sheetView>
  </sheetViews>
  <sheetFormatPr defaultColWidth="8.875" defaultRowHeight="13.5"/>
  <cols>
    <col min="1" max="1" width="5.5" bestFit="1" customWidth="1"/>
    <col min="2" max="2" width="28.5" customWidth="1"/>
    <col min="3" max="3" width="16.125" customWidth="1"/>
    <col min="4" max="4" width="12.375" customWidth="1"/>
    <col min="5" max="5" width="9.125" bestFit="1" customWidth="1"/>
    <col min="6" max="6" width="11.125" customWidth="1"/>
    <col min="7" max="7" width="11.125" bestFit="1" customWidth="1"/>
  </cols>
  <sheetData>
    <row r="1" spans="1:8" s="6" customFormat="1" ht="12.95">
      <c r="B1" s="7" t="s">
        <v>1011</v>
      </c>
    </row>
    <row r="2" spans="1:8" s="6" customFormat="1" ht="12.6">
      <c r="A2" s="8"/>
    </row>
    <row r="3" spans="1:8" s="6" customFormat="1" ht="12.95">
      <c r="A3" s="22" t="s">
        <v>1012</v>
      </c>
      <c r="B3" s="22" t="s">
        <v>1013</v>
      </c>
      <c r="C3" s="22" t="s">
        <v>390</v>
      </c>
      <c r="D3" s="22" t="s">
        <v>1014</v>
      </c>
      <c r="E3" s="22"/>
      <c r="F3" s="22"/>
      <c r="G3" s="22"/>
    </row>
    <row r="4" spans="1:8" s="6" customFormat="1" ht="12.95">
      <c r="A4" s="22"/>
      <c r="B4" s="22"/>
      <c r="C4" s="22"/>
      <c r="D4" s="22">
        <v>1</v>
      </c>
      <c r="E4" s="22">
        <v>2</v>
      </c>
      <c r="F4" s="22">
        <v>3</v>
      </c>
      <c r="G4" s="22">
        <v>4</v>
      </c>
    </row>
    <row r="5" spans="1:8" s="6" customFormat="1" ht="129.94999999999999">
      <c r="A5" s="23">
        <v>1</v>
      </c>
      <c r="B5" s="24" t="s">
        <v>23</v>
      </c>
      <c r="C5" s="25" t="s">
        <v>1015</v>
      </c>
      <c r="D5" s="26" t="s">
        <v>1016</v>
      </c>
      <c r="E5" s="26" t="s">
        <v>1017</v>
      </c>
      <c r="F5" s="26" t="s">
        <v>1018</v>
      </c>
      <c r="G5" s="26" t="s">
        <v>1019</v>
      </c>
    </row>
    <row r="6" spans="1:8" s="6" customFormat="1" ht="69.95">
      <c r="A6" s="23">
        <v>2</v>
      </c>
      <c r="B6" s="24" t="s">
        <v>24</v>
      </c>
      <c r="C6" s="25" t="s">
        <v>1020</v>
      </c>
      <c r="D6" s="26" t="s">
        <v>1021</v>
      </c>
      <c r="E6" s="26" t="s">
        <v>1022</v>
      </c>
      <c r="F6" s="26" t="s">
        <v>1023</v>
      </c>
      <c r="G6" s="26" t="s">
        <v>1024</v>
      </c>
    </row>
    <row r="7" spans="1:8" s="6" customFormat="1" ht="39.950000000000003">
      <c r="A7" s="23">
        <v>3</v>
      </c>
      <c r="B7" s="24" t="s">
        <v>28</v>
      </c>
      <c r="C7" s="25" t="s">
        <v>1025</v>
      </c>
      <c r="D7" s="26" t="s">
        <v>1026</v>
      </c>
      <c r="E7" s="26" t="s">
        <v>1027</v>
      </c>
      <c r="F7" s="26" t="s">
        <v>1028</v>
      </c>
      <c r="G7" s="26" t="s">
        <v>1029</v>
      </c>
    </row>
    <row r="8" spans="1:8" s="6" customFormat="1" ht="30">
      <c r="A8" s="23">
        <v>4</v>
      </c>
      <c r="B8" s="24" t="s">
        <v>29</v>
      </c>
      <c r="C8" s="25" t="s">
        <v>1030</v>
      </c>
      <c r="D8" s="26" t="s">
        <v>1031</v>
      </c>
      <c r="E8" s="26" t="s">
        <v>1032</v>
      </c>
      <c r="F8" s="26" t="s">
        <v>1033</v>
      </c>
      <c r="G8" s="26" t="s">
        <v>1034</v>
      </c>
    </row>
    <row r="9" spans="1:8" s="6" customFormat="1" ht="30.6">
      <c r="A9" s="23">
        <v>5</v>
      </c>
      <c r="B9" s="24" t="s">
        <v>30</v>
      </c>
      <c r="C9" s="25" t="s">
        <v>1035</v>
      </c>
      <c r="D9" s="26" t="s">
        <v>100</v>
      </c>
      <c r="E9" s="26" t="s">
        <v>471</v>
      </c>
      <c r="F9" s="26" t="s">
        <v>477</v>
      </c>
      <c r="G9" s="26" t="s">
        <v>153</v>
      </c>
    </row>
    <row r="10" spans="1:8" s="6" customFormat="1" ht="78.75" customHeight="1">
      <c r="A10" s="23">
        <v>6</v>
      </c>
      <c r="B10" s="24" t="s">
        <v>32</v>
      </c>
      <c r="C10" s="25" t="s">
        <v>1036</v>
      </c>
      <c r="D10" s="26" t="s">
        <v>1037</v>
      </c>
      <c r="E10" s="26" t="s">
        <v>1038</v>
      </c>
      <c r="F10" s="26" t="s">
        <v>1039</v>
      </c>
      <c r="G10" s="26" t="s">
        <v>1040</v>
      </c>
      <c r="H10" s="6" t="s">
        <v>1041</v>
      </c>
    </row>
    <row r="11" spans="1:8" s="6" customFormat="1" ht="80.099999999999994">
      <c r="A11" s="23">
        <v>7</v>
      </c>
      <c r="B11" s="24" t="s">
        <v>49</v>
      </c>
      <c r="C11" s="25" t="s">
        <v>1042</v>
      </c>
      <c r="D11" s="26" t="s">
        <v>1043</v>
      </c>
      <c r="E11" s="26" t="s">
        <v>157</v>
      </c>
      <c r="F11" s="26" t="s">
        <v>119</v>
      </c>
      <c r="G11" s="26" t="s">
        <v>1044</v>
      </c>
    </row>
    <row r="12" spans="1:8" s="6" customFormat="1" ht="20.100000000000001">
      <c r="A12" s="23">
        <v>8</v>
      </c>
      <c r="B12" s="24" t="s">
        <v>1045</v>
      </c>
      <c r="C12" s="25" t="s">
        <v>1046</v>
      </c>
      <c r="D12" s="26" t="s">
        <v>1047</v>
      </c>
      <c r="E12" s="26" t="s">
        <v>1048</v>
      </c>
      <c r="F12" s="26" t="s">
        <v>1049</v>
      </c>
      <c r="G12" s="26" t="s">
        <v>1050</v>
      </c>
    </row>
    <row r="13" spans="1:8" s="6" customFormat="1" ht="20.100000000000001">
      <c r="A13" s="23">
        <v>9</v>
      </c>
      <c r="B13" s="24" t="s">
        <v>1051</v>
      </c>
      <c r="C13" s="25" t="s">
        <v>1052</v>
      </c>
      <c r="D13" s="26" t="s">
        <v>223</v>
      </c>
      <c r="E13" s="26" t="s">
        <v>141</v>
      </c>
      <c r="F13" s="26" t="s">
        <v>128</v>
      </c>
      <c r="G13" s="26" t="s">
        <v>95</v>
      </c>
    </row>
    <row r="14" spans="1:8" s="6" customFormat="1" ht="12.6"/>
    <row r="15" spans="1:8" s="6" customFormat="1" ht="30.75" customHeight="1">
      <c r="A15" s="10"/>
      <c r="B15" s="9"/>
      <c r="C15" s="259"/>
      <c r="D15" s="259"/>
      <c r="E15" s="259"/>
      <c r="F15" s="259"/>
      <c r="G15" s="259"/>
    </row>
    <row r="16" spans="1:8" s="6" customFormat="1" ht="12.6">
      <c r="B16" s="9"/>
      <c r="C16" s="259"/>
      <c r="D16" s="259"/>
      <c r="E16" s="259"/>
      <c r="F16" s="259"/>
      <c r="G16" s="259"/>
    </row>
    <row r="17" spans="2:7" s="6" customFormat="1" ht="12.6">
      <c r="B17" s="9"/>
      <c r="C17" s="259"/>
      <c r="D17" s="259"/>
      <c r="E17" s="259"/>
      <c r="F17" s="259"/>
      <c r="G17" s="259"/>
    </row>
    <row r="18" spans="2:7" s="6" customFormat="1" ht="12.6">
      <c r="B18" s="9"/>
      <c r="C18" s="259"/>
      <c r="D18" s="259"/>
      <c r="E18" s="259"/>
      <c r="F18" s="259"/>
      <c r="G18" s="259"/>
    </row>
    <row r="19" spans="2:7" s="6" customFormat="1" ht="12.6"/>
    <row r="20" spans="2:7" s="6" customFormat="1" ht="12.6"/>
  </sheetData>
  <mergeCells count="4">
    <mergeCell ref="C17:G17"/>
    <mergeCell ref="C18:G18"/>
    <mergeCell ref="C15:G15"/>
    <mergeCell ref="C16:G16"/>
  </mergeCells>
  <pageMargins left="0.7" right="0.7" top="0.75" bottom="0.75" header="0.3" footer="0.3"/>
  <pageSetup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D904C80E290C4A9E641A3BC088EBF2" ma:contentTypeVersion="0" ma:contentTypeDescription="Create a new document." ma:contentTypeScope="" ma:versionID="0ec7f51f7229390193a246f4b64f3612">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18C47AA4-2A5D-4869-B619-9B0C02196C8B}"/>
</file>

<file path=customXml/itemProps2.xml><?xml version="1.0" encoding="utf-8"?>
<ds:datastoreItem xmlns:ds="http://schemas.openxmlformats.org/officeDocument/2006/customXml" ds:itemID="{0A52471F-A9C0-453E-85F0-2A37E587858F}"/>
</file>

<file path=customXml/itemProps3.xml><?xml version="1.0" encoding="utf-8"?>
<ds:datastoreItem xmlns:ds="http://schemas.openxmlformats.org/officeDocument/2006/customXml" ds:itemID="{1CE53168-C1FB-4FAA-9B10-0C5B7042BA00}"/>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TATA Consultancy Services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Manager</dc:creator>
  <cp:keywords/>
  <dc:description/>
  <cp:lastModifiedBy/>
  <cp:revision/>
  <dcterms:created xsi:type="dcterms:W3CDTF">2013-08-21T15:51:43Z</dcterms:created>
  <dcterms:modified xsi:type="dcterms:W3CDTF">2026-07-30T01:10:36Z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0x01010078D904C80E290C4A9E641A3BC088EBF2</vt:lpwstr>
  </property>
  <property fmtid="{D5CDD505-2E9C-101B-9397-08002B2CF9AE}" pid="3" name="Date">
    <vt:lpwstr>2013-08-22T05:34:00+00:00</vt:lpwstr>
  </property>
  <property fmtid="{D5CDD505-2E9C-101B-9397-08002B2CF9AE}" pid="4" name="MediaServiceImageTags">
    <vt:lpwstr/>
  </property>
  <property fmtid="{D5CDD505-2E9C-101B-9397-08002B2CF9AE}" pid="5" name="MSIP_Label_b07bbe84-2447-47ed-9f95-d9c34bc076ba_Enabled">
    <vt:lpwstr>true</vt:lpwstr>
  </property>
  <property fmtid="{D5CDD505-2E9C-101B-9397-08002B2CF9AE}" pid="6" name="MSIP_Label_b07bbe84-2447-47ed-9f95-d9c34bc076ba_SetDate">
    <vt:lpwstr>2026-03-23T03:16:51Z</vt:lpwstr>
  </property>
  <property fmtid="{D5CDD505-2E9C-101B-9397-08002B2CF9AE}" pid="7" name="MSIP_Label_b07bbe84-2447-47ed-9f95-d9c34bc076ba_Method">
    <vt:lpwstr>Standard</vt:lpwstr>
  </property>
  <property fmtid="{D5CDD505-2E9C-101B-9397-08002B2CF9AE}" pid="8" name="MSIP_Label_b07bbe84-2447-47ed-9f95-d9c34bc076ba_Name">
    <vt:lpwstr>Confidential</vt:lpwstr>
  </property>
  <property fmtid="{D5CDD505-2E9C-101B-9397-08002B2CF9AE}" pid="9" name="MSIP_Label_b07bbe84-2447-47ed-9f95-d9c34bc076ba_SiteId">
    <vt:lpwstr>633f3069-d670-4419-9fee-2ab4251c88ee</vt:lpwstr>
  </property>
  <property fmtid="{D5CDD505-2E9C-101B-9397-08002B2CF9AE}" pid="10" name="MSIP_Label_b07bbe84-2447-47ed-9f95-d9c34bc076ba_ActionId">
    <vt:lpwstr>31ff106e-7994-42a3-9544-7130f3b282a6</vt:lpwstr>
  </property>
  <property fmtid="{D5CDD505-2E9C-101B-9397-08002B2CF9AE}" pid="11" name="MSIP_Label_b07bbe84-2447-47ed-9f95-d9c34bc076ba_ContentBits">
    <vt:lpwstr>0</vt:lpwstr>
  </property>
  <property fmtid="{D5CDD505-2E9C-101B-9397-08002B2CF9AE}" pid="12" name="MSIP_Label_b07bbe84-2447-47ed-9f95-d9c34bc076ba_Tag">
    <vt:lpwstr>10, 3, 0, 2</vt:lpwstr>
  </property>
  <property fmtid="{D5CDD505-2E9C-101B-9397-08002B2CF9AE}" pid="13" name="Order">
    <vt:r8>11700</vt:r8>
  </property>
  <property fmtid="{D5CDD505-2E9C-101B-9397-08002B2CF9AE}" pid="14" name="xd_Signature">
    <vt:bool>false</vt:bool>
  </property>
  <property fmtid="{D5CDD505-2E9C-101B-9397-08002B2CF9AE}" pid="15" name="xd_ProgID">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ies>
</file>
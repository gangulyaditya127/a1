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 Issues" sheetId="1" r:id="rId5"/>
    <sheet state="visible" name="Summary" sheetId="2" r:id="rId6"/>
    <sheet state="visible" name="Notes &amp; Assumptions" sheetId="3" r:id="rId7"/>
  </sheets>
  <definedNames>
    <definedName hidden="1" localSheetId="0" name="Z_0E4925BE_1EFC_403A_81D5_3DD25A2A5C7B_.wvu.FilterData">'Unique Issues'!$A$1:$O$10</definedName>
  </definedNames>
  <calcPr/>
  <customWorkbookViews>
    <customWorkbookView activeSheetId="0" maximized="1" windowHeight="0" windowWidth="0" guid="{0E4925BE-1EFC-403A-81D5-3DD25A2A5C7B}" name="UniqueSonarIssues filter view"/>
  </customWorkbookViews>
</workbook>
</file>

<file path=xl/sharedStrings.xml><?xml version="1.0" encoding="utf-8"?>
<sst xmlns="http://schemas.openxmlformats.org/spreadsheetml/2006/main" count="176" uniqueCount="130">
  <si>
    <t>Topic</t>
  </si>
  <si>
    <t>SonarQube Remediation Summary</t>
  </si>
  <si>
    <t>Details</t>
  </si>
  <si>
    <t>Purpose</t>
  </si>
  <si>
    <t>A remediation tracker containing one row per unique SonarQube issue pattern found in the supplied export.</t>
  </si>
  <si>
    <t>Consolidation</t>
  </si>
  <si>
    <t>Repeated occurrences of the same rule are grouped. Exact file and line occurrences remain available in SonarQube through the supplied links.</t>
  </si>
  <si>
    <t>Coverage</t>
  </si>
  <si>
    <t>The supplied text shows 154 Blocker occurrences and 52 High occurrences. This workbook intentionally catalogs unique remediation patterns rather than reproducing every occurrence.</t>
  </si>
  <si>
    <t>Important security action</t>
  </si>
  <si>
    <t>For the PostgreSQL password finding, rotate the credential before or at the same time as removing it from source. Removing the string alone is insufficient.</t>
  </si>
  <si>
    <t>Suggested workflow</t>
  </si>
  <si>
    <t>Metric</t>
  </si>
  <si>
    <t>Filter by Severity, assign an Owner, update Resolution Status, implement the fix, verify tests/OpenAPI/migrations as applicable, then rerun SonarQube.</t>
  </si>
  <si>
    <t>Value</t>
  </si>
  <si>
    <t>Notes</t>
  </si>
  <si>
    <t>Priority</t>
  </si>
  <si>
    <t>Unique issue patterns</t>
  </si>
  <si>
    <t>ID</t>
  </si>
  <si>
    <t>Consolidated from the supplied SonarQube export</t>
  </si>
  <si>
    <t/>
  </si>
  <si>
    <t>Blocker patterns</t>
  </si>
  <si>
    <t>Issue Name</t>
  </si>
  <si>
    <t>Resolve first</t>
  </si>
  <si>
    <t>P0</t>
  </si>
  <si>
    <t>High patterns</t>
  </si>
  <si>
    <t>Where Is the Issue</t>
  </si>
  <si>
    <t>Representative Lines</t>
  </si>
  <si>
    <t>Resolve after blockers</t>
  </si>
  <si>
    <t>P1</t>
  </si>
  <si>
    <t>Security patterns</t>
  </si>
  <si>
    <t>Why This Is an Issue</t>
  </si>
  <si>
    <t>Category</t>
  </si>
  <si>
    <t>Rotate exposed credentials immediately</t>
  </si>
  <si>
    <t>Resolved patterns</t>
  </si>
  <si>
    <t>Severity</t>
  </si>
  <si>
    <t>Status</t>
  </si>
  <si>
    <t>Update Resolution Status in Unique Issues</t>
  </si>
  <si>
    <t>Open patterns</t>
  </si>
  <si>
    <t>Estimated Effort</t>
  </si>
  <si>
    <t>How to Solve</t>
  </si>
  <si>
    <t>Current unique patterns not marked resolved</t>
  </si>
  <si>
    <t>Example Fix / Guidance</t>
  </si>
  <si>
    <t>Verification</t>
  </si>
  <si>
    <t>Owner</t>
  </si>
  <si>
    <t>Resolution Status</t>
  </si>
  <si>
    <t>SonarQube Link</t>
  </si>
  <si>
    <t>Use "Annotated" type hints for FastAPI dependency injection</t>
  </si>
  <si>
    <t>app/admin/architecture_rules/router.py; app/admin/disadmin/router.py; app/admin/disclaimer/router.py; app/admin/eligibility/router.py; app/admin/superadmin/router.py; app/domains/account_details/router.py; app/domains/architecture/router.py; app/domains/auth/router.py; app/domains/cloud_resources/router.py; app/domains/onboarding/router.py; app/domains/requirements/router.py</t>
  </si>
  <si>
    <t>Multiple lines, including L16-L226</t>
  </si>
  <si>
    <t>Using dependency objects directly as default values mixes type information with runtime dependency metadata. Annotated keeps the real type explicit, improves editor support, and follows current FastAPI conventions.</t>
  </si>
  <si>
    <t>Maintainability</t>
  </si>
  <si>
    <t>Blocker</t>
  </si>
  <si>
    <t>Open</t>
  </si>
  <si>
    <t>15 min per occurrence</t>
  </si>
  <si>
    <t>Import Annotated and move Depends(...) or another FastAPI dependency marker into the annotation. Keep the parameter default-free unless a real default is required.</t>
  </si>
  <si>
    <t>Before: db: Session = Depends(get_db)
After: db: Annotated[Session, Depends(get_db)]</t>
  </si>
  <si>
    <t>Run unit/API tests, regenerate OpenAPI, and rerun SonarQube.</t>
  </si>
  <si>
    <t>Not Started</t>
  </si>
  <si>
    <t>https://ismartams.tcsapps.com/sonarqube/project/issues?id=CLOUD_ONBOARDING-backend</t>
  </si>
  <si>
    <t>Remove redundant response_model parameter when it duplicates the return annotation</t>
  </si>
  <si>
    <t>Multiple decorator lines, including L15-L179</t>
  </si>
  <si>
    <t>Declaring the same response schema in both response_model and the function return annotation duplicates information and can drift during maintenance.</t>
  </si>
  <si>
    <t>10 min per occurrence</t>
  </si>
  <si>
    <t>Keep the typed return annotation and remove response_model from the route decorator, provided both express exactly the same schema and behavior.</t>
  </si>
  <si>
    <t>Before: @router.get("/x", response_model=Item)
def get_x() -&gt; Item: ...
After: @router.get("/x")
def get_x() -&gt; Item: ...</t>
  </si>
  <si>
    <t>Check generated OpenAPI schema and response filtering, then rerun tests and SonarQube.</t>
  </si>
  <si>
    <t>Remove and rotate hard-coded PostgreSQL password</t>
  </si>
  <si>
    <t>app/core/config.py</t>
  </si>
  <si>
    <t>L9, L10</t>
  </si>
  <si>
    <t>A database password committed in source control can be exposed through repository access, logs, build artifacts, or history. Removing it from only the latest file does not invalidate an exposed credential.</t>
  </si>
  <si>
    <t>Security</t>
  </si>
  <si>
    <t>30 min per occurrence</t>
  </si>
  <si>
    <t>Immediately rotate the database credential. Read the replacement from a secret manager or environment variable. Remove the secret from code and, where required, purge it from repository history.</t>
  </si>
  <si>
    <t>Use a settings field such as POSTGRES_PASSWORD loaded from the deployment secret store. Never commit the actual value or a real .env file.</t>
  </si>
  <si>
    <t>Confirm the old credential no longer works, scan repository history, run secret scanning, and rerun SonarQube.</t>
  </si>
  <si>
    <t>https://ismartams.tcsapps.com/sonarqube/project/issues?open=628e94b7-a93e-4983-8140-f2009d9b2f85&amp;id=CLOUD_ONBOARDING-backend</t>
  </si>
  <si>
    <t>Define a constant instead of duplicating the literal 'now()' 6 times</t>
  </si>
  <si>
    <t>alembic/versions/783e123ab7dd_initial_models.py</t>
  </si>
  <si>
    <t>L40</t>
  </si>
  <si>
    <t>Repeated literals create multiple maintenance points and increase the risk of inconsistent edits.</t>
  </si>
  <si>
    <t>High</t>
  </si>
  <si>
    <t>12 min</t>
  </si>
  <si>
    <t>Define a module-level constant for the SQL expression and reuse it in the migration definitions.</t>
  </si>
  <si>
    <t>NOW_SQL = "now()"
Use NOW_SQL wherever the same literal is required.</t>
  </si>
  <si>
    <t>Run migration upgrade/downgrade tests and compare generated database defaults.</t>
  </si>
  <si>
    <t>https://ismartams.tcsapps.com/sonarqube/project/issues?open=8dbaa920-464c-41c0-a57e-2bb61afa06c7&amp;id=CLOUD_ONBOARDING-backend</t>
  </si>
  <si>
    <t>Define constants for duplicated not-found message literals</t>
  </si>
  <si>
    <t>app/admin/architecture_rules/router.py; app/admin/disadmin/router.py; app/admin/disclaimer/router.py; app/admin/eligibility/router.py; app/domains/onboarding/router.py</t>
  </si>
  <si>
    <t>L43, L47, L53, L104 and related occurrences</t>
  </si>
  <si>
    <t>Repeated error text such as "Rule not found", "Onboarding not found", "Clause not found", and "Question not found" is harder to update consistently and can produce inconsistent API messages.</t>
  </si>
  <si>
    <t>6-10 min per literal group</t>
  </si>
  <si>
    <t>Create clearly named constants, preferably in the owning module or a shared error-message module when genuinely reused across modules.</t>
  </si>
  <si>
    <t>RULE_NOT_FOUND = "Rule not found"
ONBOARDING_NOT_FOUND = "Onboarding not found"</t>
  </si>
  <si>
    <t>Run endpoint tests and confirm response detail text is unchanged.</t>
  </si>
  <si>
    <t>Document HTTPException status codes in FastAPI responses</t>
  </si>
  <si>
    <t>Multiple FastAPI router modules listed in the scan</t>
  </si>
  <si>
    <t>Status codes 400, 403, 404, 409 and 500 across multiple lines</t>
  </si>
  <si>
    <t>Undocumented error responses make the generated OpenAPI contract incomplete. API consumers cannot reliably discover possible failure codes and schemas.</t>
  </si>
  <si>
    <t>10-15 min per occurrence</t>
  </si>
  <si>
    <t>Add the raised status code to the route decorator responses mapping. Reuse a standard error model and shared response dictionaries where appropriate.</t>
  </si>
  <si>
    <t>@router.get("/x", responses={404: {"description": "Not found"}})
def get_x(...) -&gt; Item: ...</t>
  </si>
  <si>
    <t>Inspect /openapi.json or Swagger UI, test each error path, and rerun SonarQube.</t>
  </si>
  <si>
    <t>Reduce function Cognitive Complexity from 48 to 15</t>
  </si>
  <si>
    <t>app/admin/disadmin/service.py</t>
  </si>
  <si>
    <t>L492</t>
  </si>
  <si>
    <t>Deep nesting, many branches, and mixed responsibilities make the function difficult to understand, test, and safely change.</t>
  </si>
  <si>
    <t>38 min</t>
  </si>
  <si>
    <t>Extract cohesive helper functions, use guard clauses, flatten nested conditionals, separate validation from transformation/persistence, and replace long conditional chains with mappings or strategy functions where suitable.</t>
  </si>
  <si>
    <t>Split the function into orchestration plus small helpers such as validate_input(), build_entities(), persist_changes(), and format_result().</t>
  </si>
  <si>
    <t>Add focused tests for each branch, run coverage, and confirm Sonar complexity is 15 or lower.</t>
  </si>
  <si>
    <t>https://ismartams.tcsapps.com/sonarqube/project/issues?open=e90ec360-1fe6-49e5-b10b-73660247c813&amp;id=CLOUD_ONBOARDING-backend</t>
  </si>
  <si>
    <t>Reduce function Cognitive Complexity from 16 to 15</t>
  </si>
  <si>
    <t>app/core/llm.py</t>
  </si>
  <si>
    <t>L127</t>
  </si>
  <si>
    <t>The function is slightly above the allowed complexity threshold and is harder to follow than necessary.</t>
  </si>
  <si>
    <t>6 min</t>
  </si>
  <si>
    <t>Use an early return or extract one conditional block into a well-named helper, while preserving behavior.</t>
  </si>
  <si>
    <t>Move one independent branch into a helper and keep the main function as a short orchestration flow.</t>
  </si>
  <si>
    <t>Run LLM-related unit tests and confirm Sonar complexity is 15 or lower.</t>
  </si>
  <si>
    <t>https://ismartams.tcsapps.com/sonarqube/project/issues?open=4e0fccda-25d4-4ea1-a240-d2bbaaeba997&amp;id=CLOUD_ONBOARDING-backend</t>
  </si>
  <si>
    <t>Define a constant for duplicated SQLAlchemy cascade literal "all, delete-orphan"</t>
  </si>
  <si>
    <t>app/models/onboarding.py</t>
  </si>
  <si>
    <t>L56</t>
  </si>
  <si>
    <t>Repeating the relationship cascade string nine times creates unnecessary duplication and makes a future policy change error-prone.</t>
  </si>
  <si>
    <t>18 min</t>
  </si>
  <si>
    <t>Define a descriptive module-level constant and reuse it in each relationship declaration.</t>
  </si>
  <si>
    <t>DELETE_ORPHAN_CASCADE = "all, delete-orphan"</t>
  </si>
  <si>
    <t>Run ORM relationship and deletion tests, including orphan removal behavior.</t>
  </si>
  <si>
    <t>https://ismartams.tcsapps.com/sonarqube/project/issues?open=37d53cf1-385c-4497-b6bf-99646b413aff&amp;id=CLOUD_ONBOARDING-backend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</si>
</sst>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8.0"/>
      <color rgb="FFFFFFFF"/>
      <name val="Calibri"/>
      <scheme val="minor"/>
    </font>
    <font>
      <sz val="11.0"/>
      <color theme="1"/>
      <name val="Calibri"/>
    </font>
    <font/>
    <font>
      <color rgb="FF666666"/>
      <name val="Calibri"/>
      <scheme val="minor"/>
    </font>
    <font>
      <color rgb="FF008000"/>
      <name val="Calibri"/>
      <scheme val="minor"/>
    </font>
    <font>
      <color rgb="FF000000"/>
      <name val="Calibri"/>
      <scheme val="minor"/>
    </font>
    <font>
      <sz val="12.0"/>
      <color theme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5B9BD5"/>
        <bgColor rgb="FF5B9BD5"/>
      </patternFill>
    </fill>
    <fill>
      <patternFill patternType="solid">
        <fgColor rgb="FFF4CCCC"/>
        <bgColor rgb="FFF4CCCC"/>
      </patternFill>
    </fill>
    <fill>
      <patternFill patternType="solid">
        <fgColor rgb="FFFCE4D6"/>
        <bgColor rgb="FFFCE4D6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2" numFmtId="0" xfId="0" applyAlignment="1" applyBorder="1" applyFill="1" applyFont="1">
      <alignment horizontal="center"/>
    </xf>
    <xf borderId="0" fillId="0" fontId="3" numFmtId="0" xfId="0" applyAlignment="1" applyFont="1">
      <alignment shrinkToFit="0" vertical="top" wrapText="1"/>
    </xf>
    <xf borderId="3" fillId="0" fontId="4" numFmtId="0" xfId="0" applyBorder="1" applyFont="1"/>
    <xf borderId="4" fillId="0" fontId="4" numFmtId="0" xfId="0" applyBorder="1" applyFont="1"/>
    <xf borderId="1" fillId="3" fontId="1" numFmtId="0" xfId="0" applyBorder="1" applyFill="1" applyFont="1"/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1" fillId="4" fontId="7" numFmtId="0" xfId="0" applyAlignment="1" applyBorder="1" applyFill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1" fillId="5" fontId="5" numFmtId="0" xfId="0" applyAlignment="1" applyBorder="1" applyFill="1" applyFont="1">
      <alignment shrinkToFit="0" vertical="top" wrapText="1"/>
    </xf>
    <xf borderId="0" fillId="0" fontId="8" numFmtId="0" xfId="0" applyAlignment="1" applyFont="1">
      <alignment shrinkToFit="0" vertical="center" wrapText="0"/>
    </xf>
    <xf borderId="1" fillId="5" fontId="7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E2F0D9"/>
          <bgColor rgb="FFE2F0D9"/>
        </patternFill>
      </fill>
      <border/>
    </dxf>
  </dxfs>
  <tableStyles count="1">
    <tableStyle count="4" pivot="0" name="Unique Issu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0" displayName="UniqueSonarIssues" name="UniqueSonarIssues" id="1">
  <tableColumns count="15">
    <tableColumn name="ID" id="1"/>
    <tableColumn name="Issue Name" id="2"/>
    <tableColumn name="Where Is the Issue" id="3"/>
    <tableColumn name="Representative Lines" id="4"/>
    <tableColumn name="Why This Is an Issue" id="5"/>
    <tableColumn name="Category" id="6"/>
    <tableColumn name="Severity" id="7"/>
    <tableColumn name="Status" id="8"/>
    <tableColumn name="Estimated Effort" id="9"/>
    <tableColumn name="How to Solve" id="10"/>
    <tableColumn name="Example Fix / Guidance" id="11"/>
    <tableColumn name="Verification" id="12"/>
    <tableColumn name="Owner" id="13"/>
    <tableColumn name="Resolution Status" id="14"/>
    <tableColumn name="SonarQube Link" id="15"/>
  </tableColumns>
  <tableStyleInfo name="Unique Issu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42.0"/>
    <col customWidth="1" min="3" max="3" width="55.0"/>
    <col customWidth="1" min="4" max="4" width="24.0"/>
    <col customWidth="1" min="5" max="5" width="60.0"/>
    <col customWidth="1" min="6" max="6" width="18.0"/>
    <col customWidth="1" min="7" max="8" width="12.0"/>
    <col customWidth="1" min="9" max="9" width="20.0"/>
    <col customWidth="1" min="10" max="10" width="62.0"/>
    <col customWidth="1" min="11" max="11" width="58.0"/>
    <col customWidth="1" min="12" max="12" width="48.0"/>
    <col customWidth="1" min="13" max="14" width="18.0"/>
    <col customWidth="1" min="15" max="15" width="35.0"/>
    <col customWidth="1" min="16" max="26" width="8.71"/>
  </cols>
  <sheetData>
    <row r="1" ht="33.75" customHeight="1">
      <c r="A1" s="7" t="s">
        <v>18</v>
      </c>
      <c r="B1" s="7" t="s">
        <v>22</v>
      </c>
      <c r="C1" s="7" t="s">
        <v>26</v>
      </c>
      <c r="D1" s="7" t="s">
        <v>27</v>
      </c>
      <c r="E1" s="7" t="s">
        <v>31</v>
      </c>
      <c r="F1" s="7" t="s">
        <v>32</v>
      </c>
      <c r="G1" s="7" t="s">
        <v>35</v>
      </c>
      <c r="H1" s="7" t="s">
        <v>36</v>
      </c>
      <c r="I1" s="7" t="s">
        <v>39</v>
      </c>
      <c r="J1" s="7" t="s">
        <v>40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</row>
    <row r="2" ht="105.0" customHeight="1">
      <c r="A2" s="8">
        <v>1.0</v>
      </c>
      <c r="B2" s="9" t="s">
        <v>47</v>
      </c>
      <c r="C2" s="9" t="s">
        <v>48</v>
      </c>
      <c r="D2" s="9" t="s">
        <v>49</v>
      </c>
      <c r="E2" s="10" t="s">
        <v>50</v>
      </c>
      <c r="F2" s="8" t="s">
        <v>51</v>
      </c>
      <c r="G2" s="11" t="s">
        <v>52</v>
      </c>
      <c r="H2" s="8" t="s">
        <v>53</v>
      </c>
      <c r="I2" s="12" t="s">
        <v>54</v>
      </c>
      <c r="J2" s="10" t="s">
        <v>55</v>
      </c>
      <c r="K2" s="10" t="s">
        <v>56</v>
      </c>
      <c r="L2" s="10" t="s">
        <v>57</v>
      </c>
      <c r="M2" s="8" t="s">
        <v>20</v>
      </c>
      <c r="N2" s="13" t="s">
        <v>58</v>
      </c>
      <c r="O2" s="14" t="s">
        <v>59</v>
      </c>
    </row>
    <row r="3" ht="105.0" customHeight="1">
      <c r="A3" s="8">
        <v>2.0</v>
      </c>
      <c r="B3" s="9" t="s">
        <v>60</v>
      </c>
      <c r="C3" s="9" t="s">
        <v>48</v>
      </c>
      <c r="D3" s="9" t="s">
        <v>61</v>
      </c>
      <c r="E3" s="10" t="s">
        <v>62</v>
      </c>
      <c r="F3" s="8" t="s">
        <v>51</v>
      </c>
      <c r="G3" s="11" t="s">
        <v>52</v>
      </c>
      <c r="H3" s="8" t="s">
        <v>53</v>
      </c>
      <c r="I3" s="12" t="s">
        <v>63</v>
      </c>
      <c r="J3" s="10" t="s">
        <v>64</v>
      </c>
      <c r="K3" s="10" t="s">
        <v>65</v>
      </c>
      <c r="L3" s="10" t="s">
        <v>66</v>
      </c>
      <c r="M3" s="8" t="s">
        <v>20</v>
      </c>
      <c r="N3" s="13" t="s">
        <v>58</v>
      </c>
      <c r="O3" s="14" t="s">
        <v>59</v>
      </c>
    </row>
    <row r="4" ht="105.0" customHeight="1">
      <c r="A4" s="8">
        <v>3.0</v>
      </c>
      <c r="B4" s="9" t="s">
        <v>67</v>
      </c>
      <c r="C4" s="9" t="s">
        <v>68</v>
      </c>
      <c r="D4" s="9" t="s">
        <v>69</v>
      </c>
      <c r="E4" s="10" t="s">
        <v>70</v>
      </c>
      <c r="F4" s="8" t="s">
        <v>71</v>
      </c>
      <c r="G4" s="11" t="s">
        <v>52</v>
      </c>
      <c r="H4" s="8" t="s">
        <v>53</v>
      </c>
      <c r="I4" s="10" t="s">
        <v>72</v>
      </c>
      <c r="J4" s="10" t="s">
        <v>73</v>
      </c>
      <c r="K4" s="10" t="s">
        <v>74</v>
      </c>
      <c r="L4" s="10" t="s">
        <v>75</v>
      </c>
      <c r="M4" s="8" t="s">
        <v>20</v>
      </c>
      <c r="N4" s="13" t="s">
        <v>58</v>
      </c>
      <c r="O4" s="14" t="s">
        <v>76</v>
      </c>
    </row>
    <row r="5" ht="105.0" customHeight="1">
      <c r="A5" s="8">
        <v>4.0</v>
      </c>
      <c r="B5" s="9" t="s">
        <v>77</v>
      </c>
      <c r="C5" s="9" t="s">
        <v>78</v>
      </c>
      <c r="D5" s="9" t="s">
        <v>79</v>
      </c>
      <c r="E5" s="10" t="s">
        <v>80</v>
      </c>
      <c r="F5" s="8" t="s">
        <v>51</v>
      </c>
      <c r="G5" s="15" t="s">
        <v>81</v>
      </c>
      <c r="H5" s="8" t="s">
        <v>53</v>
      </c>
      <c r="I5" s="10" t="s">
        <v>82</v>
      </c>
      <c r="J5" s="10" t="s">
        <v>83</v>
      </c>
      <c r="K5" s="10" t="s">
        <v>84</v>
      </c>
      <c r="L5" s="10" t="s">
        <v>85</v>
      </c>
      <c r="M5" s="8" t="s">
        <v>20</v>
      </c>
      <c r="N5" s="13" t="s">
        <v>58</v>
      </c>
      <c r="O5" s="14" t="s">
        <v>86</v>
      </c>
    </row>
    <row r="6" ht="105.0" customHeight="1">
      <c r="A6" s="8">
        <v>5.0</v>
      </c>
      <c r="B6" s="9" t="s">
        <v>87</v>
      </c>
      <c r="C6" s="9" t="s">
        <v>88</v>
      </c>
      <c r="D6" s="9" t="s">
        <v>89</v>
      </c>
      <c r="E6" s="10" t="s">
        <v>90</v>
      </c>
      <c r="F6" s="8" t="s">
        <v>51</v>
      </c>
      <c r="G6" s="15" t="s">
        <v>81</v>
      </c>
      <c r="H6" s="8" t="s">
        <v>53</v>
      </c>
      <c r="I6" s="10" t="s">
        <v>91</v>
      </c>
      <c r="J6" s="10" t="s">
        <v>92</v>
      </c>
      <c r="K6" s="10" t="s">
        <v>93</v>
      </c>
      <c r="L6" s="10" t="s">
        <v>94</v>
      </c>
      <c r="M6" s="8" t="s">
        <v>20</v>
      </c>
      <c r="N6" s="13" t="s">
        <v>58</v>
      </c>
      <c r="O6" s="14" t="s">
        <v>59</v>
      </c>
    </row>
    <row r="7" ht="105.0" customHeight="1">
      <c r="A7" s="8">
        <v>6.0</v>
      </c>
      <c r="B7" s="9" t="s">
        <v>95</v>
      </c>
      <c r="C7" s="9" t="s">
        <v>96</v>
      </c>
      <c r="D7" s="9" t="s">
        <v>97</v>
      </c>
      <c r="E7" s="10" t="s">
        <v>98</v>
      </c>
      <c r="F7" s="8" t="s">
        <v>51</v>
      </c>
      <c r="G7" s="15" t="s">
        <v>81</v>
      </c>
      <c r="H7" s="8" t="s">
        <v>53</v>
      </c>
      <c r="I7" s="12" t="s">
        <v>99</v>
      </c>
      <c r="J7" s="10" t="s">
        <v>100</v>
      </c>
      <c r="K7" s="10" t="s">
        <v>101</v>
      </c>
      <c r="L7" s="10" t="s">
        <v>102</v>
      </c>
      <c r="M7" s="8" t="s">
        <v>20</v>
      </c>
      <c r="N7" s="13" t="s">
        <v>58</v>
      </c>
      <c r="O7" s="14" t="s">
        <v>59</v>
      </c>
    </row>
    <row r="8" ht="105.0" customHeight="1">
      <c r="A8" s="8">
        <v>7.0</v>
      </c>
      <c r="B8" s="9" t="s">
        <v>103</v>
      </c>
      <c r="C8" s="9" t="s">
        <v>104</v>
      </c>
      <c r="D8" s="9" t="s">
        <v>105</v>
      </c>
      <c r="E8" s="10" t="s">
        <v>106</v>
      </c>
      <c r="F8" s="8" t="s">
        <v>51</v>
      </c>
      <c r="G8" s="15" t="s">
        <v>81</v>
      </c>
      <c r="H8" s="8" t="s">
        <v>53</v>
      </c>
      <c r="I8" s="10" t="s">
        <v>107</v>
      </c>
      <c r="J8" s="10" t="s">
        <v>108</v>
      </c>
      <c r="K8" s="10" t="s">
        <v>109</v>
      </c>
      <c r="L8" s="10" t="s">
        <v>110</v>
      </c>
      <c r="M8" s="8" t="s">
        <v>20</v>
      </c>
      <c r="N8" s="13" t="s">
        <v>58</v>
      </c>
      <c r="O8" s="14" t="s">
        <v>111</v>
      </c>
    </row>
    <row r="9" ht="105.0" customHeight="1">
      <c r="A9" s="8">
        <v>8.0</v>
      </c>
      <c r="B9" s="9" t="s">
        <v>112</v>
      </c>
      <c r="C9" s="9" t="s">
        <v>113</v>
      </c>
      <c r="D9" s="9" t="s">
        <v>114</v>
      </c>
      <c r="E9" s="10" t="s">
        <v>115</v>
      </c>
      <c r="F9" s="8" t="s">
        <v>51</v>
      </c>
      <c r="G9" s="15" t="s">
        <v>81</v>
      </c>
      <c r="H9" s="8" t="s">
        <v>53</v>
      </c>
      <c r="I9" s="10" t="s">
        <v>116</v>
      </c>
      <c r="J9" s="10" t="s">
        <v>117</v>
      </c>
      <c r="K9" s="10" t="s">
        <v>118</v>
      </c>
      <c r="L9" s="10" t="s">
        <v>119</v>
      </c>
      <c r="M9" s="8" t="s">
        <v>20</v>
      </c>
      <c r="N9" s="13" t="s">
        <v>58</v>
      </c>
      <c r="O9" s="14" t="s">
        <v>120</v>
      </c>
    </row>
    <row r="10" ht="105.0" customHeight="1">
      <c r="A10" s="8">
        <v>9.0</v>
      </c>
      <c r="B10" s="9" t="s">
        <v>121</v>
      </c>
      <c r="C10" s="9" t="s">
        <v>122</v>
      </c>
      <c r="D10" s="9" t="s">
        <v>123</v>
      </c>
      <c r="E10" s="10" t="s">
        <v>124</v>
      </c>
      <c r="F10" s="8" t="s">
        <v>51</v>
      </c>
      <c r="G10" s="15" t="s">
        <v>81</v>
      </c>
      <c r="H10" s="8" t="s">
        <v>53</v>
      </c>
      <c r="I10" s="10" t="s">
        <v>125</v>
      </c>
      <c r="J10" s="10" t="s">
        <v>126</v>
      </c>
      <c r="K10" s="10" t="s">
        <v>127</v>
      </c>
      <c r="L10" s="10" t="s">
        <v>128</v>
      </c>
      <c r="M10" s="8" t="s">
        <v>20</v>
      </c>
      <c r="N10" s="13" t="s">
        <v>58</v>
      </c>
      <c r="O10" s="14" t="s">
        <v>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E4925BE-1EFC-403A-81D5-3DD25A2A5C7B}" filter="1" showAutoFilter="1">
      <autoFilter ref="$A$1:$O$10"/>
    </customSheetView>
  </customSheetViews>
  <conditionalFormatting sqref="N2:N10">
    <cfRule type="expression" dxfId="5" priority="1">
      <formula>N2="Resolved"</formula>
    </cfRule>
  </conditionalFormatting>
  <dataValidations>
    <dataValidation type="list" allowBlank="1" sqref="N2:N10">
      <formula1>"Not Started,In Progress,Blocked,Ready for Review,Resolved,Won't Fix"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55.0"/>
    <col customWidth="1" min="4" max="4" width="12.0"/>
    <col customWidth="1" min="5" max="26" width="8.71"/>
  </cols>
  <sheetData>
    <row r="1">
      <c r="A1" s="2" t="s">
        <v>1</v>
      </c>
      <c r="B1" s="4"/>
      <c r="C1" s="4"/>
      <c r="D1" s="5"/>
    </row>
    <row r="2">
      <c r="A2" s="6" t="s">
        <v>12</v>
      </c>
      <c r="B2" s="6" t="s">
        <v>14</v>
      </c>
      <c r="C2" s="6" t="s">
        <v>15</v>
      </c>
      <c r="D2" s="6" t="s">
        <v>16</v>
      </c>
    </row>
    <row r="3">
      <c r="A3" s="3" t="s">
        <v>17</v>
      </c>
      <c r="B3" s="3">
        <f>COUNTA('Unique Issues'!B2:B10)</f>
        <v>9</v>
      </c>
      <c r="C3" s="3" t="s">
        <v>19</v>
      </c>
      <c r="D3" s="3" t="s">
        <v>20</v>
      </c>
    </row>
    <row r="4">
      <c r="A4" s="3" t="s">
        <v>21</v>
      </c>
      <c r="B4" s="3">
        <f>COUNTIF('Unique Issues'!G2:G10,"Blocker")</f>
        <v>3</v>
      </c>
      <c r="C4" s="3" t="s">
        <v>23</v>
      </c>
      <c r="D4" s="3" t="s">
        <v>24</v>
      </c>
    </row>
    <row r="5">
      <c r="A5" s="3" t="s">
        <v>25</v>
      </c>
      <c r="B5" s="3">
        <f>COUNTIF('Unique Issues'!G2:G10,"High")</f>
        <v>6</v>
      </c>
      <c r="C5" s="3" t="s">
        <v>28</v>
      </c>
      <c r="D5" s="3" t="s">
        <v>29</v>
      </c>
    </row>
    <row r="6">
      <c r="A6" s="3" t="s">
        <v>30</v>
      </c>
      <c r="B6" s="3">
        <f>COUNTIF('Unique Issues'!F2:F10,"Security")</f>
        <v>1</v>
      </c>
      <c r="C6" s="3" t="s">
        <v>33</v>
      </c>
      <c r="D6" s="3" t="s">
        <v>24</v>
      </c>
    </row>
    <row r="7">
      <c r="A7" s="3" t="s">
        <v>34</v>
      </c>
      <c r="B7" s="3">
        <f>COUNTIF('Unique Issues'!N2:N10,"Resolved")</f>
        <v>0</v>
      </c>
      <c r="C7" s="3" t="s">
        <v>37</v>
      </c>
      <c r="D7" s="3" t="s">
        <v>20</v>
      </c>
    </row>
    <row r="8">
      <c r="A8" s="3" t="s">
        <v>38</v>
      </c>
      <c r="B8" s="3">
        <f>B3+B4-B6</f>
        <v>11</v>
      </c>
      <c r="C8" s="3" t="s">
        <v>41</v>
      </c>
      <c r="D8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10.0"/>
    <col customWidth="1" min="3" max="26" width="8.71"/>
  </cols>
  <sheetData>
    <row r="1">
      <c r="A1" s="1" t="s">
        <v>0</v>
      </c>
      <c r="B1" s="1" t="s">
        <v>2</v>
      </c>
    </row>
    <row r="2">
      <c r="A2" s="3" t="s">
        <v>3</v>
      </c>
      <c r="B2" s="3" t="s">
        <v>4</v>
      </c>
    </row>
    <row r="3">
      <c r="A3" s="3" t="s">
        <v>5</v>
      </c>
      <c r="B3" s="3" t="s">
        <v>6</v>
      </c>
    </row>
    <row r="4">
      <c r="A4" s="3" t="s">
        <v>7</v>
      </c>
      <c r="B4" s="3" t="s">
        <v>8</v>
      </c>
    </row>
    <row r="5">
      <c r="A5" s="3" t="s">
        <v>9</v>
      </c>
      <c r="B5" s="3" t="s">
        <v>10</v>
      </c>
    </row>
    <row r="6">
      <c r="A6" s="3" t="s">
        <v>11</v>
      </c>
      <c r="B6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